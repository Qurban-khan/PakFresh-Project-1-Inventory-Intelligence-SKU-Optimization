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Qurban\PakFresh_FMCG\Original\"/>
    </mc:Choice>
  </mc:AlternateContent>
  <xr:revisionPtr revIDLastSave="0" documentId="13_ncr:1_{4EBF32E6-B268-49CB-8534-2ECE212D4D1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ADME" sheetId="1" r:id="rId1"/>
    <sheet name="DimDate" sheetId="2" r:id="rId2"/>
    <sheet name="DimMonth" sheetId="10" r:id="rId3"/>
    <sheet name="DimWarehouse" sheetId="3" r:id="rId4"/>
    <sheet name="DimChannel" sheetId="4" r:id="rId5"/>
    <sheet name="DimSupplier" sheetId="5" r:id="rId6"/>
    <sheet name="DimCustomer" sheetId="6" r:id="rId7"/>
    <sheet name="DimProduct" sheetId="7" r:id="rId8"/>
    <sheet name="Parameters" sheetId="8" r:id="rId9"/>
    <sheet name="Validation" sheetId="9" r:id="rId10"/>
  </sheets>
  <definedNames>
    <definedName name="_xlnm._FilterDatabase" localSheetId="4" hidden="1">DimChannel!$A$1:$E$5</definedName>
    <definedName name="_xlnm._FilterDatabase" localSheetId="6" hidden="1">DimCustomer!$A$1:$I$751</definedName>
    <definedName name="_xlnm._FilterDatabase" localSheetId="1" hidden="1">DimDate!$A$1:$J$1462</definedName>
    <definedName name="_xlnm._FilterDatabase" localSheetId="2">DimMonth!$B$1:$E$49</definedName>
    <definedName name="_xlnm._FilterDatabase" localSheetId="7" hidden="1">DimProduct!$A$1:$R$401</definedName>
    <definedName name="_xlnm._FilterDatabase" localSheetId="5" hidden="1">DimSupplier!$A$1:$L$41</definedName>
    <definedName name="_xlnm._FilterDatabase" localSheetId="3" hidden="1">DimWarehouse!$A$1:$G$5</definedName>
    <definedName name="_xlnm._FilterDatabase" localSheetId="8" hidden="1">Parameters!$A$1:$C$28</definedName>
    <definedName name="_xlnm._FilterDatabase" localSheetId="0" hidden="1">README!$A$1:$B$6</definedName>
    <definedName name="_xlnm._FilterDatabase" localSheetId="9" hidden="1">Validation!$A$1:$C$13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H1098" i="2" s="1"/>
  <c r="G1099" i="2"/>
  <c r="G1100" i="2"/>
  <c r="G1101" i="2"/>
  <c r="G1102" i="2"/>
  <c r="G1103" i="2"/>
  <c r="G1104" i="2"/>
  <c r="G1105" i="2"/>
  <c r="G1106" i="2"/>
  <c r="H1106" i="2" s="1"/>
  <c r="G1107" i="2"/>
  <c r="G1108" i="2"/>
  <c r="G1109" i="2"/>
  <c r="G1110" i="2"/>
  <c r="G1111" i="2"/>
  <c r="G1112" i="2"/>
  <c r="G1113" i="2"/>
  <c r="G1114" i="2"/>
  <c r="H1114" i="2" s="1"/>
  <c r="G1115" i="2"/>
  <c r="G1116" i="2"/>
  <c r="G1117" i="2"/>
  <c r="G1118" i="2"/>
  <c r="G1119" i="2"/>
  <c r="G1120" i="2"/>
  <c r="G1121" i="2"/>
  <c r="G1122" i="2"/>
  <c r="H1122" i="2" s="1"/>
  <c r="G1123" i="2"/>
  <c r="G1124" i="2"/>
  <c r="G1125" i="2"/>
  <c r="G1126" i="2"/>
  <c r="G1127" i="2"/>
  <c r="G1128" i="2"/>
  <c r="G1129" i="2"/>
  <c r="G1130" i="2"/>
  <c r="H1130" i="2" s="1"/>
  <c r="G1131" i="2"/>
  <c r="G1132" i="2"/>
  <c r="G1133" i="2"/>
  <c r="G1134" i="2"/>
  <c r="G1135" i="2"/>
  <c r="G1136" i="2"/>
  <c r="G1137" i="2"/>
  <c r="G1138" i="2"/>
  <c r="H1138" i="2" s="1"/>
  <c r="G1139" i="2"/>
  <c r="G1140" i="2"/>
  <c r="G1141" i="2"/>
  <c r="G1142" i="2"/>
  <c r="G1143" i="2"/>
  <c r="G1144" i="2"/>
  <c r="G1145" i="2"/>
  <c r="G1146" i="2"/>
  <c r="H1146" i="2" s="1"/>
  <c r="G1147" i="2"/>
  <c r="G1148" i="2"/>
  <c r="G1149" i="2"/>
  <c r="G1150" i="2"/>
  <c r="G1151" i="2"/>
  <c r="G1152" i="2"/>
  <c r="G1153" i="2"/>
  <c r="G1154" i="2"/>
  <c r="H1154" i="2" s="1"/>
  <c r="G1155" i="2"/>
  <c r="G1156" i="2"/>
  <c r="G1157" i="2"/>
  <c r="G1158" i="2"/>
  <c r="G1159" i="2"/>
  <c r="G1160" i="2"/>
  <c r="G1161" i="2"/>
  <c r="G1162" i="2"/>
  <c r="H1162" i="2" s="1"/>
  <c r="G1163" i="2"/>
  <c r="G1164" i="2"/>
  <c r="G1165" i="2"/>
  <c r="G1166" i="2"/>
  <c r="G1167" i="2"/>
  <c r="G1168" i="2"/>
  <c r="G1169" i="2"/>
  <c r="G1170" i="2"/>
  <c r="H1170" i="2" s="1"/>
  <c r="G1171" i="2"/>
  <c r="G1172" i="2"/>
  <c r="G1173" i="2"/>
  <c r="G1174" i="2"/>
  <c r="G1175" i="2"/>
  <c r="G1176" i="2"/>
  <c r="G1177" i="2"/>
  <c r="G1178" i="2"/>
  <c r="H1178" i="2" s="1"/>
  <c r="G1179" i="2"/>
  <c r="G1180" i="2"/>
  <c r="G1181" i="2"/>
  <c r="G1182" i="2"/>
  <c r="G1183" i="2"/>
  <c r="G1184" i="2"/>
  <c r="G1185" i="2"/>
  <c r="G1186" i="2"/>
  <c r="H1186" i="2" s="1"/>
  <c r="G1187" i="2"/>
  <c r="G1188" i="2"/>
  <c r="G1189" i="2"/>
  <c r="G1190" i="2"/>
  <c r="G1191" i="2"/>
  <c r="G1192" i="2"/>
  <c r="G1193" i="2"/>
  <c r="G1194" i="2"/>
  <c r="H1194" i="2" s="1"/>
  <c r="G1195" i="2"/>
  <c r="G1196" i="2"/>
  <c r="G1197" i="2"/>
  <c r="G1198" i="2"/>
  <c r="G1199" i="2"/>
  <c r="G1200" i="2"/>
  <c r="G1201" i="2"/>
  <c r="G1202" i="2"/>
  <c r="H1202" i="2" s="1"/>
  <c r="G1203" i="2"/>
  <c r="G1204" i="2"/>
  <c r="G1205" i="2"/>
  <c r="G1206" i="2"/>
  <c r="G1207" i="2"/>
  <c r="G1208" i="2"/>
  <c r="G1209" i="2"/>
  <c r="G1210" i="2"/>
  <c r="H1210" i="2" s="1"/>
  <c r="G1211" i="2"/>
  <c r="G1212" i="2"/>
  <c r="G1213" i="2"/>
  <c r="G1214" i="2"/>
  <c r="G1215" i="2"/>
  <c r="G1216" i="2"/>
  <c r="G1217" i="2"/>
  <c r="G1218" i="2"/>
  <c r="H1218" i="2" s="1"/>
  <c r="G1219" i="2"/>
  <c r="G1220" i="2"/>
  <c r="G1221" i="2"/>
  <c r="G1222" i="2"/>
  <c r="G1223" i="2"/>
  <c r="G1224" i="2"/>
  <c r="G1225" i="2"/>
  <c r="G1226" i="2"/>
  <c r="H1226" i="2" s="1"/>
  <c r="G1227" i="2"/>
  <c r="G1228" i="2"/>
  <c r="G1229" i="2"/>
  <c r="G1230" i="2"/>
  <c r="G1231" i="2"/>
  <c r="G1232" i="2"/>
  <c r="G1233" i="2"/>
  <c r="G1234" i="2"/>
  <c r="H1234" i="2" s="1"/>
  <c r="G1235" i="2"/>
  <c r="G1236" i="2"/>
  <c r="G1237" i="2"/>
  <c r="G1238" i="2"/>
  <c r="G1239" i="2"/>
  <c r="G1240" i="2"/>
  <c r="G1241" i="2"/>
  <c r="G1242" i="2"/>
  <c r="H1242" i="2" s="1"/>
  <c r="G1243" i="2"/>
  <c r="G1244" i="2"/>
  <c r="G1245" i="2"/>
  <c r="G1246" i="2"/>
  <c r="G1247" i="2"/>
  <c r="G1248" i="2"/>
  <c r="G1249" i="2"/>
  <c r="G1250" i="2"/>
  <c r="H1250" i="2" s="1"/>
  <c r="G1251" i="2"/>
  <c r="G1252" i="2"/>
  <c r="G1253" i="2"/>
  <c r="G1254" i="2"/>
  <c r="G1255" i="2"/>
  <c r="G1256" i="2"/>
  <c r="G1257" i="2"/>
  <c r="G1258" i="2"/>
  <c r="H1258" i="2" s="1"/>
  <c r="G1259" i="2"/>
  <c r="G1260" i="2"/>
  <c r="G1261" i="2"/>
  <c r="G1262" i="2"/>
  <c r="G1263" i="2"/>
  <c r="G1264" i="2"/>
  <c r="G1265" i="2"/>
  <c r="G1266" i="2"/>
  <c r="H1266" i="2" s="1"/>
  <c r="G1267" i="2"/>
  <c r="G1268" i="2"/>
  <c r="G1269" i="2"/>
  <c r="G1270" i="2"/>
  <c r="G1271" i="2"/>
  <c r="G1272" i="2"/>
  <c r="G1273" i="2"/>
  <c r="G1274" i="2"/>
  <c r="H1274" i="2" s="1"/>
  <c r="G1275" i="2"/>
  <c r="G1276" i="2"/>
  <c r="G1277" i="2"/>
  <c r="G1278" i="2"/>
  <c r="G1279" i="2"/>
  <c r="G1280" i="2"/>
  <c r="G1281" i="2"/>
  <c r="G1282" i="2"/>
  <c r="H1282" i="2" s="1"/>
  <c r="G1283" i="2"/>
  <c r="G1284" i="2"/>
  <c r="G1285" i="2"/>
  <c r="G1286" i="2"/>
  <c r="G1287" i="2"/>
  <c r="G1288" i="2"/>
  <c r="G1289" i="2"/>
  <c r="G1290" i="2"/>
  <c r="H1290" i="2" s="1"/>
  <c r="G1291" i="2"/>
  <c r="G1292" i="2"/>
  <c r="G1293" i="2"/>
  <c r="G1294" i="2"/>
  <c r="G1295" i="2"/>
  <c r="G1296" i="2"/>
  <c r="G1297" i="2"/>
  <c r="G1298" i="2"/>
  <c r="H1298" i="2" s="1"/>
  <c r="G1299" i="2"/>
  <c r="G1300" i="2"/>
  <c r="G1301" i="2"/>
  <c r="G1302" i="2"/>
  <c r="G1303" i="2"/>
  <c r="G1304" i="2"/>
  <c r="G1305" i="2"/>
  <c r="G1306" i="2"/>
  <c r="H1306" i="2" s="1"/>
  <c r="G1307" i="2"/>
  <c r="G1308" i="2"/>
  <c r="G1309" i="2"/>
  <c r="G1310" i="2"/>
  <c r="G1311" i="2"/>
  <c r="G1312" i="2"/>
  <c r="G1313" i="2"/>
  <c r="G1314" i="2"/>
  <c r="H1314" i="2" s="1"/>
  <c r="G1315" i="2"/>
  <c r="G1316" i="2"/>
  <c r="G1317" i="2"/>
  <c r="G1318" i="2"/>
  <c r="G1319" i="2"/>
  <c r="G1320" i="2"/>
  <c r="G1321" i="2"/>
  <c r="G1322" i="2"/>
  <c r="H1322" i="2" s="1"/>
  <c r="G1323" i="2"/>
  <c r="G1324" i="2"/>
  <c r="G1325" i="2"/>
  <c r="G1326" i="2"/>
  <c r="G1327" i="2"/>
  <c r="G1328" i="2"/>
  <c r="G1329" i="2"/>
  <c r="G1330" i="2"/>
  <c r="H1330" i="2" s="1"/>
  <c r="G1331" i="2"/>
  <c r="G1332" i="2"/>
  <c r="G1333" i="2"/>
  <c r="G1334" i="2"/>
  <c r="G1335" i="2"/>
  <c r="G1336" i="2"/>
  <c r="G1337" i="2"/>
  <c r="G1338" i="2"/>
  <c r="H1338" i="2" s="1"/>
  <c r="G1339" i="2"/>
  <c r="G1340" i="2"/>
  <c r="G1341" i="2"/>
  <c r="G1342" i="2"/>
  <c r="G1343" i="2"/>
  <c r="G1344" i="2"/>
  <c r="G1345" i="2"/>
  <c r="G1346" i="2"/>
  <c r="H1346" i="2" s="1"/>
  <c r="G1347" i="2"/>
  <c r="G1348" i="2"/>
  <c r="G1349" i="2"/>
  <c r="G1350" i="2"/>
  <c r="G1351" i="2"/>
  <c r="G1352" i="2"/>
  <c r="G1353" i="2"/>
  <c r="G1354" i="2"/>
  <c r="H1354" i="2" s="1"/>
  <c r="G1355" i="2"/>
  <c r="G1356" i="2"/>
  <c r="G1357" i="2"/>
  <c r="G1358" i="2"/>
  <c r="G1359" i="2"/>
  <c r="G1360" i="2"/>
  <c r="G1361" i="2"/>
  <c r="G1362" i="2"/>
  <c r="H1362" i="2" s="1"/>
  <c r="G1363" i="2"/>
  <c r="G1364" i="2"/>
  <c r="G1365" i="2"/>
  <c r="G1366" i="2"/>
  <c r="G1367" i="2"/>
  <c r="G1368" i="2"/>
  <c r="G1369" i="2"/>
  <c r="G1370" i="2"/>
  <c r="H1370" i="2" s="1"/>
  <c r="G1371" i="2"/>
  <c r="G1372" i="2"/>
  <c r="G1373" i="2"/>
  <c r="G1374" i="2"/>
  <c r="G1375" i="2"/>
  <c r="G1376" i="2"/>
  <c r="G1377" i="2"/>
  <c r="G1378" i="2"/>
  <c r="H1378" i="2" s="1"/>
  <c r="G1379" i="2"/>
  <c r="G1380" i="2"/>
  <c r="G1381" i="2"/>
  <c r="G1382" i="2"/>
  <c r="G1383" i="2"/>
  <c r="G1384" i="2"/>
  <c r="G1385" i="2"/>
  <c r="G1386" i="2"/>
  <c r="H1386" i="2" s="1"/>
  <c r="G1387" i="2"/>
  <c r="G1388" i="2"/>
  <c r="G1389" i="2"/>
  <c r="G1390" i="2"/>
  <c r="G1391" i="2"/>
  <c r="G1392" i="2"/>
  <c r="G1393" i="2"/>
  <c r="G1394" i="2"/>
  <c r="H1394" i="2" s="1"/>
  <c r="G1395" i="2"/>
  <c r="G1396" i="2"/>
  <c r="G1397" i="2"/>
  <c r="G1398" i="2"/>
  <c r="G1399" i="2"/>
  <c r="G1400" i="2"/>
  <c r="G1401" i="2"/>
  <c r="G1402" i="2"/>
  <c r="H1402" i="2" s="1"/>
  <c r="G1403" i="2"/>
  <c r="G1404" i="2"/>
  <c r="G1405" i="2"/>
  <c r="G1406" i="2"/>
  <c r="G1407" i="2"/>
  <c r="G1408" i="2"/>
  <c r="G1409" i="2"/>
  <c r="G1410" i="2"/>
  <c r="H1410" i="2" s="1"/>
  <c r="G1411" i="2"/>
  <c r="G1412" i="2"/>
  <c r="G1413" i="2"/>
  <c r="G1414" i="2"/>
  <c r="G1415" i="2"/>
  <c r="G1416" i="2"/>
  <c r="G1417" i="2"/>
  <c r="G1418" i="2"/>
  <c r="H1418" i="2" s="1"/>
  <c r="G1419" i="2"/>
  <c r="G1420" i="2"/>
  <c r="G1421" i="2"/>
  <c r="G1422" i="2"/>
  <c r="G1423" i="2"/>
  <c r="G1424" i="2"/>
  <c r="G1425" i="2"/>
  <c r="G1426" i="2"/>
  <c r="H1426" i="2" s="1"/>
  <c r="G1427" i="2"/>
  <c r="G1428" i="2"/>
  <c r="G1429" i="2"/>
  <c r="G1430" i="2"/>
  <c r="G1431" i="2"/>
  <c r="G1432" i="2"/>
  <c r="G1433" i="2"/>
  <c r="G1434" i="2"/>
  <c r="H1434" i="2" s="1"/>
  <c r="G1435" i="2"/>
  <c r="G1436" i="2"/>
  <c r="G1437" i="2"/>
  <c r="G1438" i="2"/>
  <c r="G1439" i="2"/>
  <c r="G1440" i="2"/>
  <c r="G1441" i="2"/>
  <c r="G1442" i="2"/>
  <c r="H1442" i="2" s="1"/>
  <c r="G1443" i="2"/>
  <c r="G1444" i="2"/>
  <c r="G1445" i="2"/>
  <c r="G1446" i="2"/>
  <c r="G1447" i="2"/>
  <c r="G1448" i="2"/>
  <c r="G1449" i="2"/>
  <c r="G1450" i="2"/>
  <c r="H1450" i="2" s="1"/>
  <c r="G1451" i="2"/>
  <c r="G1452" i="2"/>
  <c r="G1453" i="2"/>
  <c r="G1454" i="2"/>
  <c r="G1455" i="2"/>
  <c r="G1456" i="2"/>
  <c r="G1457" i="2"/>
  <c r="G1458" i="2"/>
  <c r="H1458" i="2" s="1"/>
  <c r="G1459" i="2"/>
  <c r="G1460" i="2"/>
  <c r="G1461" i="2"/>
  <c r="G1462" i="2"/>
  <c r="G2" i="2"/>
  <c r="H2" i="2" s="1"/>
  <c r="H1099" i="2"/>
  <c r="H1100" i="2"/>
  <c r="H1101" i="2"/>
  <c r="H1102" i="2"/>
  <c r="H1103" i="2"/>
  <c r="H1104" i="2"/>
  <c r="H1105" i="2"/>
  <c r="H1107" i="2"/>
  <c r="H1108" i="2"/>
  <c r="H1109" i="2"/>
  <c r="H1110" i="2"/>
  <c r="H1111" i="2"/>
  <c r="H1112" i="2"/>
  <c r="H1113" i="2"/>
  <c r="H1115" i="2"/>
  <c r="H1116" i="2"/>
  <c r="H1117" i="2"/>
  <c r="H1118" i="2"/>
  <c r="H1119" i="2"/>
  <c r="H1120" i="2"/>
  <c r="H1121" i="2"/>
  <c r="H1123" i="2"/>
  <c r="H1124" i="2"/>
  <c r="H1125" i="2"/>
  <c r="H1126" i="2"/>
  <c r="H1127" i="2"/>
  <c r="H1128" i="2"/>
  <c r="H1129" i="2"/>
  <c r="H1131" i="2"/>
  <c r="H1132" i="2"/>
  <c r="H1133" i="2"/>
  <c r="H1134" i="2"/>
  <c r="H1135" i="2"/>
  <c r="H1136" i="2"/>
  <c r="H1137" i="2"/>
  <c r="H1139" i="2"/>
  <c r="H1140" i="2"/>
  <c r="H1141" i="2"/>
  <c r="H1142" i="2"/>
  <c r="H1143" i="2"/>
  <c r="H1144" i="2"/>
  <c r="H1145" i="2"/>
  <c r="H1147" i="2"/>
  <c r="H1148" i="2"/>
  <c r="H1149" i="2"/>
  <c r="H1150" i="2"/>
  <c r="H1151" i="2"/>
  <c r="H1152" i="2"/>
  <c r="H1153" i="2"/>
  <c r="H1155" i="2"/>
  <c r="H1156" i="2"/>
  <c r="H1157" i="2"/>
  <c r="H1158" i="2"/>
  <c r="H1159" i="2"/>
  <c r="H1160" i="2"/>
  <c r="H1161" i="2"/>
  <c r="H1163" i="2"/>
  <c r="H1164" i="2"/>
  <c r="H1165" i="2"/>
  <c r="H1166" i="2"/>
  <c r="H1167" i="2"/>
  <c r="H1168" i="2"/>
  <c r="H1169" i="2"/>
  <c r="H1171" i="2"/>
  <c r="H1172" i="2"/>
  <c r="H1173" i="2"/>
  <c r="H1174" i="2"/>
  <c r="H1175" i="2"/>
  <c r="H1176" i="2"/>
  <c r="H1177" i="2"/>
  <c r="H1179" i="2"/>
  <c r="H1180" i="2"/>
  <c r="H1181" i="2"/>
  <c r="H1182" i="2"/>
  <c r="H1183" i="2"/>
  <c r="H1184" i="2"/>
  <c r="H1185" i="2"/>
  <c r="H1187" i="2"/>
  <c r="H1188" i="2"/>
  <c r="H1189" i="2"/>
  <c r="H1190" i="2"/>
  <c r="H1191" i="2"/>
  <c r="H1192" i="2"/>
  <c r="H1193" i="2"/>
  <c r="H1195" i="2"/>
  <c r="H1196" i="2"/>
  <c r="H1197" i="2"/>
  <c r="H1198" i="2"/>
  <c r="H1199" i="2"/>
  <c r="H1200" i="2"/>
  <c r="H1201" i="2"/>
  <c r="H1203" i="2"/>
  <c r="H1204" i="2"/>
  <c r="H1205" i="2"/>
  <c r="H1206" i="2"/>
  <c r="H1207" i="2"/>
  <c r="H1208" i="2"/>
  <c r="H1209" i="2"/>
  <c r="H1211" i="2"/>
  <c r="H1212" i="2"/>
  <c r="H1213" i="2"/>
  <c r="H1214" i="2"/>
  <c r="H1215" i="2"/>
  <c r="H1216" i="2"/>
  <c r="H1217" i="2"/>
  <c r="H1219" i="2"/>
  <c r="H1220" i="2"/>
  <c r="H1221" i="2"/>
  <c r="H1222" i="2"/>
  <c r="H1223" i="2"/>
  <c r="H1224" i="2"/>
  <c r="H1225" i="2"/>
  <c r="H1227" i="2"/>
  <c r="H1228" i="2"/>
  <c r="H1229" i="2"/>
  <c r="H1230" i="2"/>
  <c r="H1231" i="2"/>
  <c r="H1232" i="2"/>
  <c r="H1233" i="2"/>
  <c r="H1235" i="2"/>
  <c r="H1236" i="2"/>
  <c r="H1237" i="2"/>
  <c r="H1238" i="2"/>
  <c r="H1239" i="2"/>
  <c r="H1240" i="2"/>
  <c r="H1241" i="2"/>
  <c r="H1243" i="2"/>
  <c r="H1244" i="2"/>
  <c r="H1245" i="2"/>
  <c r="H1246" i="2"/>
  <c r="H1247" i="2"/>
  <c r="H1248" i="2"/>
  <c r="H1249" i="2"/>
  <c r="H1251" i="2"/>
  <c r="H1252" i="2"/>
  <c r="H1253" i="2"/>
  <c r="H1254" i="2"/>
  <c r="H1255" i="2"/>
  <c r="H1256" i="2"/>
  <c r="H1257" i="2"/>
  <c r="H1259" i="2"/>
  <c r="H1260" i="2"/>
  <c r="H1261" i="2"/>
  <c r="H1262" i="2"/>
  <c r="H1263" i="2"/>
  <c r="H1264" i="2"/>
  <c r="H1265" i="2"/>
  <c r="H1267" i="2"/>
  <c r="H1268" i="2"/>
  <c r="H1269" i="2"/>
  <c r="H1270" i="2"/>
  <c r="H1271" i="2"/>
  <c r="H1272" i="2"/>
  <c r="H1273" i="2"/>
  <c r="H1275" i="2"/>
  <c r="H1276" i="2"/>
  <c r="H1277" i="2"/>
  <c r="H1278" i="2"/>
  <c r="H1279" i="2"/>
  <c r="H1280" i="2"/>
  <c r="H1281" i="2"/>
  <c r="H1283" i="2"/>
  <c r="H1284" i="2"/>
  <c r="H1285" i="2"/>
  <c r="H1286" i="2"/>
  <c r="H1287" i="2"/>
  <c r="H1288" i="2"/>
  <c r="H1289" i="2"/>
  <c r="H1291" i="2"/>
  <c r="H1292" i="2"/>
  <c r="H1293" i="2"/>
  <c r="H1294" i="2"/>
  <c r="H1295" i="2"/>
  <c r="H1296" i="2"/>
  <c r="H1297" i="2"/>
  <c r="H1299" i="2"/>
  <c r="H1300" i="2"/>
  <c r="H1301" i="2"/>
  <c r="H1302" i="2"/>
  <c r="H1303" i="2"/>
  <c r="H1304" i="2"/>
  <c r="H1305" i="2"/>
  <c r="H1307" i="2"/>
  <c r="H1308" i="2"/>
  <c r="H1309" i="2"/>
  <c r="H1310" i="2"/>
  <c r="H1311" i="2"/>
  <c r="H1312" i="2"/>
  <c r="H1313" i="2"/>
  <c r="H1315" i="2"/>
  <c r="H1316" i="2"/>
  <c r="H1317" i="2"/>
  <c r="H1318" i="2"/>
  <c r="H1319" i="2"/>
  <c r="H1320" i="2"/>
  <c r="H1321" i="2"/>
  <c r="H1323" i="2"/>
  <c r="H1324" i="2"/>
  <c r="H1325" i="2"/>
  <c r="H1326" i="2"/>
  <c r="H1327" i="2"/>
  <c r="H1328" i="2"/>
  <c r="H1329" i="2"/>
  <c r="H1331" i="2"/>
  <c r="H1332" i="2"/>
  <c r="H1333" i="2"/>
  <c r="H1334" i="2"/>
  <c r="H1335" i="2"/>
  <c r="H1336" i="2"/>
  <c r="H1337" i="2"/>
  <c r="H1339" i="2"/>
  <c r="H1340" i="2"/>
  <c r="H1341" i="2"/>
  <c r="H1342" i="2"/>
  <c r="H1343" i="2"/>
  <c r="H1344" i="2"/>
  <c r="H1345" i="2"/>
  <c r="H1347" i="2"/>
  <c r="H1348" i="2"/>
  <c r="H1349" i="2"/>
  <c r="H1350" i="2"/>
  <c r="H1351" i="2"/>
  <c r="H1352" i="2"/>
  <c r="H1353" i="2"/>
  <c r="H1355" i="2"/>
  <c r="H1356" i="2"/>
  <c r="H1357" i="2"/>
  <c r="H1358" i="2"/>
  <c r="H1359" i="2"/>
  <c r="H1360" i="2"/>
  <c r="H1361" i="2"/>
  <c r="H1363" i="2"/>
  <c r="H1364" i="2"/>
  <c r="H1365" i="2"/>
  <c r="H1366" i="2"/>
  <c r="H1367" i="2"/>
  <c r="H1368" i="2"/>
  <c r="H1369" i="2"/>
  <c r="H1371" i="2"/>
  <c r="H1372" i="2"/>
  <c r="H1373" i="2"/>
  <c r="H1374" i="2"/>
  <c r="H1375" i="2"/>
  <c r="H1376" i="2"/>
  <c r="H1377" i="2"/>
  <c r="H1379" i="2"/>
  <c r="H1380" i="2"/>
  <c r="H1381" i="2"/>
  <c r="H1382" i="2"/>
  <c r="H1383" i="2"/>
  <c r="H1384" i="2"/>
  <c r="H1385" i="2"/>
  <c r="H1387" i="2"/>
  <c r="H1388" i="2"/>
  <c r="H1389" i="2"/>
  <c r="H1390" i="2"/>
  <c r="H1391" i="2"/>
  <c r="H1392" i="2"/>
  <c r="H1393" i="2"/>
  <c r="H1395" i="2"/>
  <c r="H1396" i="2"/>
  <c r="H1397" i="2"/>
  <c r="H1398" i="2"/>
  <c r="H1399" i="2"/>
  <c r="H1400" i="2"/>
  <c r="H1401" i="2"/>
  <c r="H1403" i="2"/>
  <c r="H1404" i="2"/>
  <c r="H1405" i="2"/>
  <c r="H1406" i="2"/>
  <c r="H1407" i="2"/>
  <c r="H1408" i="2"/>
  <c r="H1409" i="2"/>
  <c r="H1411" i="2"/>
  <c r="H1412" i="2"/>
  <c r="H1413" i="2"/>
  <c r="H1414" i="2"/>
  <c r="H1415" i="2"/>
  <c r="H1416" i="2"/>
  <c r="H1417" i="2"/>
  <c r="H1419" i="2"/>
  <c r="H1420" i="2"/>
  <c r="H1421" i="2"/>
  <c r="H1422" i="2"/>
  <c r="H1423" i="2"/>
  <c r="H1424" i="2"/>
  <c r="H1425" i="2"/>
  <c r="H1427" i="2"/>
  <c r="H1428" i="2"/>
  <c r="H1429" i="2"/>
  <c r="H1430" i="2"/>
  <c r="H1431" i="2"/>
  <c r="H1432" i="2"/>
  <c r="H1433" i="2"/>
  <c r="H1435" i="2"/>
  <c r="H1436" i="2"/>
  <c r="H1437" i="2"/>
  <c r="H1438" i="2"/>
  <c r="H1439" i="2"/>
  <c r="H1440" i="2"/>
  <c r="H1441" i="2"/>
  <c r="H1443" i="2"/>
  <c r="H1444" i="2"/>
  <c r="H1445" i="2"/>
  <c r="H1446" i="2"/>
  <c r="H1447" i="2"/>
  <c r="H1448" i="2"/>
  <c r="H1449" i="2"/>
  <c r="H1451" i="2"/>
  <c r="H1452" i="2"/>
  <c r="H1453" i="2"/>
  <c r="H1454" i="2"/>
  <c r="H1455" i="2"/>
  <c r="H1456" i="2"/>
  <c r="H1457" i="2"/>
  <c r="H1459" i="2"/>
  <c r="H1460" i="2"/>
  <c r="H1461" i="2"/>
  <c r="H146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E2" i="2"/>
  <c r="A2" i="2"/>
  <c r="E10" i="2"/>
  <c r="E18" i="2"/>
  <c r="E26" i="2"/>
  <c r="E34" i="2"/>
  <c r="E42" i="2"/>
  <c r="E50" i="2"/>
  <c r="E58" i="2"/>
  <c r="E66" i="2"/>
  <c r="E74" i="2"/>
  <c r="E82" i="2"/>
  <c r="E90" i="2"/>
  <c r="E98" i="2"/>
  <c r="E106" i="2"/>
  <c r="E114" i="2"/>
  <c r="E122" i="2"/>
  <c r="E130" i="2"/>
  <c r="E138" i="2"/>
  <c r="E146" i="2"/>
  <c r="E154" i="2"/>
  <c r="E162" i="2"/>
  <c r="E170" i="2"/>
  <c r="E178" i="2"/>
  <c r="E186" i="2"/>
  <c r="E194" i="2"/>
  <c r="E202" i="2"/>
  <c r="E210" i="2"/>
  <c r="E218" i="2"/>
  <c r="E226" i="2"/>
  <c r="E234" i="2"/>
  <c r="E242" i="2"/>
  <c r="E250" i="2"/>
  <c r="E258" i="2"/>
  <c r="E266" i="2"/>
  <c r="E274" i="2"/>
  <c r="E282" i="2"/>
  <c r="E290" i="2"/>
  <c r="E298" i="2"/>
  <c r="E306" i="2"/>
  <c r="E314" i="2"/>
  <c r="E322" i="2"/>
  <c r="E330" i="2"/>
  <c r="E338" i="2"/>
  <c r="E346" i="2"/>
  <c r="E354" i="2"/>
  <c r="E362" i="2"/>
  <c r="E370" i="2"/>
  <c r="E378" i="2"/>
  <c r="E386" i="2"/>
  <c r="E394" i="2"/>
  <c r="E402" i="2"/>
  <c r="E410" i="2"/>
  <c r="E418" i="2"/>
  <c r="E426" i="2"/>
  <c r="E434" i="2"/>
  <c r="E442" i="2"/>
  <c r="E450" i="2"/>
  <c r="E458" i="2"/>
  <c r="E466" i="2"/>
  <c r="E474" i="2"/>
  <c r="E482" i="2"/>
  <c r="E490" i="2"/>
  <c r="E498" i="2"/>
  <c r="E506" i="2"/>
  <c r="E514" i="2"/>
  <c r="E522" i="2"/>
  <c r="E530" i="2"/>
  <c r="E538" i="2"/>
  <c r="E546" i="2"/>
  <c r="E554" i="2"/>
  <c r="E562" i="2"/>
  <c r="E570" i="2"/>
  <c r="E578" i="2"/>
  <c r="E586" i="2"/>
  <c r="E594" i="2"/>
  <c r="E602" i="2"/>
  <c r="E610" i="2"/>
  <c r="E618" i="2"/>
  <c r="E626" i="2"/>
  <c r="E634" i="2"/>
  <c r="E642" i="2"/>
  <c r="E650" i="2"/>
  <c r="E658" i="2"/>
  <c r="E666" i="2"/>
  <c r="E674" i="2"/>
  <c r="E682" i="2"/>
  <c r="E690" i="2"/>
  <c r="E698" i="2"/>
  <c r="E706" i="2"/>
  <c r="E714" i="2"/>
  <c r="E722" i="2"/>
  <c r="E730" i="2"/>
  <c r="E738" i="2"/>
  <c r="E746" i="2"/>
  <c r="E754" i="2"/>
  <c r="E762" i="2"/>
  <c r="E770" i="2"/>
  <c r="E778" i="2"/>
  <c r="E786" i="2"/>
  <c r="E794" i="2"/>
  <c r="E802" i="2"/>
  <c r="E810" i="2"/>
  <c r="H6" i="2"/>
  <c r="H7" i="2"/>
  <c r="H8" i="2"/>
  <c r="H9" i="2"/>
  <c r="H11" i="2"/>
  <c r="H12" i="2"/>
  <c r="H13" i="2"/>
  <c r="H14" i="2"/>
  <c r="H15" i="2"/>
  <c r="H16" i="2"/>
  <c r="H17" i="2"/>
  <c r="H20" i="2"/>
  <c r="H21" i="2"/>
  <c r="H22" i="2"/>
  <c r="H23" i="2"/>
  <c r="H24" i="2"/>
  <c r="H25" i="2"/>
  <c r="H29" i="2"/>
  <c r="H30" i="2"/>
  <c r="H31" i="2"/>
  <c r="H32" i="2"/>
  <c r="H33" i="2"/>
  <c r="H36" i="2"/>
  <c r="H37" i="2"/>
  <c r="H38" i="2"/>
  <c r="H39" i="2"/>
  <c r="H40" i="2"/>
  <c r="H41" i="2"/>
  <c r="H44" i="2"/>
  <c r="H45" i="2"/>
  <c r="H46" i="2"/>
  <c r="H47" i="2"/>
  <c r="H49" i="2"/>
  <c r="H52" i="2"/>
  <c r="H53" i="2"/>
  <c r="H54" i="2"/>
  <c r="H55" i="2"/>
  <c r="H56" i="2"/>
  <c r="H57" i="2"/>
  <c r="H60" i="2"/>
  <c r="H61" i="2"/>
  <c r="H62" i="2"/>
  <c r="H63" i="2"/>
  <c r="H64" i="2"/>
  <c r="H65" i="2"/>
  <c r="H68" i="2"/>
  <c r="H69" i="2"/>
  <c r="H70" i="2"/>
  <c r="H71" i="2"/>
  <c r="H72" i="2"/>
  <c r="H73" i="2"/>
  <c r="H76" i="2"/>
  <c r="H77" i="2"/>
  <c r="H78" i="2"/>
  <c r="H79" i="2"/>
  <c r="H81" i="2"/>
  <c r="H84" i="2"/>
  <c r="H85" i="2"/>
  <c r="H86" i="2"/>
  <c r="H87" i="2"/>
  <c r="H88" i="2"/>
  <c r="H89" i="2"/>
  <c r="H92" i="2"/>
  <c r="H93" i="2"/>
  <c r="H94" i="2"/>
  <c r="H95" i="2"/>
  <c r="H96" i="2"/>
  <c r="H97" i="2"/>
  <c r="H100" i="2"/>
  <c r="H101" i="2"/>
  <c r="H102" i="2"/>
  <c r="H103" i="2"/>
  <c r="H104" i="2"/>
  <c r="H105" i="2"/>
  <c r="H109" i="2"/>
  <c r="H110" i="2"/>
  <c r="H111" i="2"/>
  <c r="H112" i="2"/>
  <c r="H113" i="2"/>
  <c r="H116" i="2"/>
  <c r="H117" i="2"/>
  <c r="H118" i="2"/>
  <c r="H119" i="2"/>
  <c r="H120" i="2"/>
  <c r="H121" i="2"/>
  <c r="H125" i="2"/>
  <c r="H126" i="2"/>
  <c r="H127" i="2"/>
  <c r="H128" i="2"/>
  <c r="H129" i="2"/>
  <c r="H132" i="2"/>
  <c r="H133" i="2"/>
  <c r="H134" i="2"/>
  <c r="H135" i="2"/>
  <c r="H136" i="2"/>
  <c r="H137" i="2"/>
  <c r="H140" i="2"/>
  <c r="H141" i="2"/>
  <c r="H142" i="2"/>
  <c r="H143" i="2"/>
  <c r="H145" i="2"/>
  <c r="H148" i="2"/>
  <c r="H149" i="2"/>
  <c r="H150" i="2"/>
  <c r="H151" i="2"/>
  <c r="H152" i="2"/>
  <c r="H153" i="2"/>
  <c r="H156" i="2"/>
  <c r="H157" i="2"/>
  <c r="H158" i="2"/>
  <c r="H159" i="2"/>
  <c r="H160" i="2"/>
  <c r="H161" i="2"/>
  <c r="H164" i="2"/>
  <c r="H165" i="2"/>
  <c r="H166" i="2"/>
  <c r="H167" i="2"/>
  <c r="H168" i="2"/>
  <c r="H169" i="2"/>
  <c r="H172" i="2"/>
  <c r="H173" i="2"/>
  <c r="H174" i="2"/>
  <c r="H175" i="2"/>
  <c r="H176" i="2"/>
  <c r="H177" i="2"/>
  <c r="H180" i="2"/>
  <c r="H181" i="2"/>
  <c r="H182" i="2"/>
  <c r="H183" i="2"/>
  <c r="H184" i="2"/>
  <c r="H185" i="2"/>
  <c r="H188" i="2"/>
  <c r="H189" i="2"/>
  <c r="H190" i="2"/>
  <c r="H191" i="2"/>
  <c r="H192" i="2"/>
  <c r="H193" i="2"/>
  <c r="H196" i="2"/>
  <c r="H197" i="2"/>
  <c r="H198" i="2"/>
  <c r="H199" i="2"/>
  <c r="H200" i="2"/>
  <c r="H201" i="2"/>
  <c r="H204" i="2"/>
  <c r="H205" i="2"/>
  <c r="H206" i="2"/>
  <c r="H207" i="2"/>
  <c r="H208" i="2"/>
  <c r="H209" i="2"/>
  <c r="H212" i="2"/>
  <c r="H213" i="2"/>
  <c r="H214" i="2"/>
  <c r="H215" i="2"/>
  <c r="H216" i="2"/>
  <c r="H217" i="2"/>
  <c r="H221" i="2"/>
  <c r="H222" i="2"/>
  <c r="H223" i="2"/>
  <c r="H224" i="2"/>
  <c r="H225" i="2"/>
  <c r="H228" i="2"/>
  <c r="H229" i="2"/>
  <c r="H230" i="2"/>
  <c r="H231" i="2"/>
  <c r="H232" i="2"/>
  <c r="H233" i="2"/>
  <c r="H236" i="2"/>
  <c r="H237" i="2"/>
  <c r="H238" i="2"/>
  <c r="H239" i="2"/>
  <c r="H241" i="2"/>
  <c r="H244" i="2"/>
  <c r="H245" i="2"/>
  <c r="H246" i="2"/>
  <c r="H247" i="2"/>
  <c r="H248" i="2"/>
  <c r="H249" i="2"/>
  <c r="H252" i="2"/>
  <c r="H253" i="2"/>
  <c r="H254" i="2"/>
  <c r="H255" i="2"/>
  <c r="H256" i="2"/>
  <c r="H257" i="2"/>
  <c r="H260" i="2"/>
  <c r="H261" i="2"/>
  <c r="H262" i="2"/>
  <c r="H263" i="2"/>
  <c r="H264" i="2"/>
  <c r="H265" i="2"/>
  <c r="H269" i="2"/>
  <c r="H270" i="2"/>
  <c r="H271" i="2"/>
  <c r="H272" i="2"/>
  <c r="H273" i="2"/>
  <c r="H276" i="2"/>
  <c r="H277" i="2"/>
  <c r="H279" i="2"/>
  <c r="H280" i="2"/>
  <c r="H281" i="2"/>
  <c r="H284" i="2"/>
  <c r="H285" i="2"/>
  <c r="H286" i="2"/>
  <c r="H287" i="2"/>
  <c r="H288" i="2"/>
  <c r="H289" i="2"/>
  <c r="H292" i="2"/>
  <c r="H293" i="2"/>
  <c r="H294" i="2"/>
  <c r="H295" i="2"/>
  <c r="H296" i="2"/>
  <c r="H297" i="2"/>
  <c r="H300" i="2"/>
  <c r="H301" i="2"/>
  <c r="H302" i="2"/>
  <c r="H303" i="2"/>
  <c r="H304" i="2"/>
  <c r="H305" i="2"/>
  <c r="H308" i="2"/>
  <c r="H309" i="2"/>
  <c r="H310" i="2"/>
  <c r="H311" i="2"/>
  <c r="H312" i="2"/>
  <c r="H313" i="2"/>
  <c r="H317" i="2"/>
  <c r="H318" i="2"/>
  <c r="H319" i="2"/>
  <c r="H320" i="2"/>
  <c r="H321" i="2"/>
  <c r="H324" i="2"/>
  <c r="H325" i="2"/>
  <c r="H326" i="2"/>
  <c r="H327" i="2"/>
  <c r="H328" i="2"/>
  <c r="H329" i="2"/>
  <c r="H332" i="2"/>
  <c r="H333" i="2"/>
  <c r="H334" i="2"/>
  <c r="H335" i="2"/>
  <c r="H337" i="2"/>
  <c r="H340" i="2"/>
  <c r="H341" i="2"/>
  <c r="H342" i="2"/>
  <c r="H343" i="2"/>
  <c r="H344" i="2"/>
  <c r="H345" i="2"/>
  <c r="H348" i="2"/>
  <c r="H349" i="2"/>
  <c r="H350" i="2"/>
  <c r="H351" i="2"/>
  <c r="H352" i="2"/>
  <c r="H353" i="2"/>
  <c r="H356" i="2"/>
  <c r="H357" i="2"/>
  <c r="H358" i="2"/>
  <c r="H359" i="2"/>
  <c r="H360" i="2"/>
  <c r="H361" i="2"/>
  <c r="H364" i="2"/>
  <c r="H365" i="2"/>
  <c r="H366" i="2"/>
  <c r="H367" i="2"/>
  <c r="H369" i="2"/>
  <c r="H372" i="2"/>
  <c r="H373" i="2"/>
  <c r="H374" i="2"/>
  <c r="H375" i="2"/>
  <c r="H376" i="2"/>
  <c r="H377" i="2"/>
  <c r="H380" i="2"/>
  <c r="H381" i="2"/>
  <c r="H382" i="2"/>
  <c r="H383" i="2"/>
  <c r="H384" i="2"/>
  <c r="H385" i="2"/>
  <c r="H388" i="2"/>
  <c r="H389" i="2"/>
  <c r="H390" i="2"/>
  <c r="H391" i="2"/>
  <c r="H392" i="2"/>
  <c r="H393" i="2"/>
  <c r="H396" i="2"/>
  <c r="H397" i="2"/>
  <c r="H398" i="2"/>
  <c r="H399" i="2"/>
  <c r="H400" i="2"/>
  <c r="H401" i="2"/>
  <c r="H404" i="2"/>
  <c r="H405" i="2"/>
  <c r="H406" i="2"/>
  <c r="H407" i="2"/>
  <c r="H408" i="2"/>
  <c r="H409" i="2"/>
  <c r="H412" i="2"/>
  <c r="H413" i="2"/>
  <c r="H414" i="2"/>
  <c r="H415" i="2"/>
  <c r="H416" i="2"/>
  <c r="H417" i="2"/>
  <c r="H420" i="2"/>
  <c r="H421" i="2"/>
  <c r="H423" i="2"/>
  <c r="H424" i="2"/>
  <c r="H425" i="2"/>
  <c r="H429" i="2"/>
  <c r="H430" i="2"/>
  <c r="H431" i="2"/>
  <c r="H433" i="2"/>
  <c r="H436" i="2"/>
  <c r="H437" i="2"/>
  <c r="H438" i="2"/>
  <c r="H439" i="2"/>
  <c r="H440" i="2"/>
  <c r="H441" i="2"/>
  <c r="H444" i="2"/>
  <c r="H445" i="2"/>
  <c r="H446" i="2"/>
  <c r="H447" i="2"/>
  <c r="H448" i="2"/>
  <c r="H449" i="2"/>
  <c r="H452" i="2"/>
  <c r="H453" i="2"/>
  <c r="H454" i="2"/>
  <c r="H455" i="2"/>
  <c r="H456" i="2"/>
  <c r="H457" i="2"/>
  <c r="H460" i="2"/>
  <c r="H461" i="2"/>
  <c r="H462" i="2"/>
  <c r="H463" i="2"/>
  <c r="H464" i="2"/>
  <c r="H465" i="2"/>
  <c r="H468" i="2"/>
  <c r="H469" i="2"/>
  <c r="H470" i="2"/>
  <c r="H471" i="2"/>
  <c r="H472" i="2"/>
  <c r="H473" i="2"/>
  <c r="H476" i="2"/>
  <c r="H477" i="2"/>
  <c r="H478" i="2"/>
  <c r="H479" i="2"/>
  <c r="H480" i="2"/>
  <c r="H481" i="2"/>
  <c r="H484" i="2"/>
  <c r="H485" i="2"/>
  <c r="H486" i="2"/>
  <c r="H487" i="2"/>
  <c r="H488" i="2"/>
  <c r="H489" i="2"/>
  <c r="H492" i="2"/>
  <c r="H493" i="2"/>
  <c r="H494" i="2"/>
  <c r="H495" i="2"/>
  <c r="H496" i="2"/>
  <c r="H497" i="2"/>
  <c r="H500" i="2"/>
  <c r="H501" i="2"/>
  <c r="H502" i="2"/>
  <c r="H503" i="2"/>
  <c r="H504" i="2"/>
  <c r="H505" i="2"/>
  <c r="H508" i="2"/>
  <c r="H509" i="2"/>
  <c r="H510" i="2"/>
  <c r="H511" i="2"/>
  <c r="H512" i="2"/>
  <c r="H513" i="2"/>
  <c r="H516" i="2"/>
  <c r="H517" i="2"/>
  <c r="H518" i="2"/>
  <c r="H519" i="2"/>
  <c r="H520" i="2"/>
  <c r="H521" i="2"/>
  <c r="H524" i="2"/>
  <c r="H525" i="2"/>
  <c r="H526" i="2"/>
  <c r="H527" i="2"/>
  <c r="H528" i="2"/>
  <c r="H529" i="2"/>
  <c r="H532" i="2"/>
  <c r="H533" i="2"/>
  <c r="H534" i="2"/>
  <c r="H535" i="2"/>
  <c r="H536" i="2"/>
  <c r="H537" i="2"/>
  <c r="H540" i="2"/>
  <c r="H541" i="2"/>
  <c r="H542" i="2"/>
  <c r="H543" i="2"/>
  <c r="H544" i="2"/>
  <c r="H545" i="2"/>
  <c r="H548" i="2"/>
  <c r="H549" i="2"/>
  <c r="H550" i="2"/>
  <c r="H551" i="2"/>
  <c r="H552" i="2"/>
  <c r="H553" i="2"/>
  <c r="H556" i="2"/>
  <c r="H557" i="2"/>
  <c r="H558" i="2"/>
  <c r="H559" i="2"/>
  <c r="H560" i="2"/>
  <c r="H561" i="2"/>
  <c r="H564" i="2"/>
  <c r="H565" i="2"/>
  <c r="H566" i="2"/>
  <c r="H567" i="2"/>
  <c r="H568" i="2"/>
  <c r="H569" i="2"/>
  <c r="H572" i="2"/>
  <c r="H573" i="2"/>
  <c r="H574" i="2"/>
  <c r="H575" i="2"/>
  <c r="H576" i="2"/>
  <c r="H577" i="2"/>
  <c r="H580" i="2"/>
  <c r="H581" i="2"/>
  <c r="H582" i="2"/>
  <c r="H583" i="2"/>
  <c r="H584" i="2"/>
  <c r="H585" i="2"/>
  <c r="H588" i="2"/>
  <c r="H589" i="2"/>
  <c r="H590" i="2"/>
  <c r="H591" i="2"/>
  <c r="H592" i="2"/>
  <c r="H593" i="2"/>
  <c r="H596" i="2"/>
  <c r="H597" i="2"/>
  <c r="H598" i="2"/>
  <c r="H599" i="2"/>
  <c r="H600" i="2"/>
  <c r="H601" i="2"/>
  <c r="H604" i="2"/>
  <c r="H605" i="2"/>
  <c r="H606" i="2"/>
  <c r="H607" i="2"/>
  <c r="H608" i="2"/>
  <c r="H609" i="2"/>
  <c r="H612" i="2"/>
  <c r="H613" i="2"/>
  <c r="H614" i="2"/>
  <c r="H615" i="2"/>
  <c r="H616" i="2"/>
  <c r="H617" i="2"/>
  <c r="H620" i="2"/>
  <c r="H621" i="2"/>
  <c r="H622" i="2"/>
  <c r="H623" i="2"/>
  <c r="H624" i="2"/>
  <c r="H625" i="2"/>
  <c r="H628" i="2"/>
  <c r="H629" i="2"/>
  <c r="H630" i="2"/>
  <c r="H631" i="2"/>
  <c r="H632" i="2"/>
  <c r="H633" i="2"/>
  <c r="H636" i="2"/>
  <c r="H637" i="2"/>
  <c r="H638" i="2"/>
  <c r="H639" i="2"/>
  <c r="H640" i="2"/>
  <c r="H641" i="2"/>
  <c r="H644" i="2"/>
  <c r="H645" i="2"/>
  <c r="H646" i="2"/>
  <c r="H647" i="2"/>
  <c r="H648" i="2"/>
  <c r="H649" i="2"/>
  <c r="H652" i="2"/>
  <c r="H653" i="2"/>
  <c r="H654" i="2"/>
  <c r="H655" i="2"/>
  <c r="H656" i="2"/>
  <c r="H657" i="2"/>
  <c r="H660" i="2"/>
  <c r="H661" i="2"/>
  <c r="H662" i="2"/>
  <c r="H663" i="2"/>
  <c r="H664" i="2"/>
  <c r="H665" i="2"/>
  <c r="H668" i="2"/>
  <c r="H669" i="2"/>
  <c r="H670" i="2"/>
  <c r="H671" i="2"/>
  <c r="H672" i="2"/>
  <c r="H673" i="2"/>
  <c r="H676" i="2"/>
  <c r="H677" i="2"/>
  <c r="H678" i="2"/>
  <c r="H679" i="2"/>
  <c r="H680" i="2"/>
  <c r="H681" i="2"/>
  <c r="H684" i="2"/>
  <c r="H685" i="2"/>
  <c r="H686" i="2"/>
  <c r="H687" i="2"/>
  <c r="H688" i="2"/>
  <c r="H689" i="2"/>
  <c r="H692" i="2"/>
  <c r="H693" i="2"/>
  <c r="H694" i="2"/>
  <c r="H695" i="2"/>
  <c r="H696" i="2"/>
  <c r="H697" i="2"/>
  <c r="H700" i="2"/>
  <c r="H701" i="2"/>
  <c r="H702" i="2"/>
  <c r="H703" i="2"/>
  <c r="H704" i="2"/>
  <c r="H705" i="2"/>
  <c r="H708" i="2"/>
  <c r="H709" i="2"/>
  <c r="H710" i="2"/>
  <c r="H711" i="2"/>
  <c r="H712" i="2"/>
  <c r="H713" i="2"/>
  <c r="H716" i="2"/>
  <c r="H717" i="2"/>
  <c r="H718" i="2"/>
  <c r="H719" i="2"/>
  <c r="H720" i="2"/>
  <c r="H721" i="2"/>
  <c r="H724" i="2"/>
  <c r="H725" i="2"/>
  <c r="H726" i="2"/>
  <c r="H727" i="2"/>
  <c r="H728" i="2"/>
  <c r="H729" i="2"/>
  <c r="H732" i="2"/>
  <c r="H733" i="2"/>
  <c r="H734" i="2"/>
  <c r="H737" i="2"/>
  <c r="H740" i="2"/>
  <c r="H741" i="2"/>
  <c r="H742" i="2"/>
  <c r="H743" i="2"/>
  <c r="H744" i="2"/>
  <c r="H745" i="2"/>
  <c r="H748" i="2"/>
  <c r="H749" i="2"/>
  <c r="H750" i="2"/>
  <c r="H751" i="2"/>
  <c r="H752" i="2"/>
  <c r="H753" i="2"/>
  <c r="H756" i="2"/>
  <c r="H757" i="2"/>
  <c r="H758" i="2"/>
  <c r="H759" i="2"/>
  <c r="H760" i="2"/>
  <c r="H761" i="2"/>
  <c r="H764" i="2"/>
  <c r="H765" i="2"/>
  <c r="H766" i="2"/>
  <c r="H767" i="2"/>
  <c r="H768" i="2"/>
  <c r="H769" i="2"/>
  <c r="H772" i="2"/>
  <c r="H773" i="2"/>
  <c r="H774" i="2"/>
  <c r="H775" i="2"/>
  <c r="H776" i="2"/>
  <c r="H777" i="2"/>
  <c r="H780" i="2"/>
  <c r="H781" i="2"/>
  <c r="H782" i="2"/>
  <c r="H783" i="2"/>
  <c r="H784" i="2"/>
  <c r="H785" i="2"/>
  <c r="H788" i="2"/>
  <c r="H789" i="2"/>
  <c r="H790" i="2"/>
  <c r="H791" i="2"/>
  <c r="H792" i="2"/>
  <c r="H793" i="2"/>
  <c r="H796" i="2"/>
  <c r="H797" i="2"/>
  <c r="H798" i="2"/>
  <c r="H799" i="2"/>
  <c r="H801" i="2"/>
  <c r="H804" i="2"/>
  <c r="H805" i="2"/>
  <c r="H806" i="2"/>
  <c r="H807" i="2"/>
  <c r="H808" i="2"/>
  <c r="H809" i="2"/>
  <c r="H812" i="2"/>
  <c r="H813" i="2"/>
  <c r="H814" i="2"/>
  <c r="H815" i="2"/>
  <c r="H816" i="2"/>
  <c r="H817" i="2"/>
  <c r="H820" i="2"/>
  <c r="H821" i="2"/>
  <c r="H822" i="2"/>
  <c r="H823" i="2"/>
  <c r="H824" i="2"/>
  <c r="H825" i="2"/>
  <c r="H828" i="2"/>
  <c r="H829" i="2"/>
  <c r="H830" i="2"/>
  <c r="H831" i="2"/>
  <c r="H832" i="2"/>
  <c r="H833" i="2"/>
  <c r="H836" i="2"/>
  <c r="H837" i="2"/>
  <c r="H838" i="2"/>
  <c r="H839" i="2"/>
  <c r="H840" i="2"/>
  <c r="H841" i="2"/>
  <c r="H844" i="2"/>
  <c r="H845" i="2"/>
  <c r="H846" i="2"/>
  <c r="H847" i="2"/>
  <c r="H848" i="2"/>
  <c r="H849" i="2"/>
  <c r="H852" i="2"/>
  <c r="H853" i="2"/>
  <c r="H854" i="2"/>
  <c r="H855" i="2"/>
  <c r="H856" i="2"/>
  <c r="H857" i="2"/>
  <c r="H860" i="2"/>
  <c r="H861" i="2"/>
  <c r="H862" i="2"/>
  <c r="H863" i="2"/>
  <c r="H864" i="2"/>
  <c r="H865" i="2"/>
  <c r="H868" i="2"/>
  <c r="H869" i="2"/>
  <c r="H870" i="2"/>
  <c r="H871" i="2"/>
  <c r="H872" i="2"/>
  <c r="H873" i="2"/>
  <c r="H876" i="2"/>
  <c r="H877" i="2"/>
  <c r="H878" i="2"/>
  <c r="H879" i="2"/>
  <c r="H880" i="2"/>
  <c r="H881" i="2"/>
  <c r="H884" i="2"/>
  <c r="H885" i="2"/>
  <c r="H886" i="2"/>
  <c r="H887" i="2"/>
  <c r="H888" i="2"/>
  <c r="H889" i="2"/>
  <c r="H892" i="2"/>
  <c r="H893" i="2"/>
  <c r="H894" i="2"/>
  <c r="H895" i="2"/>
  <c r="H896" i="2"/>
  <c r="H897" i="2"/>
  <c r="H900" i="2"/>
  <c r="H901" i="2"/>
  <c r="H902" i="2"/>
  <c r="H903" i="2"/>
  <c r="H904" i="2"/>
  <c r="H905" i="2"/>
  <c r="H909" i="2"/>
  <c r="H910" i="2"/>
  <c r="H911" i="2"/>
  <c r="H912" i="2"/>
  <c r="H913" i="2"/>
  <c r="H916" i="2"/>
  <c r="H917" i="2"/>
  <c r="H918" i="2"/>
  <c r="H919" i="2"/>
  <c r="H920" i="2"/>
  <c r="H921" i="2"/>
  <c r="H924" i="2"/>
  <c r="H925" i="2"/>
  <c r="H926" i="2"/>
  <c r="H927" i="2"/>
  <c r="H928" i="2"/>
  <c r="H929" i="2"/>
  <c r="H932" i="2"/>
  <c r="H933" i="2"/>
  <c r="H934" i="2"/>
  <c r="H935" i="2"/>
  <c r="H936" i="2"/>
  <c r="H937" i="2"/>
  <c r="H940" i="2"/>
  <c r="H941" i="2"/>
  <c r="H942" i="2"/>
  <c r="H943" i="2"/>
  <c r="H944" i="2"/>
  <c r="H945" i="2"/>
  <c r="H948" i="2"/>
  <c r="H949" i="2"/>
  <c r="H950" i="2"/>
  <c r="H951" i="2"/>
  <c r="H952" i="2"/>
  <c r="H953" i="2"/>
  <c r="H956" i="2"/>
  <c r="H957" i="2"/>
  <c r="H958" i="2"/>
  <c r="H959" i="2"/>
  <c r="H960" i="2"/>
  <c r="H961" i="2"/>
  <c r="H964" i="2"/>
  <c r="H965" i="2"/>
  <c r="H966" i="2"/>
  <c r="H967" i="2"/>
  <c r="H968" i="2"/>
  <c r="H969" i="2"/>
  <c r="H972" i="2"/>
  <c r="H973" i="2"/>
  <c r="H974" i="2"/>
  <c r="H975" i="2"/>
  <c r="H976" i="2"/>
  <c r="H977" i="2"/>
  <c r="H980" i="2"/>
  <c r="H981" i="2"/>
  <c r="H982" i="2"/>
  <c r="H983" i="2"/>
  <c r="H984" i="2"/>
  <c r="H985" i="2"/>
  <c r="H988" i="2"/>
  <c r="H989" i="2"/>
  <c r="H990" i="2"/>
  <c r="H991" i="2"/>
  <c r="H992" i="2"/>
  <c r="H993" i="2"/>
  <c r="H996" i="2"/>
  <c r="H997" i="2"/>
  <c r="H998" i="2"/>
  <c r="H999" i="2"/>
  <c r="H1000" i="2"/>
  <c r="H1001" i="2"/>
  <c r="H1004" i="2"/>
  <c r="H1005" i="2"/>
  <c r="H1006" i="2"/>
  <c r="H1007" i="2"/>
  <c r="H1008" i="2"/>
  <c r="H1009" i="2"/>
  <c r="H1012" i="2"/>
  <c r="H1013" i="2"/>
  <c r="H1014" i="2"/>
  <c r="H1015" i="2"/>
  <c r="H1016" i="2"/>
  <c r="H1017" i="2"/>
  <c r="H1020" i="2"/>
  <c r="H1021" i="2"/>
  <c r="H1022" i="2"/>
  <c r="H1023" i="2"/>
  <c r="H1024" i="2"/>
  <c r="H1025" i="2"/>
  <c r="H1028" i="2"/>
  <c r="H1029" i="2"/>
  <c r="H1030" i="2"/>
  <c r="H1031" i="2"/>
  <c r="H1032" i="2"/>
  <c r="H1033" i="2"/>
  <c r="H1036" i="2"/>
  <c r="H1037" i="2"/>
  <c r="H1038" i="2"/>
  <c r="H1039" i="2"/>
  <c r="H1040" i="2"/>
  <c r="H1041" i="2"/>
  <c r="H1044" i="2"/>
  <c r="H1045" i="2"/>
  <c r="H1046" i="2"/>
  <c r="H1047" i="2"/>
  <c r="H1048" i="2"/>
  <c r="H1049" i="2"/>
  <c r="H1052" i="2"/>
  <c r="H1053" i="2"/>
  <c r="H1054" i="2"/>
  <c r="H1055" i="2"/>
  <c r="H1056" i="2"/>
  <c r="H1057" i="2"/>
  <c r="H1060" i="2"/>
  <c r="H1061" i="2"/>
  <c r="H1062" i="2"/>
  <c r="H1063" i="2"/>
  <c r="H1064" i="2"/>
  <c r="H1065" i="2"/>
  <c r="H1068" i="2"/>
  <c r="H1069" i="2"/>
  <c r="H1070" i="2"/>
  <c r="H1071" i="2"/>
  <c r="H1072" i="2"/>
  <c r="H1073" i="2"/>
  <c r="H1076" i="2"/>
  <c r="H1077" i="2"/>
  <c r="H1078" i="2"/>
  <c r="H1079" i="2"/>
  <c r="H1080" i="2"/>
  <c r="H1081" i="2"/>
  <c r="H1084" i="2"/>
  <c r="H1085" i="2"/>
  <c r="H1086" i="2"/>
  <c r="H1087" i="2"/>
  <c r="H1088" i="2"/>
  <c r="H1089" i="2"/>
  <c r="H1092" i="2"/>
  <c r="H1093" i="2"/>
  <c r="H1094" i="2"/>
  <c r="H1095" i="2"/>
  <c r="H1096" i="2"/>
  <c r="H1097" i="2"/>
  <c r="H3" i="2"/>
  <c r="H4" i="2"/>
  <c r="H5" i="2"/>
  <c r="B1100" i="2"/>
  <c r="C1100" i="2"/>
  <c r="E1100" i="2"/>
  <c r="F1100" i="2"/>
  <c r="B1101" i="2"/>
  <c r="C1101" i="2"/>
  <c r="E1101" i="2"/>
  <c r="F1101" i="2"/>
  <c r="B1102" i="2"/>
  <c r="C1102" i="2"/>
  <c r="E1102" i="2"/>
  <c r="F1102" i="2"/>
  <c r="B1103" i="2"/>
  <c r="C1103" i="2"/>
  <c r="E1103" i="2"/>
  <c r="F1103" i="2"/>
  <c r="B1104" i="2"/>
  <c r="C1104" i="2"/>
  <c r="E1104" i="2"/>
  <c r="F1104" i="2"/>
  <c r="B1105" i="2"/>
  <c r="C1105" i="2"/>
  <c r="E1105" i="2"/>
  <c r="F1105" i="2"/>
  <c r="B1108" i="2"/>
  <c r="C1108" i="2"/>
  <c r="E1108" i="2"/>
  <c r="F1108" i="2"/>
  <c r="B1109" i="2"/>
  <c r="C1109" i="2"/>
  <c r="E1109" i="2"/>
  <c r="F1109" i="2"/>
  <c r="B1110" i="2"/>
  <c r="C1110" i="2"/>
  <c r="E1110" i="2"/>
  <c r="F1110" i="2"/>
  <c r="B1111" i="2"/>
  <c r="C1111" i="2"/>
  <c r="E1111" i="2"/>
  <c r="F1111" i="2"/>
  <c r="B1112" i="2"/>
  <c r="C1112" i="2"/>
  <c r="E1112" i="2"/>
  <c r="F1112" i="2"/>
  <c r="B1113" i="2"/>
  <c r="C1113" i="2"/>
  <c r="E1113" i="2"/>
  <c r="F1113" i="2"/>
  <c r="B1116" i="2"/>
  <c r="C1116" i="2"/>
  <c r="E1116" i="2"/>
  <c r="F1116" i="2"/>
  <c r="B1117" i="2"/>
  <c r="C1117" i="2"/>
  <c r="E1117" i="2"/>
  <c r="F1117" i="2"/>
  <c r="B1118" i="2"/>
  <c r="C1118" i="2"/>
  <c r="E1118" i="2"/>
  <c r="F1118" i="2"/>
  <c r="B1119" i="2"/>
  <c r="C1119" i="2"/>
  <c r="E1119" i="2"/>
  <c r="F1119" i="2"/>
  <c r="B1120" i="2"/>
  <c r="C1120" i="2"/>
  <c r="E1120" i="2"/>
  <c r="F1120" i="2"/>
  <c r="B1121" i="2"/>
  <c r="C1121" i="2"/>
  <c r="E1121" i="2"/>
  <c r="F1121" i="2"/>
  <c r="B1124" i="2"/>
  <c r="C1124" i="2"/>
  <c r="E1124" i="2"/>
  <c r="F1124" i="2"/>
  <c r="B1125" i="2"/>
  <c r="C1125" i="2"/>
  <c r="E1125" i="2"/>
  <c r="F1125" i="2"/>
  <c r="B1126" i="2"/>
  <c r="C1126" i="2"/>
  <c r="E1126" i="2"/>
  <c r="F1126" i="2"/>
  <c r="B1127" i="2"/>
  <c r="C1127" i="2"/>
  <c r="E1127" i="2"/>
  <c r="F1127" i="2"/>
  <c r="B1128" i="2"/>
  <c r="C1128" i="2"/>
  <c r="E1128" i="2"/>
  <c r="F1128" i="2"/>
  <c r="B1129" i="2"/>
  <c r="C1129" i="2"/>
  <c r="E1129" i="2"/>
  <c r="F1129" i="2"/>
  <c r="B1132" i="2"/>
  <c r="C1132" i="2"/>
  <c r="E1132" i="2"/>
  <c r="F1132" i="2"/>
  <c r="B1133" i="2"/>
  <c r="C1133" i="2"/>
  <c r="E1133" i="2"/>
  <c r="F1133" i="2"/>
  <c r="B1134" i="2"/>
  <c r="C1134" i="2"/>
  <c r="E1134" i="2"/>
  <c r="F1134" i="2"/>
  <c r="B1135" i="2"/>
  <c r="C1135" i="2"/>
  <c r="E1135" i="2"/>
  <c r="F1135" i="2"/>
  <c r="B1136" i="2"/>
  <c r="C1136" i="2"/>
  <c r="E1136" i="2"/>
  <c r="F1136" i="2"/>
  <c r="B1137" i="2"/>
  <c r="C1137" i="2"/>
  <c r="E1137" i="2"/>
  <c r="F1137" i="2"/>
  <c r="B1140" i="2"/>
  <c r="C1140" i="2"/>
  <c r="E1140" i="2"/>
  <c r="F1140" i="2"/>
  <c r="B1141" i="2"/>
  <c r="C1141" i="2"/>
  <c r="E1141" i="2"/>
  <c r="F1141" i="2"/>
  <c r="B1142" i="2"/>
  <c r="C1142" i="2"/>
  <c r="E1142" i="2"/>
  <c r="F1142" i="2"/>
  <c r="B1143" i="2"/>
  <c r="C1143" i="2"/>
  <c r="E1143" i="2"/>
  <c r="F1143" i="2"/>
  <c r="B1144" i="2"/>
  <c r="C1144" i="2"/>
  <c r="E1144" i="2"/>
  <c r="F1144" i="2"/>
  <c r="B1145" i="2"/>
  <c r="C1145" i="2"/>
  <c r="E1145" i="2"/>
  <c r="F1145" i="2"/>
  <c r="B1148" i="2"/>
  <c r="C1148" i="2"/>
  <c r="E1148" i="2"/>
  <c r="F1148" i="2"/>
  <c r="B1149" i="2"/>
  <c r="C1149" i="2"/>
  <c r="E1149" i="2"/>
  <c r="F1149" i="2"/>
  <c r="B1150" i="2"/>
  <c r="C1150" i="2"/>
  <c r="E1150" i="2"/>
  <c r="F1150" i="2"/>
  <c r="B1151" i="2"/>
  <c r="C1151" i="2"/>
  <c r="E1151" i="2"/>
  <c r="F1151" i="2"/>
  <c r="B1152" i="2"/>
  <c r="C1152" i="2"/>
  <c r="E1152" i="2"/>
  <c r="F1152" i="2"/>
  <c r="B1153" i="2"/>
  <c r="C1153" i="2"/>
  <c r="E1153" i="2"/>
  <c r="F1153" i="2"/>
  <c r="B1156" i="2"/>
  <c r="C1156" i="2"/>
  <c r="E1156" i="2"/>
  <c r="F1156" i="2"/>
  <c r="B1157" i="2"/>
  <c r="C1157" i="2"/>
  <c r="E1157" i="2"/>
  <c r="F1157" i="2"/>
  <c r="B1158" i="2"/>
  <c r="C1158" i="2"/>
  <c r="E1158" i="2"/>
  <c r="F1158" i="2"/>
  <c r="B1159" i="2"/>
  <c r="C1159" i="2"/>
  <c r="E1159" i="2"/>
  <c r="F1159" i="2"/>
  <c r="B1160" i="2"/>
  <c r="C1160" i="2"/>
  <c r="E1160" i="2"/>
  <c r="F1160" i="2"/>
  <c r="B1161" i="2"/>
  <c r="C1161" i="2"/>
  <c r="E1161" i="2"/>
  <c r="F1161" i="2"/>
  <c r="B1164" i="2"/>
  <c r="C1164" i="2"/>
  <c r="E1164" i="2"/>
  <c r="F1164" i="2"/>
  <c r="B1165" i="2"/>
  <c r="C1165" i="2"/>
  <c r="E1165" i="2"/>
  <c r="F1165" i="2"/>
  <c r="B1166" i="2"/>
  <c r="C1166" i="2"/>
  <c r="E1166" i="2"/>
  <c r="F1166" i="2"/>
  <c r="B1167" i="2"/>
  <c r="C1167" i="2"/>
  <c r="E1167" i="2"/>
  <c r="F1167" i="2"/>
  <c r="B1168" i="2"/>
  <c r="C1168" i="2"/>
  <c r="E1168" i="2"/>
  <c r="F1168" i="2"/>
  <c r="B1169" i="2"/>
  <c r="C1169" i="2"/>
  <c r="E1169" i="2"/>
  <c r="F1169" i="2"/>
  <c r="B1172" i="2"/>
  <c r="C1172" i="2"/>
  <c r="E1172" i="2"/>
  <c r="F1172" i="2"/>
  <c r="B1173" i="2"/>
  <c r="C1173" i="2"/>
  <c r="E1173" i="2"/>
  <c r="F1173" i="2"/>
  <c r="B1174" i="2"/>
  <c r="C1174" i="2"/>
  <c r="E1174" i="2"/>
  <c r="F1174" i="2"/>
  <c r="B1175" i="2"/>
  <c r="C1175" i="2"/>
  <c r="E1175" i="2"/>
  <c r="F1175" i="2"/>
  <c r="B1176" i="2"/>
  <c r="C1176" i="2"/>
  <c r="E1176" i="2"/>
  <c r="F1176" i="2"/>
  <c r="B1177" i="2"/>
  <c r="C1177" i="2"/>
  <c r="E1177" i="2"/>
  <c r="F1177" i="2"/>
  <c r="B1180" i="2"/>
  <c r="C1180" i="2"/>
  <c r="E1180" i="2"/>
  <c r="F1180" i="2"/>
  <c r="B1181" i="2"/>
  <c r="C1181" i="2"/>
  <c r="E1181" i="2"/>
  <c r="F1181" i="2"/>
  <c r="B1182" i="2"/>
  <c r="C1182" i="2"/>
  <c r="E1182" i="2"/>
  <c r="F1182" i="2"/>
  <c r="B1183" i="2"/>
  <c r="C1183" i="2"/>
  <c r="E1183" i="2"/>
  <c r="F1183" i="2"/>
  <c r="B1184" i="2"/>
  <c r="C1184" i="2"/>
  <c r="E1184" i="2"/>
  <c r="F1184" i="2"/>
  <c r="B1185" i="2"/>
  <c r="C1185" i="2"/>
  <c r="E1185" i="2"/>
  <c r="F1185" i="2"/>
  <c r="B1188" i="2"/>
  <c r="C1188" i="2"/>
  <c r="E1188" i="2"/>
  <c r="F1188" i="2"/>
  <c r="B1189" i="2"/>
  <c r="C1189" i="2"/>
  <c r="E1189" i="2"/>
  <c r="F1189" i="2"/>
  <c r="B1190" i="2"/>
  <c r="C1190" i="2"/>
  <c r="E1190" i="2"/>
  <c r="F1190" i="2"/>
  <c r="B1191" i="2"/>
  <c r="C1191" i="2"/>
  <c r="E1191" i="2"/>
  <c r="F1191" i="2"/>
  <c r="B1192" i="2"/>
  <c r="C1192" i="2"/>
  <c r="E1192" i="2"/>
  <c r="F1192" i="2"/>
  <c r="B1193" i="2"/>
  <c r="C1193" i="2"/>
  <c r="E1193" i="2"/>
  <c r="F1193" i="2"/>
  <c r="B1196" i="2"/>
  <c r="C1196" i="2"/>
  <c r="E1196" i="2"/>
  <c r="F1196" i="2"/>
  <c r="B1197" i="2"/>
  <c r="C1197" i="2"/>
  <c r="E1197" i="2"/>
  <c r="F1197" i="2"/>
  <c r="B1198" i="2"/>
  <c r="C1198" i="2"/>
  <c r="E1198" i="2"/>
  <c r="F1198" i="2"/>
  <c r="B1199" i="2"/>
  <c r="C1199" i="2"/>
  <c r="E1199" i="2"/>
  <c r="F1199" i="2"/>
  <c r="B1200" i="2"/>
  <c r="C1200" i="2"/>
  <c r="E1200" i="2"/>
  <c r="F1200" i="2"/>
  <c r="B1201" i="2"/>
  <c r="C1201" i="2"/>
  <c r="E1201" i="2"/>
  <c r="F1201" i="2"/>
  <c r="B1204" i="2"/>
  <c r="C1204" i="2"/>
  <c r="E1204" i="2"/>
  <c r="F1204" i="2"/>
  <c r="B1205" i="2"/>
  <c r="C1205" i="2"/>
  <c r="E1205" i="2"/>
  <c r="F1205" i="2"/>
  <c r="B1206" i="2"/>
  <c r="C1206" i="2"/>
  <c r="E1206" i="2"/>
  <c r="F1206" i="2"/>
  <c r="B1207" i="2"/>
  <c r="C1207" i="2"/>
  <c r="E1207" i="2"/>
  <c r="F1207" i="2"/>
  <c r="B1208" i="2"/>
  <c r="C1208" i="2"/>
  <c r="E1208" i="2"/>
  <c r="F1208" i="2"/>
  <c r="B1209" i="2"/>
  <c r="C1209" i="2"/>
  <c r="E1209" i="2"/>
  <c r="F1209" i="2"/>
  <c r="B1212" i="2"/>
  <c r="C1212" i="2"/>
  <c r="E1212" i="2"/>
  <c r="F1212" i="2"/>
  <c r="B1213" i="2"/>
  <c r="C1213" i="2"/>
  <c r="E1213" i="2"/>
  <c r="F1213" i="2"/>
  <c r="B1214" i="2"/>
  <c r="C1214" i="2"/>
  <c r="E1214" i="2"/>
  <c r="F1214" i="2"/>
  <c r="B1215" i="2"/>
  <c r="C1215" i="2"/>
  <c r="E1215" i="2"/>
  <c r="F1215" i="2"/>
  <c r="B1216" i="2"/>
  <c r="C1216" i="2"/>
  <c r="E1216" i="2"/>
  <c r="F1216" i="2"/>
  <c r="B1217" i="2"/>
  <c r="C1217" i="2"/>
  <c r="E1217" i="2"/>
  <c r="F1217" i="2"/>
  <c r="B1220" i="2"/>
  <c r="C1220" i="2"/>
  <c r="E1220" i="2"/>
  <c r="F1220" i="2"/>
  <c r="B1221" i="2"/>
  <c r="C1221" i="2"/>
  <c r="E1221" i="2"/>
  <c r="F1221" i="2"/>
  <c r="B1222" i="2"/>
  <c r="C1222" i="2"/>
  <c r="E1222" i="2"/>
  <c r="F1222" i="2"/>
  <c r="B1223" i="2"/>
  <c r="C1223" i="2"/>
  <c r="E1223" i="2"/>
  <c r="F1223" i="2"/>
  <c r="B1224" i="2"/>
  <c r="C1224" i="2"/>
  <c r="E1224" i="2"/>
  <c r="F1224" i="2"/>
  <c r="B1225" i="2"/>
  <c r="C1225" i="2"/>
  <c r="E1225" i="2"/>
  <c r="F1225" i="2"/>
  <c r="B1228" i="2"/>
  <c r="C1228" i="2"/>
  <c r="E1228" i="2"/>
  <c r="F1228" i="2"/>
  <c r="B1229" i="2"/>
  <c r="C1229" i="2"/>
  <c r="E1229" i="2"/>
  <c r="F1229" i="2"/>
  <c r="B1230" i="2"/>
  <c r="C1230" i="2"/>
  <c r="E1230" i="2"/>
  <c r="F1230" i="2"/>
  <c r="B1231" i="2"/>
  <c r="C1231" i="2"/>
  <c r="E1231" i="2"/>
  <c r="F1231" i="2"/>
  <c r="B1232" i="2"/>
  <c r="C1232" i="2"/>
  <c r="E1232" i="2"/>
  <c r="F1232" i="2"/>
  <c r="B1233" i="2"/>
  <c r="C1233" i="2"/>
  <c r="E1233" i="2"/>
  <c r="F1233" i="2"/>
  <c r="B1236" i="2"/>
  <c r="C1236" i="2"/>
  <c r="E1236" i="2"/>
  <c r="F1236" i="2"/>
  <c r="B1237" i="2"/>
  <c r="C1237" i="2"/>
  <c r="E1237" i="2"/>
  <c r="F1237" i="2"/>
  <c r="B1238" i="2"/>
  <c r="C1238" i="2"/>
  <c r="E1238" i="2"/>
  <c r="F1238" i="2"/>
  <c r="B1239" i="2"/>
  <c r="C1239" i="2"/>
  <c r="E1239" i="2"/>
  <c r="F1239" i="2"/>
  <c r="B1240" i="2"/>
  <c r="C1240" i="2"/>
  <c r="E1240" i="2"/>
  <c r="F1240" i="2"/>
  <c r="B1241" i="2"/>
  <c r="C1241" i="2"/>
  <c r="E1241" i="2"/>
  <c r="F1241" i="2"/>
  <c r="B1244" i="2"/>
  <c r="C1244" i="2"/>
  <c r="E1244" i="2"/>
  <c r="F1244" i="2"/>
  <c r="B1245" i="2"/>
  <c r="C1245" i="2"/>
  <c r="E1245" i="2"/>
  <c r="F1245" i="2"/>
  <c r="B1246" i="2"/>
  <c r="C1246" i="2"/>
  <c r="E1246" i="2"/>
  <c r="F1246" i="2"/>
  <c r="B1247" i="2"/>
  <c r="C1247" i="2"/>
  <c r="E1247" i="2"/>
  <c r="F1247" i="2"/>
  <c r="B1248" i="2"/>
  <c r="C1248" i="2"/>
  <c r="E1248" i="2"/>
  <c r="F1248" i="2"/>
  <c r="B1249" i="2"/>
  <c r="C1249" i="2"/>
  <c r="E1249" i="2"/>
  <c r="F1249" i="2"/>
  <c r="B1252" i="2"/>
  <c r="C1252" i="2"/>
  <c r="E1252" i="2"/>
  <c r="F1252" i="2"/>
  <c r="B1253" i="2"/>
  <c r="C1253" i="2"/>
  <c r="E1253" i="2"/>
  <c r="F1253" i="2"/>
  <c r="B1254" i="2"/>
  <c r="C1254" i="2"/>
  <c r="E1254" i="2"/>
  <c r="F1254" i="2"/>
  <c r="B1255" i="2"/>
  <c r="C1255" i="2"/>
  <c r="E1255" i="2"/>
  <c r="F1255" i="2"/>
  <c r="B1256" i="2"/>
  <c r="C1256" i="2"/>
  <c r="E1256" i="2"/>
  <c r="F1256" i="2"/>
  <c r="B1257" i="2"/>
  <c r="C1257" i="2"/>
  <c r="E1257" i="2"/>
  <c r="F1257" i="2"/>
  <c r="B1260" i="2"/>
  <c r="C1260" i="2"/>
  <c r="E1260" i="2"/>
  <c r="F1260" i="2"/>
  <c r="B1261" i="2"/>
  <c r="C1261" i="2"/>
  <c r="E1261" i="2"/>
  <c r="F1261" i="2"/>
  <c r="B1262" i="2"/>
  <c r="C1262" i="2"/>
  <c r="E1262" i="2"/>
  <c r="F1262" i="2"/>
  <c r="B1263" i="2"/>
  <c r="C1263" i="2"/>
  <c r="E1263" i="2"/>
  <c r="F1263" i="2"/>
  <c r="B1264" i="2"/>
  <c r="C1264" i="2"/>
  <c r="E1264" i="2"/>
  <c r="F1264" i="2"/>
  <c r="B1265" i="2"/>
  <c r="C1265" i="2"/>
  <c r="E1265" i="2"/>
  <c r="F1265" i="2"/>
  <c r="B1268" i="2"/>
  <c r="C1268" i="2"/>
  <c r="E1268" i="2"/>
  <c r="F1268" i="2"/>
  <c r="B1269" i="2"/>
  <c r="C1269" i="2"/>
  <c r="E1269" i="2"/>
  <c r="F1269" i="2"/>
  <c r="B1270" i="2"/>
  <c r="C1270" i="2"/>
  <c r="E1270" i="2"/>
  <c r="F1270" i="2"/>
  <c r="B1271" i="2"/>
  <c r="C1271" i="2"/>
  <c r="E1271" i="2"/>
  <c r="F1271" i="2"/>
  <c r="B1272" i="2"/>
  <c r="C1272" i="2"/>
  <c r="E1272" i="2"/>
  <c r="F1272" i="2"/>
  <c r="B1273" i="2"/>
  <c r="C1273" i="2"/>
  <c r="E1273" i="2"/>
  <c r="F1273" i="2"/>
  <c r="B1276" i="2"/>
  <c r="C1276" i="2"/>
  <c r="E1276" i="2"/>
  <c r="F1276" i="2"/>
  <c r="B1277" i="2"/>
  <c r="C1277" i="2"/>
  <c r="E1277" i="2"/>
  <c r="F1277" i="2"/>
  <c r="B1278" i="2"/>
  <c r="C1278" i="2"/>
  <c r="E1278" i="2"/>
  <c r="F1278" i="2"/>
  <c r="B1279" i="2"/>
  <c r="C1279" i="2"/>
  <c r="E1279" i="2"/>
  <c r="F1279" i="2"/>
  <c r="B1280" i="2"/>
  <c r="C1280" i="2"/>
  <c r="E1280" i="2"/>
  <c r="F1280" i="2"/>
  <c r="B1281" i="2"/>
  <c r="C1281" i="2"/>
  <c r="E1281" i="2"/>
  <c r="F1281" i="2"/>
  <c r="B1284" i="2"/>
  <c r="C1284" i="2"/>
  <c r="E1284" i="2"/>
  <c r="F1284" i="2"/>
  <c r="B1285" i="2"/>
  <c r="C1285" i="2"/>
  <c r="E1285" i="2"/>
  <c r="F1285" i="2"/>
  <c r="B1286" i="2"/>
  <c r="C1286" i="2"/>
  <c r="E1286" i="2"/>
  <c r="F1286" i="2"/>
  <c r="B1287" i="2"/>
  <c r="C1287" i="2"/>
  <c r="E1287" i="2"/>
  <c r="F1287" i="2"/>
  <c r="B1288" i="2"/>
  <c r="C1288" i="2"/>
  <c r="E1288" i="2"/>
  <c r="F1288" i="2"/>
  <c r="B1289" i="2"/>
  <c r="C1289" i="2"/>
  <c r="E1289" i="2"/>
  <c r="F1289" i="2"/>
  <c r="B1292" i="2"/>
  <c r="C1292" i="2"/>
  <c r="E1292" i="2"/>
  <c r="F1292" i="2"/>
  <c r="B1293" i="2"/>
  <c r="C1293" i="2"/>
  <c r="E1293" i="2"/>
  <c r="F1293" i="2"/>
  <c r="B1294" i="2"/>
  <c r="C1294" i="2"/>
  <c r="E1294" i="2"/>
  <c r="F1294" i="2"/>
  <c r="B1295" i="2"/>
  <c r="C1295" i="2"/>
  <c r="E1295" i="2"/>
  <c r="F1295" i="2"/>
  <c r="B1296" i="2"/>
  <c r="C1296" i="2"/>
  <c r="E1296" i="2"/>
  <c r="F1296" i="2"/>
  <c r="B1297" i="2"/>
  <c r="C1297" i="2"/>
  <c r="E1297" i="2"/>
  <c r="F1297" i="2"/>
  <c r="B1300" i="2"/>
  <c r="C1300" i="2"/>
  <c r="E1300" i="2"/>
  <c r="F1300" i="2"/>
  <c r="B1301" i="2"/>
  <c r="C1301" i="2"/>
  <c r="E1301" i="2"/>
  <c r="F1301" i="2"/>
  <c r="B1302" i="2"/>
  <c r="C1302" i="2"/>
  <c r="E1302" i="2"/>
  <c r="F1302" i="2"/>
  <c r="B1303" i="2"/>
  <c r="C1303" i="2"/>
  <c r="E1303" i="2"/>
  <c r="F1303" i="2"/>
  <c r="B1304" i="2"/>
  <c r="C1304" i="2"/>
  <c r="E1304" i="2"/>
  <c r="F1304" i="2"/>
  <c r="B1305" i="2"/>
  <c r="C1305" i="2"/>
  <c r="E1305" i="2"/>
  <c r="F1305" i="2"/>
  <c r="B1308" i="2"/>
  <c r="C1308" i="2"/>
  <c r="E1308" i="2"/>
  <c r="F1308" i="2"/>
  <c r="B1309" i="2"/>
  <c r="C1309" i="2"/>
  <c r="E1309" i="2"/>
  <c r="F1309" i="2"/>
  <c r="B1310" i="2"/>
  <c r="C1310" i="2"/>
  <c r="E1310" i="2"/>
  <c r="F1310" i="2"/>
  <c r="B1311" i="2"/>
  <c r="C1311" i="2"/>
  <c r="E1311" i="2"/>
  <c r="F1311" i="2"/>
  <c r="B1312" i="2"/>
  <c r="C1312" i="2"/>
  <c r="E1312" i="2"/>
  <c r="F1312" i="2"/>
  <c r="B1313" i="2"/>
  <c r="C1313" i="2"/>
  <c r="E1313" i="2"/>
  <c r="F1313" i="2"/>
  <c r="B1316" i="2"/>
  <c r="C1316" i="2"/>
  <c r="E1316" i="2"/>
  <c r="F1316" i="2"/>
  <c r="B1317" i="2"/>
  <c r="C1317" i="2"/>
  <c r="E1317" i="2"/>
  <c r="F1317" i="2"/>
  <c r="B1318" i="2"/>
  <c r="C1318" i="2"/>
  <c r="E1318" i="2"/>
  <c r="F1318" i="2"/>
  <c r="B1319" i="2"/>
  <c r="C1319" i="2"/>
  <c r="E1319" i="2"/>
  <c r="F1319" i="2"/>
  <c r="B1320" i="2"/>
  <c r="C1320" i="2"/>
  <c r="E1320" i="2"/>
  <c r="F1320" i="2"/>
  <c r="B1321" i="2"/>
  <c r="C1321" i="2"/>
  <c r="E1321" i="2"/>
  <c r="F1321" i="2"/>
  <c r="B1324" i="2"/>
  <c r="C1324" i="2"/>
  <c r="E1324" i="2"/>
  <c r="F1324" i="2"/>
  <c r="B1325" i="2"/>
  <c r="C1325" i="2"/>
  <c r="E1325" i="2"/>
  <c r="F1325" i="2"/>
  <c r="B1326" i="2"/>
  <c r="C1326" i="2"/>
  <c r="E1326" i="2"/>
  <c r="F1326" i="2"/>
  <c r="B1327" i="2"/>
  <c r="C1327" i="2"/>
  <c r="E1327" i="2"/>
  <c r="F1327" i="2"/>
  <c r="B1328" i="2"/>
  <c r="C1328" i="2"/>
  <c r="E1328" i="2"/>
  <c r="F1328" i="2"/>
  <c r="B1329" i="2"/>
  <c r="C1329" i="2"/>
  <c r="E1329" i="2"/>
  <c r="F1329" i="2"/>
  <c r="B1332" i="2"/>
  <c r="C1332" i="2"/>
  <c r="E1332" i="2"/>
  <c r="F1332" i="2"/>
  <c r="B1333" i="2"/>
  <c r="C1333" i="2"/>
  <c r="E1333" i="2"/>
  <c r="F1333" i="2"/>
  <c r="B1334" i="2"/>
  <c r="C1334" i="2"/>
  <c r="E1334" i="2"/>
  <c r="F1334" i="2"/>
  <c r="B1335" i="2"/>
  <c r="C1335" i="2"/>
  <c r="E1335" i="2"/>
  <c r="F1335" i="2"/>
  <c r="B1336" i="2"/>
  <c r="C1336" i="2"/>
  <c r="E1336" i="2"/>
  <c r="F1336" i="2"/>
  <c r="B1337" i="2"/>
  <c r="C1337" i="2"/>
  <c r="E1337" i="2"/>
  <c r="F1337" i="2"/>
  <c r="B1340" i="2"/>
  <c r="C1340" i="2"/>
  <c r="E1340" i="2"/>
  <c r="F1340" i="2"/>
  <c r="B1341" i="2"/>
  <c r="C1341" i="2"/>
  <c r="E1341" i="2"/>
  <c r="F1341" i="2"/>
  <c r="B1342" i="2"/>
  <c r="C1342" i="2"/>
  <c r="E1342" i="2"/>
  <c r="F1342" i="2"/>
  <c r="B1343" i="2"/>
  <c r="C1343" i="2"/>
  <c r="E1343" i="2"/>
  <c r="F1343" i="2"/>
  <c r="B1344" i="2"/>
  <c r="C1344" i="2"/>
  <c r="E1344" i="2"/>
  <c r="F1344" i="2"/>
  <c r="B1345" i="2"/>
  <c r="C1345" i="2"/>
  <c r="E1345" i="2"/>
  <c r="F1345" i="2"/>
  <c r="B1348" i="2"/>
  <c r="C1348" i="2"/>
  <c r="E1348" i="2"/>
  <c r="F1348" i="2"/>
  <c r="B1349" i="2"/>
  <c r="C1349" i="2"/>
  <c r="E1349" i="2"/>
  <c r="F1349" i="2"/>
  <c r="B1350" i="2"/>
  <c r="C1350" i="2"/>
  <c r="E1350" i="2"/>
  <c r="F1350" i="2"/>
  <c r="B1351" i="2"/>
  <c r="C1351" i="2"/>
  <c r="E1351" i="2"/>
  <c r="F1351" i="2"/>
  <c r="B1352" i="2"/>
  <c r="C1352" i="2"/>
  <c r="E1352" i="2"/>
  <c r="F1352" i="2"/>
  <c r="B1353" i="2"/>
  <c r="C1353" i="2"/>
  <c r="E1353" i="2"/>
  <c r="F1353" i="2"/>
  <c r="B1356" i="2"/>
  <c r="C1356" i="2"/>
  <c r="E1356" i="2"/>
  <c r="F1356" i="2"/>
  <c r="B1357" i="2"/>
  <c r="C1357" i="2"/>
  <c r="E1357" i="2"/>
  <c r="F1357" i="2"/>
  <c r="B1358" i="2"/>
  <c r="C1358" i="2"/>
  <c r="E1358" i="2"/>
  <c r="F1358" i="2"/>
  <c r="B1359" i="2"/>
  <c r="C1359" i="2"/>
  <c r="E1359" i="2"/>
  <c r="F1359" i="2"/>
  <c r="B1360" i="2"/>
  <c r="C1360" i="2"/>
  <c r="E1360" i="2"/>
  <c r="F1360" i="2"/>
  <c r="B1361" i="2"/>
  <c r="C1361" i="2"/>
  <c r="E1361" i="2"/>
  <c r="F1361" i="2"/>
  <c r="B1364" i="2"/>
  <c r="C1364" i="2"/>
  <c r="E1364" i="2"/>
  <c r="F1364" i="2"/>
  <c r="B1365" i="2"/>
  <c r="C1365" i="2"/>
  <c r="E1365" i="2"/>
  <c r="F1365" i="2"/>
  <c r="B1366" i="2"/>
  <c r="C1366" i="2"/>
  <c r="E1366" i="2"/>
  <c r="F1366" i="2"/>
  <c r="B1367" i="2"/>
  <c r="C1367" i="2"/>
  <c r="E1367" i="2"/>
  <c r="F1367" i="2"/>
  <c r="B1368" i="2"/>
  <c r="C1368" i="2"/>
  <c r="E1368" i="2"/>
  <c r="F1368" i="2"/>
  <c r="B1369" i="2"/>
  <c r="C1369" i="2"/>
  <c r="E1369" i="2"/>
  <c r="F1369" i="2"/>
  <c r="B1372" i="2"/>
  <c r="C1372" i="2"/>
  <c r="E1372" i="2"/>
  <c r="F1372" i="2"/>
  <c r="B1373" i="2"/>
  <c r="C1373" i="2"/>
  <c r="E1373" i="2"/>
  <c r="F1373" i="2"/>
  <c r="B1374" i="2"/>
  <c r="C1374" i="2"/>
  <c r="E1374" i="2"/>
  <c r="F1374" i="2"/>
  <c r="B1375" i="2"/>
  <c r="C1375" i="2"/>
  <c r="E1375" i="2"/>
  <c r="F1375" i="2"/>
  <c r="B1376" i="2"/>
  <c r="C1376" i="2"/>
  <c r="E1376" i="2"/>
  <c r="F1376" i="2"/>
  <c r="B1377" i="2"/>
  <c r="C1377" i="2"/>
  <c r="E1377" i="2"/>
  <c r="F1377" i="2"/>
  <c r="B1380" i="2"/>
  <c r="C1380" i="2"/>
  <c r="E1380" i="2"/>
  <c r="F1380" i="2"/>
  <c r="B1381" i="2"/>
  <c r="C1381" i="2"/>
  <c r="E1381" i="2"/>
  <c r="F1381" i="2"/>
  <c r="B1382" i="2"/>
  <c r="C1382" i="2"/>
  <c r="E1382" i="2"/>
  <c r="F1382" i="2"/>
  <c r="B1383" i="2"/>
  <c r="C1383" i="2"/>
  <c r="E1383" i="2"/>
  <c r="F1383" i="2"/>
  <c r="B1384" i="2"/>
  <c r="C1384" i="2"/>
  <c r="E1384" i="2"/>
  <c r="F1384" i="2"/>
  <c r="B1385" i="2"/>
  <c r="C1385" i="2"/>
  <c r="E1385" i="2"/>
  <c r="F1385" i="2"/>
  <c r="B1388" i="2"/>
  <c r="C1388" i="2"/>
  <c r="E1388" i="2"/>
  <c r="F1388" i="2"/>
  <c r="B1389" i="2"/>
  <c r="C1389" i="2"/>
  <c r="E1389" i="2"/>
  <c r="F1389" i="2"/>
  <c r="B1390" i="2"/>
  <c r="C1390" i="2"/>
  <c r="E1390" i="2"/>
  <c r="F1390" i="2"/>
  <c r="B1391" i="2"/>
  <c r="C1391" i="2"/>
  <c r="E1391" i="2"/>
  <c r="F1391" i="2"/>
  <c r="B1392" i="2"/>
  <c r="C1392" i="2"/>
  <c r="E1392" i="2"/>
  <c r="F1392" i="2"/>
  <c r="B1393" i="2"/>
  <c r="C1393" i="2"/>
  <c r="E1393" i="2"/>
  <c r="F1393" i="2"/>
  <c r="B1396" i="2"/>
  <c r="C1396" i="2"/>
  <c r="E1396" i="2"/>
  <c r="F1396" i="2"/>
  <c r="B1397" i="2"/>
  <c r="C1397" i="2"/>
  <c r="E1397" i="2"/>
  <c r="F1397" i="2"/>
  <c r="B1398" i="2"/>
  <c r="C1398" i="2"/>
  <c r="E1398" i="2"/>
  <c r="F1398" i="2"/>
  <c r="B1399" i="2"/>
  <c r="C1399" i="2"/>
  <c r="E1399" i="2"/>
  <c r="F1399" i="2"/>
  <c r="B1400" i="2"/>
  <c r="C1400" i="2"/>
  <c r="E1400" i="2"/>
  <c r="F1400" i="2"/>
  <c r="B1401" i="2"/>
  <c r="C1401" i="2"/>
  <c r="E1401" i="2"/>
  <c r="F1401" i="2"/>
  <c r="B1404" i="2"/>
  <c r="C1404" i="2"/>
  <c r="E1404" i="2"/>
  <c r="F1404" i="2"/>
  <c r="B1405" i="2"/>
  <c r="C1405" i="2"/>
  <c r="E1405" i="2"/>
  <c r="F1405" i="2"/>
  <c r="B1406" i="2"/>
  <c r="C1406" i="2"/>
  <c r="E1406" i="2"/>
  <c r="F1406" i="2"/>
  <c r="B1407" i="2"/>
  <c r="C1407" i="2"/>
  <c r="E1407" i="2"/>
  <c r="F1407" i="2"/>
  <c r="B1408" i="2"/>
  <c r="C1408" i="2"/>
  <c r="E1408" i="2"/>
  <c r="F1408" i="2"/>
  <c r="B1409" i="2"/>
  <c r="C1409" i="2"/>
  <c r="E1409" i="2"/>
  <c r="F1409" i="2"/>
  <c r="B1412" i="2"/>
  <c r="C1412" i="2"/>
  <c r="E1412" i="2"/>
  <c r="F1412" i="2"/>
  <c r="B1413" i="2"/>
  <c r="C1413" i="2"/>
  <c r="E1413" i="2"/>
  <c r="F1413" i="2"/>
  <c r="B1414" i="2"/>
  <c r="C1414" i="2"/>
  <c r="E1414" i="2"/>
  <c r="F1414" i="2"/>
  <c r="B1415" i="2"/>
  <c r="C1415" i="2"/>
  <c r="E1415" i="2"/>
  <c r="F1415" i="2"/>
  <c r="B1416" i="2"/>
  <c r="C1416" i="2"/>
  <c r="E1416" i="2"/>
  <c r="F1416" i="2"/>
  <c r="B1417" i="2"/>
  <c r="C1417" i="2"/>
  <c r="E1417" i="2"/>
  <c r="F1417" i="2"/>
  <c r="B1420" i="2"/>
  <c r="C1420" i="2"/>
  <c r="E1420" i="2"/>
  <c r="F1420" i="2"/>
  <c r="B1421" i="2"/>
  <c r="C1421" i="2"/>
  <c r="E1421" i="2"/>
  <c r="F1421" i="2"/>
  <c r="B1422" i="2"/>
  <c r="C1422" i="2"/>
  <c r="E1422" i="2"/>
  <c r="F1422" i="2"/>
  <c r="B1423" i="2"/>
  <c r="C1423" i="2"/>
  <c r="E1423" i="2"/>
  <c r="F1423" i="2"/>
  <c r="B1424" i="2"/>
  <c r="C1424" i="2"/>
  <c r="E1424" i="2"/>
  <c r="F1424" i="2"/>
  <c r="B1425" i="2"/>
  <c r="C1425" i="2"/>
  <c r="E1425" i="2"/>
  <c r="F1425" i="2"/>
  <c r="B1428" i="2"/>
  <c r="C1428" i="2"/>
  <c r="E1428" i="2"/>
  <c r="F1428" i="2"/>
  <c r="B1429" i="2"/>
  <c r="C1429" i="2"/>
  <c r="E1429" i="2"/>
  <c r="F1429" i="2"/>
  <c r="B1430" i="2"/>
  <c r="C1430" i="2"/>
  <c r="E1430" i="2"/>
  <c r="F1430" i="2"/>
  <c r="B1431" i="2"/>
  <c r="C1431" i="2"/>
  <c r="E1431" i="2"/>
  <c r="F1431" i="2"/>
  <c r="B1432" i="2"/>
  <c r="C1432" i="2"/>
  <c r="E1432" i="2"/>
  <c r="F1432" i="2"/>
  <c r="B1433" i="2"/>
  <c r="C1433" i="2"/>
  <c r="E1433" i="2"/>
  <c r="F1433" i="2"/>
  <c r="B1436" i="2"/>
  <c r="C1436" i="2"/>
  <c r="E1436" i="2"/>
  <c r="F1436" i="2"/>
  <c r="B1437" i="2"/>
  <c r="C1437" i="2"/>
  <c r="E1437" i="2"/>
  <c r="F1437" i="2"/>
  <c r="B1438" i="2"/>
  <c r="C1438" i="2"/>
  <c r="E1438" i="2"/>
  <c r="F1438" i="2"/>
  <c r="B1439" i="2"/>
  <c r="C1439" i="2"/>
  <c r="E1439" i="2"/>
  <c r="F1439" i="2"/>
  <c r="B1440" i="2"/>
  <c r="C1440" i="2"/>
  <c r="E1440" i="2"/>
  <c r="F1440" i="2"/>
  <c r="B1441" i="2"/>
  <c r="C1441" i="2"/>
  <c r="E1441" i="2"/>
  <c r="F1441" i="2"/>
  <c r="B1444" i="2"/>
  <c r="C1444" i="2"/>
  <c r="E1444" i="2"/>
  <c r="F1444" i="2"/>
  <c r="B1445" i="2"/>
  <c r="C1445" i="2"/>
  <c r="E1445" i="2"/>
  <c r="F1445" i="2"/>
  <c r="B1446" i="2"/>
  <c r="C1446" i="2"/>
  <c r="E1446" i="2"/>
  <c r="F1446" i="2"/>
  <c r="B1447" i="2"/>
  <c r="C1447" i="2"/>
  <c r="E1447" i="2"/>
  <c r="F1447" i="2"/>
  <c r="B1448" i="2"/>
  <c r="C1448" i="2"/>
  <c r="E1448" i="2"/>
  <c r="F1448" i="2"/>
  <c r="B1449" i="2"/>
  <c r="C1449" i="2"/>
  <c r="E1449" i="2"/>
  <c r="F1449" i="2"/>
  <c r="B1452" i="2"/>
  <c r="C1452" i="2"/>
  <c r="E1452" i="2"/>
  <c r="F1452" i="2"/>
  <c r="B1453" i="2"/>
  <c r="C1453" i="2"/>
  <c r="E1453" i="2"/>
  <c r="F1453" i="2"/>
  <c r="B1454" i="2"/>
  <c r="C1454" i="2"/>
  <c r="E1454" i="2"/>
  <c r="F1454" i="2"/>
  <c r="B1455" i="2"/>
  <c r="C1455" i="2"/>
  <c r="E1455" i="2"/>
  <c r="F1455" i="2"/>
  <c r="B1456" i="2"/>
  <c r="C1456" i="2"/>
  <c r="E1456" i="2"/>
  <c r="F1456" i="2"/>
  <c r="B1457" i="2"/>
  <c r="C1457" i="2"/>
  <c r="E1457" i="2"/>
  <c r="F1457" i="2"/>
  <c r="B1460" i="2"/>
  <c r="C1460" i="2"/>
  <c r="E1460" i="2"/>
  <c r="F1460" i="2"/>
  <c r="B1461" i="2"/>
  <c r="C1461" i="2"/>
  <c r="E1461" i="2"/>
  <c r="F1461" i="2"/>
  <c r="B1462" i="2"/>
  <c r="C1462" i="2"/>
  <c r="E1462" i="2"/>
  <c r="F1462" i="2"/>
  <c r="H28" i="2"/>
  <c r="H48" i="2"/>
  <c r="H80" i="2"/>
  <c r="H108" i="2"/>
  <c r="H124" i="2"/>
  <c r="H144" i="2"/>
  <c r="H220" i="2"/>
  <c r="H240" i="2"/>
  <c r="H268" i="2"/>
  <c r="H278" i="2"/>
  <c r="H316" i="2"/>
  <c r="H336" i="2"/>
  <c r="H368" i="2"/>
  <c r="H422" i="2"/>
  <c r="H428" i="2"/>
  <c r="H432" i="2"/>
  <c r="H735" i="2"/>
  <c r="H736" i="2"/>
  <c r="H800" i="2"/>
  <c r="H908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20" i="2"/>
  <c r="F21" i="2"/>
  <c r="F22" i="2"/>
  <c r="F23" i="2"/>
  <c r="F24" i="2"/>
  <c r="F25" i="2"/>
  <c r="F26" i="2"/>
  <c r="F28" i="2"/>
  <c r="F29" i="2"/>
  <c r="F30" i="2"/>
  <c r="F31" i="2"/>
  <c r="F32" i="2"/>
  <c r="F33" i="2"/>
  <c r="F34" i="2"/>
  <c r="F36" i="2"/>
  <c r="F37" i="2"/>
  <c r="F38" i="2"/>
  <c r="F39" i="2"/>
  <c r="F40" i="2"/>
  <c r="F41" i="2"/>
  <c r="F42" i="2"/>
  <c r="F44" i="2"/>
  <c r="F45" i="2"/>
  <c r="F46" i="2"/>
  <c r="F47" i="2"/>
  <c r="F48" i="2"/>
  <c r="F49" i="2"/>
  <c r="F50" i="2"/>
  <c r="F52" i="2"/>
  <c r="F53" i="2"/>
  <c r="F54" i="2"/>
  <c r="F55" i="2"/>
  <c r="F56" i="2"/>
  <c r="F57" i="2"/>
  <c r="F58" i="2"/>
  <c r="F60" i="2"/>
  <c r="F61" i="2"/>
  <c r="F62" i="2"/>
  <c r="F63" i="2"/>
  <c r="F64" i="2"/>
  <c r="F65" i="2"/>
  <c r="F66" i="2"/>
  <c r="F68" i="2"/>
  <c r="F69" i="2"/>
  <c r="F70" i="2"/>
  <c r="F71" i="2"/>
  <c r="F72" i="2"/>
  <c r="F73" i="2"/>
  <c r="F74" i="2"/>
  <c r="F76" i="2"/>
  <c r="F77" i="2"/>
  <c r="F78" i="2"/>
  <c r="F79" i="2"/>
  <c r="F80" i="2"/>
  <c r="F81" i="2"/>
  <c r="F82" i="2"/>
  <c r="F84" i="2"/>
  <c r="F85" i="2"/>
  <c r="F86" i="2"/>
  <c r="F87" i="2"/>
  <c r="F88" i="2"/>
  <c r="F89" i="2"/>
  <c r="F90" i="2"/>
  <c r="F92" i="2"/>
  <c r="F93" i="2"/>
  <c r="F94" i="2"/>
  <c r="F95" i="2"/>
  <c r="F96" i="2"/>
  <c r="F97" i="2"/>
  <c r="F98" i="2"/>
  <c r="F100" i="2"/>
  <c r="F101" i="2"/>
  <c r="F102" i="2"/>
  <c r="F103" i="2"/>
  <c r="F104" i="2"/>
  <c r="F105" i="2"/>
  <c r="F106" i="2"/>
  <c r="F108" i="2"/>
  <c r="F109" i="2"/>
  <c r="F110" i="2"/>
  <c r="F111" i="2"/>
  <c r="F112" i="2"/>
  <c r="F113" i="2"/>
  <c r="F114" i="2"/>
  <c r="F116" i="2"/>
  <c r="F117" i="2"/>
  <c r="F118" i="2"/>
  <c r="F119" i="2"/>
  <c r="F120" i="2"/>
  <c r="F121" i="2"/>
  <c r="F122" i="2"/>
  <c r="F124" i="2"/>
  <c r="F125" i="2"/>
  <c r="F126" i="2"/>
  <c r="F127" i="2"/>
  <c r="F128" i="2"/>
  <c r="F129" i="2"/>
  <c r="F130" i="2"/>
  <c r="F132" i="2"/>
  <c r="F133" i="2"/>
  <c r="F134" i="2"/>
  <c r="F135" i="2"/>
  <c r="F136" i="2"/>
  <c r="F137" i="2"/>
  <c r="F138" i="2"/>
  <c r="F140" i="2"/>
  <c r="F141" i="2"/>
  <c r="F142" i="2"/>
  <c r="F143" i="2"/>
  <c r="F144" i="2"/>
  <c r="F145" i="2"/>
  <c r="F146" i="2"/>
  <c r="F148" i="2"/>
  <c r="F149" i="2"/>
  <c r="F150" i="2"/>
  <c r="F151" i="2"/>
  <c r="F152" i="2"/>
  <c r="F153" i="2"/>
  <c r="F156" i="2"/>
  <c r="F157" i="2"/>
  <c r="F158" i="2"/>
  <c r="F159" i="2"/>
  <c r="F160" i="2"/>
  <c r="F161" i="2"/>
  <c r="F162" i="2"/>
  <c r="F164" i="2"/>
  <c r="F165" i="2"/>
  <c r="F166" i="2"/>
  <c r="F167" i="2"/>
  <c r="F168" i="2"/>
  <c r="F169" i="2"/>
  <c r="F170" i="2"/>
  <c r="F172" i="2"/>
  <c r="F173" i="2"/>
  <c r="F174" i="2"/>
  <c r="F175" i="2"/>
  <c r="F176" i="2"/>
  <c r="F177" i="2"/>
  <c r="F178" i="2"/>
  <c r="F180" i="2"/>
  <c r="F181" i="2"/>
  <c r="F182" i="2"/>
  <c r="F183" i="2"/>
  <c r="F184" i="2"/>
  <c r="F185" i="2"/>
  <c r="F186" i="2"/>
  <c r="F188" i="2"/>
  <c r="F189" i="2"/>
  <c r="F190" i="2"/>
  <c r="F191" i="2"/>
  <c r="F192" i="2"/>
  <c r="F193" i="2"/>
  <c r="F194" i="2"/>
  <c r="F196" i="2"/>
  <c r="F197" i="2"/>
  <c r="F198" i="2"/>
  <c r="F199" i="2"/>
  <c r="F200" i="2"/>
  <c r="F201" i="2"/>
  <c r="F202" i="2"/>
  <c r="F204" i="2"/>
  <c r="F205" i="2"/>
  <c r="F206" i="2"/>
  <c r="F207" i="2"/>
  <c r="F208" i="2"/>
  <c r="F209" i="2"/>
  <c r="F210" i="2"/>
  <c r="F212" i="2"/>
  <c r="F213" i="2"/>
  <c r="F214" i="2"/>
  <c r="F215" i="2"/>
  <c r="F216" i="2"/>
  <c r="F217" i="2"/>
  <c r="F218" i="2"/>
  <c r="F220" i="2"/>
  <c r="F221" i="2"/>
  <c r="F222" i="2"/>
  <c r="F223" i="2"/>
  <c r="F224" i="2"/>
  <c r="F225" i="2"/>
  <c r="F226" i="2"/>
  <c r="F228" i="2"/>
  <c r="F229" i="2"/>
  <c r="F230" i="2"/>
  <c r="F231" i="2"/>
  <c r="F232" i="2"/>
  <c r="F233" i="2"/>
  <c r="F234" i="2"/>
  <c r="F236" i="2"/>
  <c r="F237" i="2"/>
  <c r="F238" i="2"/>
  <c r="F239" i="2"/>
  <c r="F240" i="2"/>
  <c r="F241" i="2"/>
  <c r="F242" i="2"/>
  <c r="F244" i="2"/>
  <c r="F245" i="2"/>
  <c r="F246" i="2"/>
  <c r="F247" i="2"/>
  <c r="F248" i="2"/>
  <c r="F249" i="2"/>
  <c r="F250" i="2"/>
  <c r="F252" i="2"/>
  <c r="F253" i="2"/>
  <c r="F254" i="2"/>
  <c r="F255" i="2"/>
  <c r="F256" i="2"/>
  <c r="F257" i="2"/>
  <c r="F258" i="2"/>
  <c r="F260" i="2"/>
  <c r="F261" i="2"/>
  <c r="F262" i="2"/>
  <c r="F263" i="2"/>
  <c r="F264" i="2"/>
  <c r="F265" i="2"/>
  <c r="F266" i="2"/>
  <c r="F268" i="2"/>
  <c r="F269" i="2"/>
  <c r="F270" i="2"/>
  <c r="F271" i="2"/>
  <c r="F272" i="2"/>
  <c r="F273" i="2"/>
  <c r="F274" i="2"/>
  <c r="F276" i="2"/>
  <c r="F277" i="2"/>
  <c r="F278" i="2"/>
  <c r="F279" i="2"/>
  <c r="F280" i="2"/>
  <c r="F281" i="2"/>
  <c r="F282" i="2"/>
  <c r="F284" i="2"/>
  <c r="F285" i="2"/>
  <c r="F286" i="2"/>
  <c r="F287" i="2"/>
  <c r="F288" i="2"/>
  <c r="F289" i="2"/>
  <c r="F290" i="2"/>
  <c r="F292" i="2"/>
  <c r="F293" i="2"/>
  <c r="F294" i="2"/>
  <c r="F295" i="2"/>
  <c r="F296" i="2"/>
  <c r="F297" i="2"/>
  <c r="F298" i="2"/>
  <c r="F300" i="2"/>
  <c r="F301" i="2"/>
  <c r="F302" i="2"/>
  <c r="F303" i="2"/>
  <c r="F304" i="2"/>
  <c r="F305" i="2"/>
  <c r="F306" i="2"/>
  <c r="F308" i="2"/>
  <c r="F309" i="2"/>
  <c r="F310" i="2"/>
  <c r="F311" i="2"/>
  <c r="F312" i="2"/>
  <c r="F313" i="2"/>
  <c r="F314" i="2"/>
  <c r="F316" i="2"/>
  <c r="F317" i="2"/>
  <c r="F318" i="2"/>
  <c r="F319" i="2"/>
  <c r="F320" i="2"/>
  <c r="F321" i="2"/>
  <c r="F322" i="2"/>
  <c r="F324" i="2"/>
  <c r="F325" i="2"/>
  <c r="F326" i="2"/>
  <c r="F327" i="2"/>
  <c r="F328" i="2"/>
  <c r="F329" i="2"/>
  <c r="F330" i="2"/>
  <c r="F332" i="2"/>
  <c r="F333" i="2"/>
  <c r="F334" i="2"/>
  <c r="F335" i="2"/>
  <c r="F336" i="2"/>
  <c r="F337" i="2"/>
  <c r="F338" i="2"/>
  <c r="F340" i="2"/>
  <c r="F341" i="2"/>
  <c r="F342" i="2"/>
  <c r="F343" i="2"/>
  <c r="F344" i="2"/>
  <c r="F345" i="2"/>
  <c r="F346" i="2"/>
  <c r="F348" i="2"/>
  <c r="F349" i="2"/>
  <c r="F350" i="2"/>
  <c r="F351" i="2"/>
  <c r="F352" i="2"/>
  <c r="F353" i="2"/>
  <c r="F354" i="2"/>
  <c r="F356" i="2"/>
  <c r="F357" i="2"/>
  <c r="F358" i="2"/>
  <c r="F359" i="2"/>
  <c r="F360" i="2"/>
  <c r="F361" i="2"/>
  <c r="F362" i="2"/>
  <c r="F364" i="2"/>
  <c r="F365" i="2"/>
  <c r="F366" i="2"/>
  <c r="F367" i="2"/>
  <c r="F368" i="2"/>
  <c r="F369" i="2"/>
  <c r="F370" i="2"/>
  <c r="F372" i="2"/>
  <c r="F373" i="2"/>
  <c r="F374" i="2"/>
  <c r="F375" i="2"/>
  <c r="F376" i="2"/>
  <c r="F377" i="2"/>
  <c r="F378" i="2"/>
  <c r="F380" i="2"/>
  <c r="F381" i="2"/>
  <c r="F382" i="2"/>
  <c r="F383" i="2"/>
  <c r="F384" i="2"/>
  <c r="F385" i="2"/>
  <c r="F386" i="2"/>
  <c r="F388" i="2"/>
  <c r="F389" i="2"/>
  <c r="F390" i="2"/>
  <c r="F391" i="2"/>
  <c r="F392" i="2"/>
  <c r="F393" i="2"/>
  <c r="F394" i="2"/>
  <c r="F396" i="2"/>
  <c r="F397" i="2"/>
  <c r="F398" i="2"/>
  <c r="F399" i="2"/>
  <c r="F400" i="2"/>
  <c r="F401" i="2"/>
  <c r="F402" i="2"/>
  <c r="F404" i="2"/>
  <c r="F405" i="2"/>
  <c r="F406" i="2"/>
  <c r="F407" i="2"/>
  <c r="F408" i="2"/>
  <c r="F409" i="2"/>
  <c r="F410" i="2"/>
  <c r="F412" i="2"/>
  <c r="F413" i="2"/>
  <c r="F414" i="2"/>
  <c r="F415" i="2"/>
  <c r="F416" i="2"/>
  <c r="F417" i="2"/>
  <c r="F418" i="2"/>
  <c r="F420" i="2"/>
  <c r="F421" i="2"/>
  <c r="F422" i="2"/>
  <c r="F423" i="2"/>
  <c r="F424" i="2"/>
  <c r="F425" i="2"/>
  <c r="F426" i="2"/>
  <c r="F428" i="2"/>
  <c r="F429" i="2"/>
  <c r="F430" i="2"/>
  <c r="F431" i="2"/>
  <c r="F432" i="2"/>
  <c r="F433" i="2"/>
  <c r="F434" i="2"/>
  <c r="F436" i="2"/>
  <c r="F437" i="2"/>
  <c r="F438" i="2"/>
  <c r="F439" i="2"/>
  <c r="F440" i="2"/>
  <c r="F441" i="2"/>
  <c r="F442" i="2"/>
  <c r="F444" i="2"/>
  <c r="F445" i="2"/>
  <c r="F446" i="2"/>
  <c r="F447" i="2"/>
  <c r="F448" i="2"/>
  <c r="F449" i="2"/>
  <c r="F450" i="2"/>
  <c r="F452" i="2"/>
  <c r="F453" i="2"/>
  <c r="F454" i="2"/>
  <c r="F455" i="2"/>
  <c r="F456" i="2"/>
  <c r="F457" i="2"/>
  <c r="F458" i="2"/>
  <c r="F460" i="2"/>
  <c r="F461" i="2"/>
  <c r="F462" i="2"/>
  <c r="F463" i="2"/>
  <c r="F464" i="2"/>
  <c r="F465" i="2"/>
  <c r="F466" i="2"/>
  <c r="F468" i="2"/>
  <c r="F469" i="2"/>
  <c r="F470" i="2"/>
  <c r="F471" i="2"/>
  <c r="F472" i="2"/>
  <c r="F473" i="2"/>
  <c r="F474" i="2"/>
  <c r="F476" i="2"/>
  <c r="F477" i="2"/>
  <c r="F478" i="2"/>
  <c r="F479" i="2"/>
  <c r="F480" i="2"/>
  <c r="F481" i="2"/>
  <c r="F482" i="2"/>
  <c r="F484" i="2"/>
  <c r="F485" i="2"/>
  <c r="F486" i="2"/>
  <c r="F487" i="2"/>
  <c r="F488" i="2"/>
  <c r="F489" i="2"/>
  <c r="F490" i="2"/>
  <c r="F492" i="2"/>
  <c r="F493" i="2"/>
  <c r="F494" i="2"/>
  <c r="F495" i="2"/>
  <c r="F496" i="2"/>
  <c r="F497" i="2"/>
  <c r="F498" i="2"/>
  <c r="F500" i="2"/>
  <c r="F501" i="2"/>
  <c r="F502" i="2"/>
  <c r="F503" i="2"/>
  <c r="F504" i="2"/>
  <c r="F505" i="2"/>
  <c r="F506" i="2"/>
  <c r="F508" i="2"/>
  <c r="F509" i="2"/>
  <c r="F510" i="2"/>
  <c r="F511" i="2"/>
  <c r="F512" i="2"/>
  <c r="F513" i="2"/>
  <c r="F514" i="2"/>
  <c r="F516" i="2"/>
  <c r="F517" i="2"/>
  <c r="F518" i="2"/>
  <c r="F519" i="2"/>
  <c r="F520" i="2"/>
  <c r="F521" i="2"/>
  <c r="F522" i="2"/>
  <c r="F524" i="2"/>
  <c r="F525" i="2"/>
  <c r="F526" i="2"/>
  <c r="F527" i="2"/>
  <c r="F528" i="2"/>
  <c r="F529" i="2"/>
  <c r="F530" i="2"/>
  <c r="F532" i="2"/>
  <c r="F533" i="2"/>
  <c r="F534" i="2"/>
  <c r="F535" i="2"/>
  <c r="F536" i="2"/>
  <c r="F537" i="2"/>
  <c r="F538" i="2"/>
  <c r="F540" i="2"/>
  <c r="F541" i="2"/>
  <c r="F542" i="2"/>
  <c r="F543" i="2"/>
  <c r="F544" i="2"/>
  <c r="F545" i="2"/>
  <c r="F546" i="2"/>
  <c r="F548" i="2"/>
  <c r="F549" i="2"/>
  <c r="F550" i="2"/>
  <c r="F551" i="2"/>
  <c r="F552" i="2"/>
  <c r="F553" i="2"/>
  <c r="F554" i="2"/>
  <c r="F556" i="2"/>
  <c r="F557" i="2"/>
  <c r="F558" i="2"/>
  <c r="F559" i="2"/>
  <c r="F560" i="2"/>
  <c r="F561" i="2"/>
  <c r="F562" i="2"/>
  <c r="F564" i="2"/>
  <c r="F565" i="2"/>
  <c r="F566" i="2"/>
  <c r="F567" i="2"/>
  <c r="F568" i="2"/>
  <c r="F569" i="2"/>
  <c r="F570" i="2"/>
  <c r="F572" i="2"/>
  <c r="F573" i="2"/>
  <c r="F574" i="2"/>
  <c r="F575" i="2"/>
  <c r="F576" i="2"/>
  <c r="F577" i="2"/>
  <c r="F578" i="2"/>
  <c r="F580" i="2"/>
  <c r="F581" i="2"/>
  <c r="F582" i="2"/>
  <c r="F583" i="2"/>
  <c r="F584" i="2"/>
  <c r="F585" i="2"/>
  <c r="F586" i="2"/>
  <c r="F588" i="2"/>
  <c r="F589" i="2"/>
  <c r="F590" i="2"/>
  <c r="F591" i="2"/>
  <c r="F592" i="2"/>
  <c r="F593" i="2"/>
  <c r="F594" i="2"/>
  <c r="F596" i="2"/>
  <c r="F597" i="2"/>
  <c r="F598" i="2"/>
  <c r="F599" i="2"/>
  <c r="F600" i="2"/>
  <c r="F601" i="2"/>
  <c r="F602" i="2"/>
  <c r="F604" i="2"/>
  <c r="F605" i="2"/>
  <c r="F606" i="2"/>
  <c r="F607" i="2"/>
  <c r="F608" i="2"/>
  <c r="F609" i="2"/>
  <c r="F610" i="2"/>
  <c r="F612" i="2"/>
  <c r="F613" i="2"/>
  <c r="F614" i="2"/>
  <c r="F615" i="2"/>
  <c r="F616" i="2"/>
  <c r="F617" i="2"/>
  <c r="F618" i="2"/>
  <c r="F620" i="2"/>
  <c r="F621" i="2"/>
  <c r="F622" i="2"/>
  <c r="F623" i="2"/>
  <c r="F624" i="2"/>
  <c r="F625" i="2"/>
  <c r="F626" i="2"/>
  <c r="F628" i="2"/>
  <c r="F629" i="2"/>
  <c r="F630" i="2"/>
  <c r="F631" i="2"/>
  <c r="F632" i="2"/>
  <c r="F633" i="2"/>
  <c r="F634" i="2"/>
  <c r="F636" i="2"/>
  <c r="F637" i="2"/>
  <c r="F638" i="2"/>
  <c r="F639" i="2"/>
  <c r="F640" i="2"/>
  <c r="F641" i="2"/>
  <c r="F642" i="2"/>
  <c r="F644" i="2"/>
  <c r="F645" i="2"/>
  <c r="F646" i="2"/>
  <c r="F647" i="2"/>
  <c r="F648" i="2"/>
  <c r="F649" i="2"/>
  <c r="F650" i="2"/>
  <c r="F652" i="2"/>
  <c r="F653" i="2"/>
  <c r="F654" i="2"/>
  <c r="F655" i="2"/>
  <c r="F656" i="2"/>
  <c r="F657" i="2"/>
  <c r="F658" i="2"/>
  <c r="F660" i="2"/>
  <c r="F661" i="2"/>
  <c r="F662" i="2"/>
  <c r="F663" i="2"/>
  <c r="F664" i="2"/>
  <c r="F665" i="2"/>
  <c r="F666" i="2"/>
  <c r="F668" i="2"/>
  <c r="F669" i="2"/>
  <c r="F670" i="2"/>
  <c r="F671" i="2"/>
  <c r="F672" i="2"/>
  <c r="F673" i="2"/>
  <c r="F674" i="2"/>
  <c r="F676" i="2"/>
  <c r="F677" i="2"/>
  <c r="F678" i="2"/>
  <c r="F679" i="2"/>
  <c r="F680" i="2"/>
  <c r="F681" i="2"/>
  <c r="F682" i="2"/>
  <c r="F684" i="2"/>
  <c r="F685" i="2"/>
  <c r="F686" i="2"/>
  <c r="F687" i="2"/>
  <c r="F688" i="2"/>
  <c r="F689" i="2"/>
  <c r="F690" i="2"/>
  <c r="F692" i="2"/>
  <c r="F693" i="2"/>
  <c r="F694" i="2"/>
  <c r="F695" i="2"/>
  <c r="F696" i="2"/>
  <c r="F697" i="2"/>
  <c r="F698" i="2"/>
  <c r="F700" i="2"/>
  <c r="F701" i="2"/>
  <c r="F702" i="2"/>
  <c r="F703" i="2"/>
  <c r="F704" i="2"/>
  <c r="F705" i="2"/>
  <c r="F706" i="2"/>
  <c r="F708" i="2"/>
  <c r="F709" i="2"/>
  <c r="F710" i="2"/>
  <c r="F711" i="2"/>
  <c r="F712" i="2"/>
  <c r="F713" i="2"/>
  <c r="F714" i="2"/>
  <c r="F716" i="2"/>
  <c r="F717" i="2"/>
  <c r="F718" i="2"/>
  <c r="F719" i="2"/>
  <c r="F720" i="2"/>
  <c r="F721" i="2"/>
  <c r="F722" i="2"/>
  <c r="F724" i="2"/>
  <c r="F725" i="2"/>
  <c r="F726" i="2"/>
  <c r="F727" i="2"/>
  <c r="F728" i="2"/>
  <c r="F729" i="2"/>
  <c r="F730" i="2"/>
  <c r="F732" i="2"/>
  <c r="F733" i="2"/>
  <c r="F734" i="2"/>
  <c r="F735" i="2"/>
  <c r="F736" i="2"/>
  <c r="F737" i="2"/>
  <c r="F738" i="2"/>
  <c r="F740" i="2"/>
  <c r="F741" i="2"/>
  <c r="F742" i="2"/>
  <c r="F743" i="2"/>
  <c r="F744" i="2"/>
  <c r="F745" i="2"/>
  <c r="F746" i="2"/>
  <c r="F748" i="2"/>
  <c r="F749" i="2"/>
  <c r="F750" i="2"/>
  <c r="F751" i="2"/>
  <c r="F752" i="2"/>
  <c r="F753" i="2"/>
  <c r="F754" i="2"/>
  <c r="F756" i="2"/>
  <c r="F757" i="2"/>
  <c r="F758" i="2"/>
  <c r="F759" i="2"/>
  <c r="F760" i="2"/>
  <c r="F761" i="2"/>
  <c r="F762" i="2"/>
  <c r="F764" i="2"/>
  <c r="F765" i="2"/>
  <c r="F766" i="2"/>
  <c r="F767" i="2"/>
  <c r="F768" i="2"/>
  <c r="F769" i="2"/>
  <c r="F770" i="2"/>
  <c r="F772" i="2"/>
  <c r="F773" i="2"/>
  <c r="F774" i="2"/>
  <c r="F775" i="2"/>
  <c r="F776" i="2"/>
  <c r="F777" i="2"/>
  <c r="F778" i="2"/>
  <c r="F780" i="2"/>
  <c r="F781" i="2"/>
  <c r="F782" i="2"/>
  <c r="F783" i="2"/>
  <c r="F784" i="2"/>
  <c r="F785" i="2"/>
  <c r="F786" i="2"/>
  <c r="F788" i="2"/>
  <c r="F789" i="2"/>
  <c r="F790" i="2"/>
  <c r="F791" i="2"/>
  <c r="F792" i="2"/>
  <c r="F793" i="2"/>
  <c r="F794" i="2"/>
  <c r="F796" i="2"/>
  <c r="F797" i="2"/>
  <c r="F798" i="2"/>
  <c r="F799" i="2"/>
  <c r="F800" i="2"/>
  <c r="F801" i="2"/>
  <c r="F802" i="2"/>
  <c r="F804" i="2"/>
  <c r="F805" i="2"/>
  <c r="F806" i="2"/>
  <c r="F807" i="2"/>
  <c r="F808" i="2"/>
  <c r="F809" i="2"/>
  <c r="F810" i="2"/>
  <c r="F812" i="2"/>
  <c r="F813" i="2"/>
  <c r="F814" i="2"/>
  <c r="F815" i="2"/>
  <c r="F816" i="2"/>
  <c r="F817" i="2"/>
  <c r="F818" i="2"/>
  <c r="F820" i="2"/>
  <c r="F821" i="2"/>
  <c r="F822" i="2"/>
  <c r="F823" i="2"/>
  <c r="F824" i="2"/>
  <c r="F825" i="2"/>
  <c r="F826" i="2"/>
  <c r="F828" i="2"/>
  <c r="F829" i="2"/>
  <c r="F830" i="2"/>
  <c r="F831" i="2"/>
  <c r="F832" i="2"/>
  <c r="F833" i="2"/>
  <c r="F834" i="2"/>
  <c r="F836" i="2"/>
  <c r="F837" i="2"/>
  <c r="F838" i="2"/>
  <c r="F839" i="2"/>
  <c r="F840" i="2"/>
  <c r="F841" i="2"/>
  <c r="F842" i="2"/>
  <c r="F844" i="2"/>
  <c r="F845" i="2"/>
  <c r="F846" i="2"/>
  <c r="F847" i="2"/>
  <c r="F848" i="2"/>
  <c r="F849" i="2"/>
  <c r="F852" i="2"/>
  <c r="F853" i="2"/>
  <c r="F854" i="2"/>
  <c r="F855" i="2"/>
  <c r="F856" i="2"/>
  <c r="F857" i="2"/>
  <c r="F860" i="2"/>
  <c r="F861" i="2"/>
  <c r="F862" i="2"/>
  <c r="F863" i="2"/>
  <c r="F864" i="2"/>
  <c r="F865" i="2"/>
  <c r="F868" i="2"/>
  <c r="F869" i="2"/>
  <c r="F870" i="2"/>
  <c r="F871" i="2"/>
  <c r="F872" i="2"/>
  <c r="F873" i="2"/>
  <c r="F876" i="2"/>
  <c r="F877" i="2"/>
  <c r="F878" i="2"/>
  <c r="F879" i="2"/>
  <c r="F880" i="2"/>
  <c r="F881" i="2"/>
  <c r="F884" i="2"/>
  <c r="F885" i="2"/>
  <c r="F886" i="2"/>
  <c r="F887" i="2"/>
  <c r="F888" i="2"/>
  <c r="F889" i="2"/>
  <c r="F892" i="2"/>
  <c r="F893" i="2"/>
  <c r="F894" i="2"/>
  <c r="F895" i="2"/>
  <c r="F896" i="2"/>
  <c r="F897" i="2"/>
  <c r="F900" i="2"/>
  <c r="F901" i="2"/>
  <c r="F902" i="2"/>
  <c r="F903" i="2"/>
  <c r="F904" i="2"/>
  <c r="F905" i="2"/>
  <c r="F908" i="2"/>
  <c r="F909" i="2"/>
  <c r="F910" i="2"/>
  <c r="F911" i="2"/>
  <c r="F912" i="2"/>
  <c r="F913" i="2"/>
  <c r="F916" i="2"/>
  <c r="F917" i="2"/>
  <c r="F918" i="2"/>
  <c r="F919" i="2"/>
  <c r="F920" i="2"/>
  <c r="F921" i="2"/>
  <c r="F924" i="2"/>
  <c r="F925" i="2"/>
  <c r="F926" i="2"/>
  <c r="F927" i="2"/>
  <c r="F928" i="2"/>
  <c r="F929" i="2"/>
  <c r="F932" i="2"/>
  <c r="F933" i="2"/>
  <c r="F934" i="2"/>
  <c r="F935" i="2"/>
  <c r="F936" i="2"/>
  <c r="F937" i="2"/>
  <c r="F940" i="2"/>
  <c r="F941" i="2"/>
  <c r="F942" i="2"/>
  <c r="F943" i="2"/>
  <c r="F944" i="2"/>
  <c r="F945" i="2"/>
  <c r="F948" i="2"/>
  <c r="F949" i="2"/>
  <c r="F950" i="2"/>
  <c r="F951" i="2"/>
  <c r="F952" i="2"/>
  <c r="F953" i="2"/>
  <c r="F956" i="2"/>
  <c r="F957" i="2"/>
  <c r="F958" i="2"/>
  <c r="F959" i="2"/>
  <c r="F960" i="2"/>
  <c r="F961" i="2"/>
  <c r="F964" i="2"/>
  <c r="F965" i="2"/>
  <c r="F966" i="2"/>
  <c r="F967" i="2"/>
  <c r="F968" i="2"/>
  <c r="F969" i="2"/>
  <c r="F972" i="2"/>
  <c r="F973" i="2"/>
  <c r="F974" i="2"/>
  <c r="F975" i="2"/>
  <c r="F976" i="2"/>
  <c r="F977" i="2"/>
  <c r="F980" i="2"/>
  <c r="F981" i="2"/>
  <c r="F982" i="2"/>
  <c r="F983" i="2"/>
  <c r="F984" i="2"/>
  <c r="F985" i="2"/>
  <c r="F988" i="2"/>
  <c r="F989" i="2"/>
  <c r="F990" i="2"/>
  <c r="F991" i="2"/>
  <c r="F992" i="2"/>
  <c r="F993" i="2"/>
  <c r="F996" i="2"/>
  <c r="F997" i="2"/>
  <c r="F998" i="2"/>
  <c r="F999" i="2"/>
  <c r="F1000" i="2"/>
  <c r="F1001" i="2"/>
  <c r="F1004" i="2"/>
  <c r="F1005" i="2"/>
  <c r="F1006" i="2"/>
  <c r="F1007" i="2"/>
  <c r="F1008" i="2"/>
  <c r="F1009" i="2"/>
  <c r="F1012" i="2"/>
  <c r="F1013" i="2"/>
  <c r="F1014" i="2"/>
  <c r="F1015" i="2"/>
  <c r="F1016" i="2"/>
  <c r="F1017" i="2"/>
  <c r="F1020" i="2"/>
  <c r="F1021" i="2"/>
  <c r="F1022" i="2"/>
  <c r="F1023" i="2"/>
  <c r="F1024" i="2"/>
  <c r="F1025" i="2"/>
  <c r="F1028" i="2"/>
  <c r="F1029" i="2"/>
  <c r="F1030" i="2"/>
  <c r="F1031" i="2"/>
  <c r="F1032" i="2"/>
  <c r="F1033" i="2"/>
  <c r="F1036" i="2"/>
  <c r="F1037" i="2"/>
  <c r="F1038" i="2"/>
  <c r="F1039" i="2"/>
  <c r="F1040" i="2"/>
  <c r="F1041" i="2"/>
  <c r="F1044" i="2"/>
  <c r="F1045" i="2"/>
  <c r="F1046" i="2"/>
  <c r="F1047" i="2"/>
  <c r="F1048" i="2"/>
  <c r="F1049" i="2"/>
  <c r="F1052" i="2"/>
  <c r="F1053" i="2"/>
  <c r="F1054" i="2"/>
  <c r="F1055" i="2"/>
  <c r="F1056" i="2"/>
  <c r="F1057" i="2"/>
  <c r="F1060" i="2"/>
  <c r="F1061" i="2"/>
  <c r="F1062" i="2"/>
  <c r="F1063" i="2"/>
  <c r="F1064" i="2"/>
  <c r="F1065" i="2"/>
  <c r="F1068" i="2"/>
  <c r="F1069" i="2"/>
  <c r="F1070" i="2"/>
  <c r="F1071" i="2"/>
  <c r="F1072" i="2"/>
  <c r="F1073" i="2"/>
  <c r="F1076" i="2"/>
  <c r="F1077" i="2"/>
  <c r="F1078" i="2"/>
  <c r="F1079" i="2"/>
  <c r="F1080" i="2"/>
  <c r="F1081" i="2"/>
  <c r="F1084" i="2"/>
  <c r="F1085" i="2"/>
  <c r="F1086" i="2"/>
  <c r="F1087" i="2"/>
  <c r="F1088" i="2"/>
  <c r="F1089" i="2"/>
  <c r="F1092" i="2"/>
  <c r="F1093" i="2"/>
  <c r="F1094" i="2"/>
  <c r="F1095" i="2"/>
  <c r="F1096" i="2"/>
  <c r="F1097" i="2"/>
  <c r="E3" i="2"/>
  <c r="E4" i="2"/>
  <c r="E5" i="2"/>
  <c r="E6" i="2"/>
  <c r="E7" i="2"/>
  <c r="E8" i="2"/>
  <c r="E9" i="2"/>
  <c r="E11" i="2"/>
  <c r="E12" i="2"/>
  <c r="E13" i="2"/>
  <c r="E14" i="2"/>
  <c r="E15" i="2"/>
  <c r="E16" i="2"/>
  <c r="E17" i="2"/>
  <c r="E20" i="2"/>
  <c r="E21" i="2"/>
  <c r="E22" i="2"/>
  <c r="E23" i="2"/>
  <c r="E24" i="2"/>
  <c r="E25" i="2"/>
  <c r="E28" i="2"/>
  <c r="E29" i="2"/>
  <c r="E30" i="2"/>
  <c r="E31" i="2"/>
  <c r="E32" i="2"/>
  <c r="E33" i="2"/>
  <c r="E36" i="2"/>
  <c r="E37" i="2"/>
  <c r="E38" i="2"/>
  <c r="E39" i="2"/>
  <c r="E40" i="2"/>
  <c r="E41" i="2"/>
  <c r="E44" i="2"/>
  <c r="E45" i="2"/>
  <c r="E46" i="2"/>
  <c r="E47" i="2"/>
  <c r="E48" i="2"/>
  <c r="E49" i="2"/>
  <c r="E52" i="2"/>
  <c r="E53" i="2"/>
  <c r="E54" i="2"/>
  <c r="E55" i="2"/>
  <c r="E56" i="2"/>
  <c r="E57" i="2"/>
  <c r="E60" i="2"/>
  <c r="E61" i="2"/>
  <c r="E62" i="2"/>
  <c r="E63" i="2"/>
  <c r="E64" i="2"/>
  <c r="E65" i="2"/>
  <c r="E68" i="2"/>
  <c r="E69" i="2"/>
  <c r="E70" i="2"/>
  <c r="E71" i="2"/>
  <c r="E72" i="2"/>
  <c r="E73" i="2"/>
  <c r="E76" i="2"/>
  <c r="E77" i="2"/>
  <c r="E78" i="2"/>
  <c r="E79" i="2"/>
  <c r="E80" i="2"/>
  <c r="E81" i="2"/>
  <c r="E84" i="2"/>
  <c r="E85" i="2"/>
  <c r="E86" i="2"/>
  <c r="E87" i="2"/>
  <c r="E88" i="2"/>
  <c r="E89" i="2"/>
  <c r="E92" i="2"/>
  <c r="E93" i="2"/>
  <c r="E94" i="2"/>
  <c r="E95" i="2"/>
  <c r="E96" i="2"/>
  <c r="E97" i="2"/>
  <c r="E100" i="2"/>
  <c r="E101" i="2"/>
  <c r="E102" i="2"/>
  <c r="E103" i="2"/>
  <c r="E104" i="2"/>
  <c r="E105" i="2"/>
  <c r="E108" i="2"/>
  <c r="E109" i="2"/>
  <c r="E110" i="2"/>
  <c r="E111" i="2"/>
  <c r="E112" i="2"/>
  <c r="E113" i="2"/>
  <c r="E116" i="2"/>
  <c r="E117" i="2"/>
  <c r="E118" i="2"/>
  <c r="E119" i="2"/>
  <c r="E120" i="2"/>
  <c r="E121" i="2"/>
  <c r="E124" i="2"/>
  <c r="E125" i="2"/>
  <c r="E126" i="2"/>
  <c r="E127" i="2"/>
  <c r="E128" i="2"/>
  <c r="E129" i="2"/>
  <c r="E132" i="2"/>
  <c r="E133" i="2"/>
  <c r="E134" i="2"/>
  <c r="E135" i="2"/>
  <c r="E136" i="2"/>
  <c r="E137" i="2"/>
  <c r="E140" i="2"/>
  <c r="E141" i="2"/>
  <c r="E142" i="2"/>
  <c r="E143" i="2"/>
  <c r="E144" i="2"/>
  <c r="E145" i="2"/>
  <c r="E148" i="2"/>
  <c r="E149" i="2"/>
  <c r="E150" i="2"/>
  <c r="E151" i="2"/>
  <c r="E152" i="2"/>
  <c r="E153" i="2"/>
  <c r="E156" i="2"/>
  <c r="E157" i="2"/>
  <c r="E158" i="2"/>
  <c r="E159" i="2"/>
  <c r="E160" i="2"/>
  <c r="E161" i="2"/>
  <c r="E164" i="2"/>
  <c r="E165" i="2"/>
  <c r="E166" i="2"/>
  <c r="E167" i="2"/>
  <c r="E168" i="2"/>
  <c r="E169" i="2"/>
  <c r="E172" i="2"/>
  <c r="E173" i="2"/>
  <c r="E174" i="2"/>
  <c r="E175" i="2"/>
  <c r="E176" i="2"/>
  <c r="E177" i="2"/>
  <c r="E180" i="2"/>
  <c r="E181" i="2"/>
  <c r="E182" i="2"/>
  <c r="E183" i="2"/>
  <c r="E184" i="2"/>
  <c r="E185" i="2"/>
  <c r="E188" i="2"/>
  <c r="E189" i="2"/>
  <c r="E190" i="2"/>
  <c r="E191" i="2"/>
  <c r="E192" i="2"/>
  <c r="E193" i="2"/>
  <c r="E196" i="2"/>
  <c r="E197" i="2"/>
  <c r="E198" i="2"/>
  <c r="E199" i="2"/>
  <c r="E200" i="2"/>
  <c r="E201" i="2"/>
  <c r="E204" i="2"/>
  <c r="E205" i="2"/>
  <c r="E206" i="2"/>
  <c r="E207" i="2"/>
  <c r="E208" i="2"/>
  <c r="E209" i="2"/>
  <c r="E212" i="2"/>
  <c r="E213" i="2"/>
  <c r="E214" i="2"/>
  <c r="E215" i="2"/>
  <c r="E216" i="2"/>
  <c r="E217" i="2"/>
  <c r="E220" i="2"/>
  <c r="E221" i="2"/>
  <c r="E222" i="2"/>
  <c r="E223" i="2"/>
  <c r="E224" i="2"/>
  <c r="E225" i="2"/>
  <c r="E228" i="2"/>
  <c r="E229" i="2"/>
  <c r="E230" i="2"/>
  <c r="E231" i="2"/>
  <c r="E232" i="2"/>
  <c r="E233" i="2"/>
  <c r="E236" i="2"/>
  <c r="E237" i="2"/>
  <c r="E238" i="2"/>
  <c r="E239" i="2"/>
  <c r="E240" i="2"/>
  <c r="E241" i="2"/>
  <c r="E244" i="2"/>
  <c r="E245" i="2"/>
  <c r="E246" i="2"/>
  <c r="E247" i="2"/>
  <c r="E248" i="2"/>
  <c r="E249" i="2"/>
  <c r="E252" i="2"/>
  <c r="E253" i="2"/>
  <c r="E254" i="2"/>
  <c r="E255" i="2"/>
  <c r="E256" i="2"/>
  <c r="E257" i="2"/>
  <c r="E260" i="2"/>
  <c r="E261" i="2"/>
  <c r="E262" i="2"/>
  <c r="E263" i="2"/>
  <c r="E264" i="2"/>
  <c r="E265" i="2"/>
  <c r="E268" i="2"/>
  <c r="E269" i="2"/>
  <c r="E270" i="2"/>
  <c r="E271" i="2"/>
  <c r="E272" i="2"/>
  <c r="E273" i="2"/>
  <c r="E276" i="2"/>
  <c r="E277" i="2"/>
  <c r="E278" i="2"/>
  <c r="E279" i="2"/>
  <c r="E280" i="2"/>
  <c r="E281" i="2"/>
  <c r="E284" i="2"/>
  <c r="E285" i="2"/>
  <c r="E286" i="2"/>
  <c r="E287" i="2"/>
  <c r="E288" i="2"/>
  <c r="E289" i="2"/>
  <c r="E292" i="2"/>
  <c r="E293" i="2"/>
  <c r="E294" i="2"/>
  <c r="E295" i="2"/>
  <c r="E296" i="2"/>
  <c r="E297" i="2"/>
  <c r="E300" i="2"/>
  <c r="E301" i="2"/>
  <c r="E302" i="2"/>
  <c r="E303" i="2"/>
  <c r="E304" i="2"/>
  <c r="E305" i="2"/>
  <c r="E308" i="2"/>
  <c r="E309" i="2"/>
  <c r="E310" i="2"/>
  <c r="E311" i="2"/>
  <c r="E312" i="2"/>
  <c r="E313" i="2"/>
  <c r="E316" i="2"/>
  <c r="E317" i="2"/>
  <c r="E318" i="2"/>
  <c r="E319" i="2"/>
  <c r="E320" i="2"/>
  <c r="E321" i="2"/>
  <c r="E324" i="2"/>
  <c r="E325" i="2"/>
  <c r="E326" i="2"/>
  <c r="E327" i="2"/>
  <c r="E328" i="2"/>
  <c r="E329" i="2"/>
  <c r="E332" i="2"/>
  <c r="E333" i="2"/>
  <c r="E334" i="2"/>
  <c r="E335" i="2"/>
  <c r="E336" i="2"/>
  <c r="E337" i="2"/>
  <c r="E340" i="2"/>
  <c r="E341" i="2"/>
  <c r="E342" i="2"/>
  <c r="E343" i="2"/>
  <c r="E344" i="2"/>
  <c r="E345" i="2"/>
  <c r="E348" i="2"/>
  <c r="E349" i="2"/>
  <c r="E350" i="2"/>
  <c r="E351" i="2"/>
  <c r="E352" i="2"/>
  <c r="E353" i="2"/>
  <c r="E356" i="2"/>
  <c r="E357" i="2"/>
  <c r="E358" i="2"/>
  <c r="E359" i="2"/>
  <c r="E360" i="2"/>
  <c r="E361" i="2"/>
  <c r="E364" i="2"/>
  <c r="E365" i="2"/>
  <c r="E366" i="2"/>
  <c r="E367" i="2"/>
  <c r="E368" i="2"/>
  <c r="E369" i="2"/>
  <c r="E372" i="2"/>
  <c r="E373" i="2"/>
  <c r="E374" i="2"/>
  <c r="E375" i="2"/>
  <c r="E376" i="2"/>
  <c r="E377" i="2"/>
  <c r="E380" i="2"/>
  <c r="E381" i="2"/>
  <c r="E382" i="2"/>
  <c r="E383" i="2"/>
  <c r="E384" i="2"/>
  <c r="E385" i="2"/>
  <c r="E388" i="2"/>
  <c r="E389" i="2"/>
  <c r="E390" i="2"/>
  <c r="E391" i="2"/>
  <c r="E392" i="2"/>
  <c r="E393" i="2"/>
  <c r="E396" i="2"/>
  <c r="E397" i="2"/>
  <c r="E398" i="2"/>
  <c r="E399" i="2"/>
  <c r="E400" i="2"/>
  <c r="E401" i="2"/>
  <c r="E404" i="2"/>
  <c r="E405" i="2"/>
  <c r="E406" i="2"/>
  <c r="E407" i="2"/>
  <c r="E408" i="2"/>
  <c r="E409" i="2"/>
  <c r="E412" i="2"/>
  <c r="E413" i="2"/>
  <c r="E414" i="2"/>
  <c r="E415" i="2"/>
  <c r="E416" i="2"/>
  <c r="E417" i="2"/>
  <c r="E420" i="2"/>
  <c r="E421" i="2"/>
  <c r="E422" i="2"/>
  <c r="E423" i="2"/>
  <c r="E424" i="2"/>
  <c r="E425" i="2"/>
  <c r="E428" i="2"/>
  <c r="E429" i="2"/>
  <c r="E430" i="2"/>
  <c r="E431" i="2"/>
  <c r="E432" i="2"/>
  <c r="E433" i="2"/>
  <c r="E436" i="2"/>
  <c r="E437" i="2"/>
  <c r="E438" i="2"/>
  <c r="E439" i="2"/>
  <c r="E440" i="2"/>
  <c r="E441" i="2"/>
  <c r="E444" i="2"/>
  <c r="E445" i="2"/>
  <c r="E446" i="2"/>
  <c r="E447" i="2"/>
  <c r="E448" i="2"/>
  <c r="E449" i="2"/>
  <c r="E452" i="2"/>
  <c r="E453" i="2"/>
  <c r="E454" i="2"/>
  <c r="E455" i="2"/>
  <c r="E456" i="2"/>
  <c r="E457" i="2"/>
  <c r="E460" i="2"/>
  <c r="E461" i="2"/>
  <c r="E462" i="2"/>
  <c r="E463" i="2"/>
  <c r="E464" i="2"/>
  <c r="E465" i="2"/>
  <c r="E468" i="2"/>
  <c r="E469" i="2"/>
  <c r="E470" i="2"/>
  <c r="E471" i="2"/>
  <c r="E472" i="2"/>
  <c r="E473" i="2"/>
  <c r="E476" i="2"/>
  <c r="E477" i="2"/>
  <c r="E478" i="2"/>
  <c r="E479" i="2"/>
  <c r="E480" i="2"/>
  <c r="E481" i="2"/>
  <c r="E484" i="2"/>
  <c r="E485" i="2"/>
  <c r="E486" i="2"/>
  <c r="E487" i="2"/>
  <c r="E488" i="2"/>
  <c r="E489" i="2"/>
  <c r="E492" i="2"/>
  <c r="E493" i="2"/>
  <c r="E494" i="2"/>
  <c r="E495" i="2"/>
  <c r="E496" i="2"/>
  <c r="E497" i="2"/>
  <c r="E500" i="2"/>
  <c r="E501" i="2"/>
  <c r="E502" i="2"/>
  <c r="E503" i="2"/>
  <c r="E504" i="2"/>
  <c r="E505" i="2"/>
  <c r="E508" i="2"/>
  <c r="E509" i="2"/>
  <c r="E510" i="2"/>
  <c r="E511" i="2"/>
  <c r="E512" i="2"/>
  <c r="E513" i="2"/>
  <c r="E516" i="2"/>
  <c r="E517" i="2"/>
  <c r="E518" i="2"/>
  <c r="E519" i="2"/>
  <c r="E520" i="2"/>
  <c r="E521" i="2"/>
  <c r="E524" i="2"/>
  <c r="E525" i="2"/>
  <c r="E526" i="2"/>
  <c r="E527" i="2"/>
  <c r="E528" i="2"/>
  <c r="E529" i="2"/>
  <c r="E532" i="2"/>
  <c r="E533" i="2"/>
  <c r="E534" i="2"/>
  <c r="E535" i="2"/>
  <c r="E536" i="2"/>
  <c r="E537" i="2"/>
  <c r="E540" i="2"/>
  <c r="E541" i="2"/>
  <c r="E542" i="2"/>
  <c r="E543" i="2"/>
  <c r="E544" i="2"/>
  <c r="E545" i="2"/>
  <c r="E548" i="2"/>
  <c r="E549" i="2"/>
  <c r="E550" i="2"/>
  <c r="E551" i="2"/>
  <c r="E552" i="2"/>
  <c r="E553" i="2"/>
  <c r="E556" i="2"/>
  <c r="E557" i="2"/>
  <c r="E558" i="2"/>
  <c r="E559" i="2"/>
  <c r="E560" i="2"/>
  <c r="E561" i="2"/>
  <c r="E564" i="2"/>
  <c r="E565" i="2"/>
  <c r="E566" i="2"/>
  <c r="E567" i="2"/>
  <c r="E568" i="2"/>
  <c r="E569" i="2"/>
  <c r="E572" i="2"/>
  <c r="E573" i="2"/>
  <c r="E574" i="2"/>
  <c r="E575" i="2"/>
  <c r="E576" i="2"/>
  <c r="E577" i="2"/>
  <c r="E580" i="2"/>
  <c r="E581" i="2"/>
  <c r="E582" i="2"/>
  <c r="E583" i="2"/>
  <c r="E584" i="2"/>
  <c r="E585" i="2"/>
  <c r="E588" i="2"/>
  <c r="E589" i="2"/>
  <c r="E590" i="2"/>
  <c r="E591" i="2"/>
  <c r="E592" i="2"/>
  <c r="E593" i="2"/>
  <c r="E596" i="2"/>
  <c r="E597" i="2"/>
  <c r="E598" i="2"/>
  <c r="E599" i="2"/>
  <c r="E600" i="2"/>
  <c r="E601" i="2"/>
  <c r="E604" i="2"/>
  <c r="E605" i="2"/>
  <c r="E606" i="2"/>
  <c r="E607" i="2"/>
  <c r="E608" i="2"/>
  <c r="E609" i="2"/>
  <c r="E612" i="2"/>
  <c r="E613" i="2"/>
  <c r="E614" i="2"/>
  <c r="E615" i="2"/>
  <c r="E616" i="2"/>
  <c r="E617" i="2"/>
  <c r="E620" i="2"/>
  <c r="E621" i="2"/>
  <c r="E622" i="2"/>
  <c r="E623" i="2"/>
  <c r="E624" i="2"/>
  <c r="E625" i="2"/>
  <c r="E628" i="2"/>
  <c r="E629" i="2"/>
  <c r="E630" i="2"/>
  <c r="E631" i="2"/>
  <c r="E632" i="2"/>
  <c r="E633" i="2"/>
  <c r="E636" i="2"/>
  <c r="E637" i="2"/>
  <c r="E638" i="2"/>
  <c r="E639" i="2"/>
  <c r="E640" i="2"/>
  <c r="E641" i="2"/>
  <c r="E644" i="2"/>
  <c r="E645" i="2"/>
  <c r="E646" i="2"/>
  <c r="E647" i="2"/>
  <c r="E648" i="2"/>
  <c r="E649" i="2"/>
  <c r="E652" i="2"/>
  <c r="E653" i="2"/>
  <c r="E654" i="2"/>
  <c r="E655" i="2"/>
  <c r="E656" i="2"/>
  <c r="E657" i="2"/>
  <c r="E660" i="2"/>
  <c r="E661" i="2"/>
  <c r="E662" i="2"/>
  <c r="E663" i="2"/>
  <c r="E664" i="2"/>
  <c r="E665" i="2"/>
  <c r="E668" i="2"/>
  <c r="E669" i="2"/>
  <c r="E670" i="2"/>
  <c r="E671" i="2"/>
  <c r="E672" i="2"/>
  <c r="E673" i="2"/>
  <c r="E676" i="2"/>
  <c r="E677" i="2"/>
  <c r="E678" i="2"/>
  <c r="E679" i="2"/>
  <c r="E680" i="2"/>
  <c r="E681" i="2"/>
  <c r="E684" i="2"/>
  <c r="E685" i="2"/>
  <c r="E686" i="2"/>
  <c r="E687" i="2"/>
  <c r="E688" i="2"/>
  <c r="E689" i="2"/>
  <c r="E692" i="2"/>
  <c r="E693" i="2"/>
  <c r="E694" i="2"/>
  <c r="E695" i="2"/>
  <c r="E696" i="2"/>
  <c r="E697" i="2"/>
  <c r="E700" i="2"/>
  <c r="E701" i="2"/>
  <c r="E702" i="2"/>
  <c r="E703" i="2"/>
  <c r="E704" i="2"/>
  <c r="E705" i="2"/>
  <c r="E708" i="2"/>
  <c r="E709" i="2"/>
  <c r="E710" i="2"/>
  <c r="E711" i="2"/>
  <c r="E712" i="2"/>
  <c r="E713" i="2"/>
  <c r="E716" i="2"/>
  <c r="E717" i="2"/>
  <c r="E718" i="2"/>
  <c r="E719" i="2"/>
  <c r="E720" i="2"/>
  <c r="E721" i="2"/>
  <c r="E724" i="2"/>
  <c r="E725" i="2"/>
  <c r="E726" i="2"/>
  <c r="E727" i="2"/>
  <c r="E728" i="2"/>
  <c r="E729" i="2"/>
  <c r="E732" i="2"/>
  <c r="E733" i="2"/>
  <c r="E734" i="2"/>
  <c r="E735" i="2"/>
  <c r="E736" i="2"/>
  <c r="E737" i="2"/>
  <c r="E740" i="2"/>
  <c r="E741" i="2"/>
  <c r="E742" i="2"/>
  <c r="E743" i="2"/>
  <c r="E744" i="2"/>
  <c r="E745" i="2"/>
  <c r="E748" i="2"/>
  <c r="E749" i="2"/>
  <c r="E750" i="2"/>
  <c r="E751" i="2"/>
  <c r="E752" i="2"/>
  <c r="E753" i="2"/>
  <c r="E756" i="2"/>
  <c r="E757" i="2"/>
  <c r="E758" i="2"/>
  <c r="E759" i="2"/>
  <c r="E760" i="2"/>
  <c r="E761" i="2"/>
  <c r="E764" i="2"/>
  <c r="E765" i="2"/>
  <c r="E766" i="2"/>
  <c r="E767" i="2"/>
  <c r="E768" i="2"/>
  <c r="E769" i="2"/>
  <c r="E772" i="2"/>
  <c r="E773" i="2"/>
  <c r="E774" i="2"/>
  <c r="E775" i="2"/>
  <c r="E776" i="2"/>
  <c r="E777" i="2"/>
  <c r="E780" i="2"/>
  <c r="E781" i="2"/>
  <c r="E782" i="2"/>
  <c r="E783" i="2"/>
  <c r="E784" i="2"/>
  <c r="E785" i="2"/>
  <c r="E788" i="2"/>
  <c r="E789" i="2"/>
  <c r="E790" i="2"/>
  <c r="E791" i="2"/>
  <c r="E792" i="2"/>
  <c r="E793" i="2"/>
  <c r="E796" i="2"/>
  <c r="E797" i="2"/>
  <c r="E798" i="2"/>
  <c r="E799" i="2"/>
  <c r="E800" i="2"/>
  <c r="E801" i="2"/>
  <c r="E804" i="2"/>
  <c r="E805" i="2"/>
  <c r="E806" i="2"/>
  <c r="E807" i="2"/>
  <c r="E808" i="2"/>
  <c r="E809" i="2"/>
  <c r="E812" i="2"/>
  <c r="E813" i="2"/>
  <c r="E814" i="2"/>
  <c r="E815" i="2"/>
  <c r="E816" i="2"/>
  <c r="E817" i="2"/>
  <c r="E820" i="2"/>
  <c r="E821" i="2"/>
  <c r="E822" i="2"/>
  <c r="E823" i="2"/>
  <c r="E824" i="2"/>
  <c r="E825" i="2"/>
  <c r="E828" i="2"/>
  <c r="E829" i="2"/>
  <c r="E830" i="2"/>
  <c r="E831" i="2"/>
  <c r="E832" i="2"/>
  <c r="E833" i="2"/>
  <c r="E836" i="2"/>
  <c r="E837" i="2"/>
  <c r="E838" i="2"/>
  <c r="E839" i="2"/>
  <c r="E840" i="2"/>
  <c r="E841" i="2"/>
  <c r="E844" i="2"/>
  <c r="E845" i="2"/>
  <c r="E846" i="2"/>
  <c r="E847" i="2"/>
  <c r="E848" i="2"/>
  <c r="E849" i="2"/>
  <c r="E852" i="2"/>
  <c r="E853" i="2"/>
  <c r="E854" i="2"/>
  <c r="E855" i="2"/>
  <c r="E856" i="2"/>
  <c r="E857" i="2"/>
  <c r="E860" i="2"/>
  <c r="E861" i="2"/>
  <c r="E862" i="2"/>
  <c r="E863" i="2"/>
  <c r="E864" i="2"/>
  <c r="E865" i="2"/>
  <c r="E868" i="2"/>
  <c r="E869" i="2"/>
  <c r="E870" i="2"/>
  <c r="E871" i="2"/>
  <c r="E872" i="2"/>
  <c r="E873" i="2"/>
  <c r="E876" i="2"/>
  <c r="E877" i="2"/>
  <c r="E878" i="2"/>
  <c r="E879" i="2"/>
  <c r="E880" i="2"/>
  <c r="E881" i="2"/>
  <c r="E884" i="2"/>
  <c r="E885" i="2"/>
  <c r="E886" i="2"/>
  <c r="E887" i="2"/>
  <c r="E888" i="2"/>
  <c r="E889" i="2"/>
  <c r="E892" i="2"/>
  <c r="E893" i="2"/>
  <c r="E894" i="2"/>
  <c r="E895" i="2"/>
  <c r="E896" i="2"/>
  <c r="E897" i="2"/>
  <c r="E900" i="2"/>
  <c r="E901" i="2"/>
  <c r="E902" i="2"/>
  <c r="E903" i="2"/>
  <c r="E904" i="2"/>
  <c r="E905" i="2"/>
  <c r="E908" i="2"/>
  <c r="E909" i="2"/>
  <c r="E910" i="2"/>
  <c r="E911" i="2"/>
  <c r="E912" i="2"/>
  <c r="E913" i="2"/>
  <c r="E916" i="2"/>
  <c r="E917" i="2"/>
  <c r="E918" i="2"/>
  <c r="E919" i="2"/>
  <c r="E920" i="2"/>
  <c r="E921" i="2"/>
  <c r="E924" i="2"/>
  <c r="E925" i="2"/>
  <c r="E926" i="2"/>
  <c r="E927" i="2"/>
  <c r="E928" i="2"/>
  <c r="E929" i="2"/>
  <c r="E932" i="2"/>
  <c r="E933" i="2"/>
  <c r="E934" i="2"/>
  <c r="E935" i="2"/>
  <c r="E936" i="2"/>
  <c r="E937" i="2"/>
  <c r="E940" i="2"/>
  <c r="E941" i="2"/>
  <c r="E942" i="2"/>
  <c r="E943" i="2"/>
  <c r="E944" i="2"/>
  <c r="E945" i="2"/>
  <c r="E948" i="2"/>
  <c r="E949" i="2"/>
  <c r="E950" i="2"/>
  <c r="E951" i="2"/>
  <c r="E952" i="2"/>
  <c r="E953" i="2"/>
  <c r="E956" i="2"/>
  <c r="E957" i="2"/>
  <c r="E958" i="2"/>
  <c r="E959" i="2"/>
  <c r="E960" i="2"/>
  <c r="E961" i="2"/>
  <c r="E964" i="2"/>
  <c r="E965" i="2"/>
  <c r="E966" i="2"/>
  <c r="E967" i="2"/>
  <c r="E968" i="2"/>
  <c r="E969" i="2"/>
  <c r="E972" i="2"/>
  <c r="E973" i="2"/>
  <c r="E974" i="2"/>
  <c r="E975" i="2"/>
  <c r="E976" i="2"/>
  <c r="E977" i="2"/>
  <c r="E980" i="2"/>
  <c r="E981" i="2"/>
  <c r="E982" i="2"/>
  <c r="E983" i="2"/>
  <c r="E984" i="2"/>
  <c r="E985" i="2"/>
  <c r="E988" i="2"/>
  <c r="E989" i="2"/>
  <c r="E990" i="2"/>
  <c r="E991" i="2"/>
  <c r="E992" i="2"/>
  <c r="E993" i="2"/>
  <c r="E996" i="2"/>
  <c r="E997" i="2"/>
  <c r="E998" i="2"/>
  <c r="E999" i="2"/>
  <c r="E1000" i="2"/>
  <c r="E1001" i="2"/>
  <c r="E1004" i="2"/>
  <c r="E1005" i="2"/>
  <c r="E1006" i="2"/>
  <c r="E1007" i="2"/>
  <c r="E1008" i="2"/>
  <c r="E1009" i="2"/>
  <c r="E1012" i="2"/>
  <c r="E1013" i="2"/>
  <c r="E1014" i="2"/>
  <c r="E1015" i="2"/>
  <c r="E1016" i="2"/>
  <c r="E1017" i="2"/>
  <c r="E1020" i="2"/>
  <c r="E1021" i="2"/>
  <c r="E1022" i="2"/>
  <c r="E1023" i="2"/>
  <c r="E1024" i="2"/>
  <c r="E1025" i="2"/>
  <c r="E1028" i="2"/>
  <c r="E1029" i="2"/>
  <c r="E1030" i="2"/>
  <c r="E1031" i="2"/>
  <c r="E1032" i="2"/>
  <c r="E1033" i="2"/>
  <c r="E1036" i="2"/>
  <c r="E1037" i="2"/>
  <c r="E1038" i="2"/>
  <c r="E1039" i="2"/>
  <c r="E1040" i="2"/>
  <c r="E1041" i="2"/>
  <c r="E1044" i="2"/>
  <c r="E1045" i="2"/>
  <c r="E1046" i="2"/>
  <c r="E1047" i="2"/>
  <c r="E1048" i="2"/>
  <c r="E1049" i="2"/>
  <c r="E1052" i="2"/>
  <c r="E1053" i="2"/>
  <c r="E1054" i="2"/>
  <c r="E1055" i="2"/>
  <c r="E1056" i="2"/>
  <c r="E1057" i="2"/>
  <c r="E1060" i="2"/>
  <c r="E1061" i="2"/>
  <c r="E1062" i="2"/>
  <c r="E1063" i="2"/>
  <c r="E1064" i="2"/>
  <c r="E1065" i="2"/>
  <c r="E1068" i="2"/>
  <c r="E1069" i="2"/>
  <c r="E1070" i="2"/>
  <c r="E1071" i="2"/>
  <c r="E1072" i="2"/>
  <c r="E1073" i="2"/>
  <c r="E1076" i="2"/>
  <c r="E1077" i="2"/>
  <c r="E1078" i="2"/>
  <c r="E1079" i="2"/>
  <c r="E1080" i="2"/>
  <c r="E1081" i="2"/>
  <c r="E1084" i="2"/>
  <c r="E1085" i="2"/>
  <c r="E1086" i="2"/>
  <c r="E1087" i="2"/>
  <c r="E1088" i="2"/>
  <c r="E1089" i="2"/>
  <c r="E1092" i="2"/>
  <c r="E1093" i="2"/>
  <c r="E1094" i="2"/>
  <c r="E1095" i="2"/>
  <c r="E1096" i="2"/>
  <c r="E1097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20" i="2"/>
  <c r="C21" i="2"/>
  <c r="C22" i="2"/>
  <c r="C23" i="2"/>
  <c r="C24" i="2"/>
  <c r="C25" i="2"/>
  <c r="C26" i="2"/>
  <c r="C28" i="2"/>
  <c r="C29" i="2"/>
  <c r="C30" i="2"/>
  <c r="C31" i="2"/>
  <c r="C32" i="2"/>
  <c r="C33" i="2"/>
  <c r="C34" i="2"/>
  <c r="C36" i="2"/>
  <c r="C37" i="2"/>
  <c r="C38" i="2"/>
  <c r="C39" i="2"/>
  <c r="C40" i="2"/>
  <c r="C41" i="2"/>
  <c r="C42" i="2"/>
  <c r="C44" i="2"/>
  <c r="C45" i="2"/>
  <c r="C46" i="2"/>
  <c r="C47" i="2"/>
  <c r="C48" i="2"/>
  <c r="C49" i="2"/>
  <c r="C50" i="2"/>
  <c r="C52" i="2"/>
  <c r="C53" i="2"/>
  <c r="C54" i="2"/>
  <c r="C55" i="2"/>
  <c r="C56" i="2"/>
  <c r="C57" i="2"/>
  <c r="C58" i="2"/>
  <c r="C60" i="2"/>
  <c r="C61" i="2"/>
  <c r="C62" i="2"/>
  <c r="C63" i="2"/>
  <c r="C64" i="2"/>
  <c r="C65" i="2"/>
  <c r="C66" i="2"/>
  <c r="C68" i="2"/>
  <c r="C69" i="2"/>
  <c r="C70" i="2"/>
  <c r="C71" i="2"/>
  <c r="C72" i="2"/>
  <c r="C73" i="2"/>
  <c r="C74" i="2"/>
  <c r="C76" i="2"/>
  <c r="C77" i="2"/>
  <c r="C78" i="2"/>
  <c r="C79" i="2"/>
  <c r="C80" i="2"/>
  <c r="C81" i="2"/>
  <c r="C82" i="2"/>
  <c r="C84" i="2"/>
  <c r="C85" i="2"/>
  <c r="C86" i="2"/>
  <c r="C87" i="2"/>
  <c r="C88" i="2"/>
  <c r="C89" i="2"/>
  <c r="C90" i="2"/>
  <c r="C92" i="2"/>
  <c r="C93" i="2"/>
  <c r="C94" i="2"/>
  <c r="C95" i="2"/>
  <c r="C96" i="2"/>
  <c r="C97" i="2"/>
  <c r="C98" i="2"/>
  <c r="C100" i="2"/>
  <c r="C101" i="2"/>
  <c r="C102" i="2"/>
  <c r="C103" i="2"/>
  <c r="C104" i="2"/>
  <c r="C105" i="2"/>
  <c r="C106" i="2"/>
  <c r="C108" i="2"/>
  <c r="C109" i="2"/>
  <c r="C110" i="2"/>
  <c r="C111" i="2"/>
  <c r="C112" i="2"/>
  <c r="C113" i="2"/>
  <c r="C114" i="2"/>
  <c r="C116" i="2"/>
  <c r="C117" i="2"/>
  <c r="C118" i="2"/>
  <c r="C119" i="2"/>
  <c r="C120" i="2"/>
  <c r="C121" i="2"/>
  <c r="C122" i="2"/>
  <c r="C124" i="2"/>
  <c r="C125" i="2"/>
  <c r="C126" i="2"/>
  <c r="C127" i="2"/>
  <c r="C128" i="2"/>
  <c r="C129" i="2"/>
  <c r="C130" i="2"/>
  <c r="C132" i="2"/>
  <c r="C133" i="2"/>
  <c r="C134" i="2"/>
  <c r="C135" i="2"/>
  <c r="C136" i="2"/>
  <c r="C137" i="2"/>
  <c r="C138" i="2"/>
  <c r="C140" i="2"/>
  <c r="C141" i="2"/>
  <c r="C142" i="2"/>
  <c r="C143" i="2"/>
  <c r="C144" i="2"/>
  <c r="C145" i="2"/>
  <c r="C146" i="2"/>
  <c r="C148" i="2"/>
  <c r="C149" i="2"/>
  <c r="C150" i="2"/>
  <c r="C151" i="2"/>
  <c r="C152" i="2"/>
  <c r="C153" i="2"/>
  <c r="C156" i="2"/>
  <c r="C157" i="2"/>
  <c r="C158" i="2"/>
  <c r="C159" i="2"/>
  <c r="C160" i="2"/>
  <c r="C161" i="2"/>
  <c r="C162" i="2"/>
  <c r="C164" i="2"/>
  <c r="C165" i="2"/>
  <c r="C166" i="2"/>
  <c r="C167" i="2"/>
  <c r="C168" i="2"/>
  <c r="C169" i="2"/>
  <c r="C170" i="2"/>
  <c r="C172" i="2"/>
  <c r="C173" i="2"/>
  <c r="C174" i="2"/>
  <c r="C175" i="2"/>
  <c r="C176" i="2"/>
  <c r="C177" i="2"/>
  <c r="C178" i="2"/>
  <c r="C180" i="2"/>
  <c r="C181" i="2"/>
  <c r="C182" i="2"/>
  <c r="C183" i="2"/>
  <c r="C184" i="2"/>
  <c r="C185" i="2"/>
  <c r="C186" i="2"/>
  <c r="C188" i="2"/>
  <c r="C189" i="2"/>
  <c r="C190" i="2"/>
  <c r="C191" i="2"/>
  <c r="C192" i="2"/>
  <c r="C193" i="2"/>
  <c r="C194" i="2"/>
  <c r="C196" i="2"/>
  <c r="C197" i="2"/>
  <c r="C198" i="2"/>
  <c r="C199" i="2"/>
  <c r="C200" i="2"/>
  <c r="C201" i="2"/>
  <c r="C202" i="2"/>
  <c r="C204" i="2"/>
  <c r="C205" i="2"/>
  <c r="C206" i="2"/>
  <c r="C207" i="2"/>
  <c r="C208" i="2"/>
  <c r="C209" i="2"/>
  <c r="C210" i="2"/>
  <c r="C212" i="2"/>
  <c r="C213" i="2"/>
  <c r="C214" i="2"/>
  <c r="C215" i="2"/>
  <c r="C216" i="2"/>
  <c r="C217" i="2"/>
  <c r="C218" i="2"/>
  <c r="C220" i="2"/>
  <c r="C221" i="2"/>
  <c r="C222" i="2"/>
  <c r="C223" i="2"/>
  <c r="C224" i="2"/>
  <c r="C225" i="2"/>
  <c r="C226" i="2"/>
  <c r="C228" i="2"/>
  <c r="C229" i="2"/>
  <c r="C230" i="2"/>
  <c r="C231" i="2"/>
  <c r="C232" i="2"/>
  <c r="C233" i="2"/>
  <c r="C234" i="2"/>
  <c r="C236" i="2"/>
  <c r="C237" i="2"/>
  <c r="C238" i="2"/>
  <c r="C239" i="2"/>
  <c r="C240" i="2"/>
  <c r="C241" i="2"/>
  <c r="C242" i="2"/>
  <c r="C244" i="2"/>
  <c r="C245" i="2"/>
  <c r="C246" i="2"/>
  <c r="C247" i="2"/>
  <c r="C248" i="2"/>
  <c r="C249" i="2"/>
  <c r="C250" i="2"/>
  <c r="C252" i="2"/>
  <c r="C253" i="2"/>
  <c r="C254" i="2"/>
  <c r="C255" i="2"/>
  <c r="C256" i="2"/>
  <c r="C257" i="2"/>
  <c r="C258" i="2"/>
  <c r="C260" i="2"/>
  <c r="C261" i="2"/>
  <c r="C262" i="2"/>
  <c r="C263" i="2"/>
  <c r="C264" i="2"/>
  <c r="C265" i="2"/>
  <c r="C266" i="2"/>
  <c r="C268" i="2"/>
  <c r="C269" i="2"/>
  <c r="C270" i="2"/>
  <c r="C271" i="2"/>
  <c r="C272" i="2"/>
  <c r="C273" i="2"/>
  <c r="C274" i="2"/>
  <c r="C276" i="2"/>
  <c r="C277" i="2"/>
  <c r="C278" i="2"/>
  <c r="C279" i="2"/>
  <c r="C280" i="2"/>
  <c r="C281" i="2"/>
  <c r="C282" i="2"/>
  <c r="C284" i="2"/>
  <c r="C285" i="2"/>
  <c r="C286" i="2"/>
  <c r="C287" i="2"/>
  <c r="C288" i="2"/>
  <c r="C289" i="2"/>
  <c r="C290" i="2"/>
  <c r="C292" i="2"/>
  <c r="C293" i="2"/>
  <c r="C294" i="2"/>
  <c r="C295" i="2"/>
  <c r="C296" i="2"/>
  <c r="C297" i="2"/>
  <c r="C298" i="2"/>
  <c r="C300" i="2"/>
  <c r="C301" i="2"/>
  <c r="C302" i="2"/>
  <c r="C303" i="2"/>
  <c r="C304" i="2"/>
  <c r="C305" i="2"/>
  <c r="C306" i="2"/>
  <c r="C308" i="2"/>
  <c r="C309" i="2"/>
  <c r="C310" i="2"/>
  <c r="C311" i="2"/>
  <c r="C312" i="2"/>
  <c r="C313" i="2"/>
  <c r="C314" i="2"/>
  <c r="C316" i="2"/>
  <c r="C317" i="2"/>
  <c r="C318" i="2"/>
  <c r="C319" i="2"/>
  <c r="C320" i="2"/>
  <c r="C321" i="2"/>
  <c r="C322" i="2"/>
  <c r="C324" i="2"/>
  <c r="C325" i="2"/>
  <c r="C326" i="2"/>
  <c r="C327" i="2"/>
  <c r="C328" i="2"/>
  <c r="C329" i="2"/>
  <c r="C330" i="2"/>
  <c r="C332" i="2"/>
  <c r="C333" i="2"/>
  <c r="C334" i="2"/>
  <c r="C335" i="2"/>
  <c r="C336" i="2"/>
  <c r="C337" i="2"/>
  <c r="C338" i="2"/>
  <c r="C340" i="2"/>
  <c r="C341" i="2"/>
  <c r="C342" i="2"/>
  <c r="C343" i="2"/>
  <c r="C344" i="2"/>
  <c r="C345" i="2"/>
  <c r="C346" i="2"/>
  <c r="C348" i="2"/>
  <c r="C349" i="2"/>
  <c r="C350" i="2"/>
  <c r="C351" i="2"/>
  <c r="C352" i="2"/>
  <c r="C353" i="2"/>
  <c r="C354" i="2"/>
  <c r="C356" i="2"/>
  <c r="C357" i="2"/>
  <c r="C358" i="2"/>
  <c r="C359" i="2"/>
  <c r="C360" i="2"/>
  <c r="C361" i="2"/>
  <c r="C362" i="2"/>
  <c r="C364" i="2"/>
  <c r="C365" i="2"/>
  <c r="C366" i="2"/>
  <c r="C367" i="2"/>
  <c r="C368" i="2"/>
  <c r="C369" i="2"/>
  <c r="C370" i="2"/>
  <c r="C372" i="2"/>
  <c r="C373" i="2"/>
  <c r="C374" i="2"/>
  <c r="C375" i="2"/>
  <c r="C376" i="2"/>
  <c r="C377" i="2"/>
  <c r="C378" i="2"/>
  <c r="C380" i="2"/>
  <c r="C381" i="2"/>
  <c r="C382" i="2"/>
  <c r="C383" i="2"/>
  <c r="C384" i="2"/>
  <c r="C385" i="2"/>
  <c r="C386" i="2"/>
  <c r="C388" i="2"/>
  <c r="C389" i="2"/>
  <c r="C390" i="2"/>
  <c r="C391" i="2"/>
  <c r="C392" i="2"/>
  <c r="C393" i="2"/>
  <c r="C394" i="2"/>
  <c r="C396" i="2"/>
  <c r="C397" i="2"/>
  <c r="C398" i="2"/>
  <c r="C399" i="2"/>
  <c r="C400" i="2"/>
  <c r="C401" i="2"/>
  <c r="C402" i="2"/>
  <c r="C404" i="2"/>
  <c r="C405" i="2"/>
  <c r="C406" i="2"/>
  <c r="C407" i="2"/>
  <c r="C408" i="2"/>
  <c r="C409" i="2"/>
  <c r="C410" i="2"/>
  <c r="C412" i="2"/>
  <c r="C413" i="2"/>
  <c r="C414" i="2"/>
  <c r="C415" i="2"/>
  <c r="C416" i="2"/>
  <c r="C417" i="2"/>
  <c r="C418" i="2"/>
  <c r="C420" i="2"/>
  <c r="C421" i="2"/>
  <c r="C422" i="2"/>
  <c r="C423" i="2"/>
  <c r="C424" i="2"/>
  <c r="C425" i="2"/>
  <c r="C426" i="2"/>
  <c r="C428" i="2"/>
  <c r="C429" i="2"/>
  <c r="C430" i="2"/>
  <c r="C431" i="2"/>
  <c r="C432" i="2"/>
  <c r="C433" i="2"/>
  <c r="C434" i="2"/>
  <c r="C436" i="2"/>
  <c r="C437" i="2"/>
  <c r="C438" i="2"/>
  <c r="C439" i="2"/>
  <c r="C440" i="2"/>
  <c r="C441" i="2"/>
  <c r="C442" i="2"/>
  <c r="C444" i="2"/>
  <c r="C445" i="2"/>
  <c r="C446" i="2"/>
  <c r="C447" i="2"/>
  <c r="C448" i="2"/>
  <c r="C449" i="2"/>
  <c r="C450" i="2"/>
  <c r="C452" i="2"/>
  <c r="C453" i="2"/>
  <c r="C454" i="2"/>
  <c r="C455" i="2"/>
  <c r="C456" i="2"/>
  <c r="C457" i="2"/>
  <c r="C458" i="2"/>
  <c r="C460" i="2"/>
  <c r="C461" i="2"/>
  <c r="C462" i="2"/>
  <c r="C463" i="2"/>
  <c r="C464" i="2"/>
  <c r="C465" i="2"/>
  <c r="C466" i="2"/>
  <c r="C468" i="2"/>
  <c r="C469" i="2"/>
  <c r="C470" i="2"/>
  <c r="C471" i="2"/>
  <c r="C472" i="2"/>
  <c r="C473" i="2"/>
  <c r="C474" i="2"/>
  <c r="C476" i="2"/>
  <c r="C477" i="2"/>
  <c r="C478" i="2"/>
  <c r="C479" i="2"/>
  <c r="C480" i="2"/>
  <c r="C481" i="2"/>
  <c r="C482" i="2"/>
  <c r="C484" i="2"/>
  <c r="C485" i="2"/>
  <c r="C486" i="2"/>
  <c r="C487" i="2"/>
  <c r="C488" i="2"/>
  <c r="C489" i="2"/>
  <c r="C490" i="2"/>
  <c r="C492" i="2"/>
  <c r="C493" i="2"/>
  <c r="C494" i="2"/>
  <c r="C495" i="2"/>
  <c r="C496" i="2"/>
  <c r="C497" i="2"/>
  <c r="C498" i="2"/>
  <c r="C500" i="2"/>
  <c r="C501" i="2"/>
  <c r="C502" i="2"/>
  <c r="C503" i="2"/>
  <c r="C504" i="2"/>
  <c r="C505" i="2"/>
  <c r="C506" i="2"/>
  <c r="C508" i="2"/>
  <c r="C509" i="2"/>
  <c r="C510" i="2"/>
  <c r="C511" i="2"/>
  <c r="C512" i="2"/>
  <c r="C513" i="2"/>
  <c r="C514" i="2"/>
  <c r="C516" i="2"/>
  <c r="C517" i="2"/>
  <c r="C518" i="2"/>
  <c r="C519" i="2"/>
  <c r="C520" i="2"/>
  <c r="C521" i="2"/>
  <c r="C522" i="2"/>
  <c r="C524" i="2"/>
  <c r="C525" i="2"/>
  <c r="C526" i="2"/>
  <c r="C527" i="2"/>
  <c r="C528" i="2"/>
  <c r="C529" i="2"/>
  <c r="C530" i="2"/>
  <c r="C532" i="2"/>
  <c r="C533" i="2"/>
  <c r="C534" i="2"/>
  <c r="C535" i="2"/>
  <c r="C536" i="2"/>
  <c r="C537" i="2"/>
  <c r="C538" i="2"/>
  <c r="C540" i="2"/>
  <c r="C541" i="2"/>
  <c r="C542" i="2"/>
  <c r="C543" i="2"/>
  <c r="C544" i="2"/>
  <c r="C545" i="2"/>
  <c r="C546" i="2"/>
  <c r="C548" i="2"/>
  <c r="C549" i="2"/>
  <c r="C550" i="2"/>
  <c r="C551" i="2"/>
  <c r="C552" i="2"/>
  <c r="C553" i="2"/>
  <c r="C554" i="2"/>
  <c r="C556" i="2"/>
  <c r="C557" i="2"/>
  <c r="C558" i="2"/>
  <c r="C559" i="2"/>
  <c r="C560" i="2"/>
  <c r="C561" i="2"/>
  <c r="C562" i="2"/>
  <c r="C564" i="2"/>
  <c r="C565" i="2"/>
  <c r="C566" i="2"/>
  <c r="C567" i="2"/>
  <c r="C568" i="2"/>
  <c r="C569" i="2"/>
  <c r="C570" i="2"/>
  <c r="C572" i="2"/>
  <c r="C573" i="2"/>
  <c r="C574" i="2"/>
  <c r="C575" i="2"/>
  <c r="C576" i="2"/>
  <c r="C577" i="2"/>
  <c r="C578" i="2"/>
  <c r="C580" i="2"/>
  <c r="C581" i="2"/>
  <c r="C582" i="2"/>
  <c r="C583" i="2"/>
  <c r="C584" i="2"/>
  <c r="C585" i="2"/>
  <c r="C586" i="2"/>
  <c r="C588" i="2"/>
  <c r="C589" i="2"/>
  <c r="C590" i="2"/>
  <c r="C591" i="2"/>
  <c r="C592" i="2"/>
  <c r="C593" i="2"/>
  <c r="C594" i="2"/>
  <c r="C596" i="2"/>
  <c r="C597" i="2"/>
  <c r="C598" i="2"/>
  <c r="C599" i="2"/>
  <c r="C600" i="2"/>
  <c r="C601" i="2"/>
  <c r="C602" i="2"/>
  <c r="C604" i="2"/>
  <c r="C605" i="2"/>
  <c r="C606" i="2"/>
  <c r="C607" i="2"/>
  <c r="C608" i="2"/>
  <c r="C609" i="2"/>
  <c r="C610" i="2"/>
  <c r="C612" i="2"/>
  <c r="C613" i="2"/>
  <c r="C614" i="2"/>
  <c r="C615" i="2"/>
  <c r="C616" i="2"/>
  <c r="C617" i="2"/>
  <c r="C618" i="2"/>
  <c r="C620" i="2"/>
  <c r="C621" i="2"/>
  <c r="C622" i="2"/>
  <c r="C623" i="2"/>
  <c r="C624" i="2"/>
  <c r="C625" i="2"/>
  <c r="C626" i="2"/>
  <c r="C628" i="2"/>
  <c r="C629" i="2"/>
  <c r="C630" i="2"/>
  <c r="C631" i="2"/>
  <c r="C632" i="2"/>
  <c r="C633" i="2"/>
  <c r="C634" i="2"/>
  <c r="C636" i="2"/>
  <c r="C637" i="2"/>
  <c r="C638" i="2"/>
  <c r="C639" i="2"/>
  <c r="C640" i="2"/>
  <c r="C641" i="2"/>
  <c r="C642" i="2"/>
  <c r="C644" i="2"/>
  <c r="C645" i="2"/>
  <c r="C646" i="2"/>
  <c r="C647" i="2"/>
  <c r="C648" i="2"/>
  <c r="C649" i="2"/>
  <c r="C650" i="2"/>
  <c r="C652" i="2"/>
  <c r="C653" i="2"/>
  <c r="C654" i="2"/>
  <c r="C655" i="2"/>
  <c r="C656" i="2"/>
  <c r="C657" i="2"/>
  <c r="C658" i="2"/>
  <c r="C660" i="2"/>
  <c r="C661" i="2"/>
  <c r="C662" i="2"/>
  <c r="C663" i="2"/>
  <c r="C664" i="2"/>
  <c r="C665" i="2"/>
  <c r="C666" i="2"/>
  <c r="C668" i="2"/>
  <c r="C669" i="2"/>
  <c r="C670" i="2"/>
  <c r="C671" i="2"/>
  <c r="C672" i="2"/>
  <c r="C673" i="2"/>
  <c r="C674" i="2"/>
  <c r="C676" i="2"/>
  <c r="C677" i="2"/>
  <c r="C678" i="2"/>
  <c r="C679" i="2"/>
  <c r="C680" i="2"/>
  <c r="C681" i="2"/>
  <c r="C682" i="2"/>
  <c r="C684" i="2"/>
  <c r="C685" i="2"/>
  <c r="C686" i="2"/>
  <c r="C687" i="2"/>
  <c r="C688" i="2"/>
  <c r="C689" i="2"/>
  <c r="C690" i="2"/>
  <c r="C692" i="2"/>
  <c r="C693" i="2"/>
  <c r="C694" i="2"/>
  <c r="C695" i="2"/>
  <c r="C696" i="2"/>
  <c r="C697" i="2"/>
  <c r="C698" i="2"/>
  <c r="C700" i="2"/>
  <c r="C701" i="2"/>
  <c r="C702" i="2"/>
  <c r="C703" i="2"/>
  <c r="C704" i="2"/>
  <c r="C705" i="2"/>
  <c r="C706" i="2"/>
  <c r="C708" i="2"/>
  <c r="C709" i="2"/>
  <c r="C710" i="2"/>
  <c r="C711" i="2"/>
  <c r="C712" i="2"/>
  <c r="C713" i="2"/>
  <c r="C714" i="2"/>
  <c r="C716" i="2"/>
  <c r="C717" i="2"/>
  <c r="C718" i="2"/>
  <c r="C719" i="2"/>
  <c r="C720" i="2"/>
  <c r="C721" i="2"/>
  <c r="C722" i="2"/>
  <c r="C724" i="2"/>
  <c r="C725" i="2"/>
  <c r="C726" i="2"/>
  <c r="C727" i="2"/>
  <c r="C728" i="2"/>
  <c r="C729" i="2"/>
  <c r="C730" i="2"/>
  <c r="C732" i="2"/>
  <c r="C733" i="2"/>
  <c r="C734" i="2"/>
  <c r="C735" i="2"/>
  <c r="C736" i="2"/>
  <c r="C737" i="2"/>
  <c r="C738" i="2"/>
  <c r="C740" i="2"/>
  <c r="C741" i="2"/>
  <c r="C742" i="2"/>
  <c r="C743" i="2"/>
  <c r="C744" i="2"/>
  <c r="C745" i="2"/>
  <c r="C746" i="2"/>
  <c r="C748" i="2"/>
  <c r="C749" i="2"/>
  <c r="C750" i="2"/>
  <c r="C751" i="2"/>
  <c r="C752" i="2"/>
  <c r="C753" i="2"/>
  <c r="C754" i="2"/>
  <c r="C756" i="2"/>
  <c r="C757" i="2"/>
  <c r="C758" i="2"/>
  <c r="C759" i="2"/>
  <c r="C760" i="2"/>
  <c r="C761" i="2"/>
  <c r="C762" i="2"/>
  <c r="C764" i="2"/>
  <c r="C765" i="2"/>
  <c r="C766" i="2"/>
  <c r="C767" i="2"/>
  <c r="C768" i="2"/>
  <c r="C769" i="2"/>
  <c r="C770" i="2"/>
  <c r="C772" i="2"/>
  <c r="C773" i="2"/>
  <c r="C774" i="2"/>
  <c r="C775" i="2"/>
  <c r="C776" i="2"/>
  <c r="C777" i="2"/>
  <c r="C778" i="2"/>
  <c r="C780" i="2"/>
  <c r="C781" i="2"/>
  <c r="C782" i="2"/>
  <c r="C783" i="2"/>
  <c r="C784" i="2"/>
  <c r="C785" i="2"/>
  <c r="C786" i="2"/>
  <c r="C788" i="2"/>
  <c r="C789" i="2"/>
  <c r="C790" i="2"/>
  <c r="C791" i="2"/>
  <c r="C792" i="2"/>
  <c r="C793" i="2"/>
  <c r="C794" i="2"/>
  <c r="C796" i="2"/>
  <c r="C797" i="2"/>
  <c r="C798" i="2"/>
  <c r="C799" i="2"/>
  <c r="C800" i="2"/>
  <c r="C801" i="2"/>
  <c r="C802" i="2"/>
  <c r="C804" i="2"/>
  <c r="C805" i="2"/>
  <c r="C806" i="2"/>
  <c r="C807" i="2"/>
  <c r="C808" i="2"/>
  <c r="C809" i="2"/>
  <c r="C810" i="2"/>
  <c r="C812" i="2"/>
  <c r="C813" i="2"/>
  <c r="C814" i="2"/>
  <c r="C815" i="2"/>
  <c r="C816" i="2"/>
  <c r="C817" i="2"/>
  <c r="C818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20" i="2"/>
  <c r="B21" i="2"/>
  <c r="B22" i="2"/>
  <c r="B23" i="2"/>
  <c r="B24" i="2"/>
  <c r="B25" i="2"/>
  <c r="B26" i="2"/>
  <c r="B28" i="2"/>
  <c r="B29" i="2"/>
  <c r="B30" i="2"/>
  <c r="B31" i="2"/>
  <c r="B32" i="2"/>
  <c r="B33" i="2"/>
  <c r="B34" i="2"/>
  <c r="B36" i="2"/>
  <c r="B37" i="2"/>
  <c r="B38" i="2"/>
  <c r="B39" i="2"/>
  <c r="B40" i="2"/>
  <c r="B41" i="2"/>
  <c r="B42" i="2"/>
  <c r="B44" i="2"/>
  <c r="B45" i="2"/>
  <c r="B46" i="2"/>
  <c r="B47" i="2"/>
  <c r="B48" i="2"/>
  <c r="B49" i="2"/>
  <c r="B50" i="2"/>
  <c r="B52" i="2"/>
  <c r="B53" i="2"/>
  <c r="B54" i="2"/>
  <c r="B55" i="2"/>
  <c r="B56" i="2"/>
  <c r="B57" i="2"/>
  <c r="B58" i="2"/>
  <c r="B60" i="2"/>
  <c r="B61" i="2"/>
  <c r="B62" i="2"/>
  <c r="B63" i="2"/>
  <c r="B64" i="2"/>
  <c r="B65" i="2"/>
  <c r="B66" i="2"/>
  <c r="B68" i="2"/>
  <c r="B69" i="2"/>
  <c r="B70" i="2"/>
  <c r="B71" i="2"/>
  <c r="B72" i="2"/>
  <c r="B73" i="2"/>
  <c r="B74" i="2"/>
  <c r="B76" i="2"/>
  <c r="B77" i="2"/>
  <c r="B78" i="2"/>
  <c r="B79" i="2"/>
  <c r="B80" i="2"/>
  <c r="B81" i="2"/>
  <c r="B82" i="2"/>
  <c r="B84" i="2"/>
  <c r="B85" i="2"/>
  <c r="B86" i="2"/>
  <c r="B87" i="2"/>
  <c r="B88" i="2"/>
  <c r="B89" i="2"/>
  <c r="B90" i="2"/>
  <c r="B92" i="2"/>
  <c r="B93" i="2"/>
  <c r="B94" i="2"/>
  <c r="B95" i="2"/>
  <c r="B96" i="2"/>
  <c r="B97" i="2"/>
  <c r="B98" i="2"/>
  <c r="B100" i="2"/>
  <c r="B101" i="2"/>
  <c r="B102" i="2"/>
  <c r="B103" i="2"/>
  <c r="B104" i="2"/>
  <c r="B105" i="2"/>
  <c r="B106" i="2"/>
  <c r="B108" i="2"/>
  <c r="B109" i="2"/>
  <c r="B110" i="2"/>
  <c r="B111" i="2"/>
  <c r="B112" i="2"/>
  <c r="B113" i="2"/>
  <c r="B114" i="2"/>
  <c r="B116" i="2"/>
  <c r="B117" i="2"/>
  <c r="B118" i="2"/>
  <c r="B119" i="2"/>
  <c r="B120" i="2"/>
  <c r="B121" i="2"/>
  <c r="B122" i="2"/>
  <c r="B124" i="2"/>
  <c r="B125" i="2"/>
  <c r="B126" i="2"/>
  <c r="B127" i="2"/>
  <c r="B128" i="2"/>
  <c r="B129" i="2"/>
  <c r="B130" i="2"/>
  <c r="B132" i="2"/>
  <c r="B133" i="2"/>
  <c r="B134" i="2"/>
  <c r="B135" i="2"/>
  <c r="B136" i="2"/>
  <c r="B137" i="2"/>
  <c r="B138" i="2"/>
  <c r="B140" i="2"/>
  <c r="B141" i="2"/>
  <c r="B142" i="2"/>
  <c r="B143" i="2"/>
  <c r="B144" i="2"/>
  <c r="B145" i="2"/>
  <c r="B146" i="2"/>
  <c r="B148" i="2"/>
  <c r="B149" i="2"/>
  <c r="B150" i="2"/>
  <c r="B151" i="2"/>
  <c r="B152" i="2"/>
  <c r="B153" i="2"/>
  <c r="B156" i="2"/>
  <c r="B157" i="2"/>
  <c r="B158" i="2"/>
  <c r="B159" i="2"/>
  <c r="B160" i="2"/>
  <c r="B161" i="2"/>
  <c r="B162" i="2"/>
  <c r="B164" i="2"/>
  <c r="B165" i="2"/>
  <c r="B166" i="2"/>
  <c r="B167" i="2"/>
  <c r="B168" i="2"/>
  <c r="B169" i="2"/>
  <c r="B170" i="2"/>
  <c r="B172" i="2"/>
  <c r="B173" i="2"/>
  <c r="B174" i="2"/>
  <c r="B175" i="2"/>
  <c r="B176" i="2"/>
  <c r="B177" i="2"/>
  <c r="B178" i="2"/>
  <c r="B180" i="2"/>
  <c r="B181" i="2"/>
  <c r="B182" i="2"/>
  <c r="B183" i="2"/>
  <c r="B184" i="2"/>
  <c r="B185" i="2"/>
  <c r="B186" i="2"/>
  <c r="B188" i="2"/>
  <c r="B189" i="2"/>
  <c r="B190" i="2"/>
  <c r="B191" i="2"/>
  <c r="B192" i="2"/>
  <c r="B193" i="2"/>
  <c r="B194" i="2"/>
  <c r="B196" i="2"/>
  <c r="B197" i="2"/>
  <c r="B198" i="2"/>
  <c r="B199" i="2"/>
  <c r="B200" i="2"/>
  <c r="B201" i="2"/>
  <c r="B202" i="2"/>
  <c r="B204" i="2"/>
  <c r="B205" i="2"/>
  <c r="B206" i="2"/>
  <c r="B207" i="2"/>
  <c r="B208" i="2"/>
  <c r="B209" i="2"/>
  <c r="B210" i="2"/>
  <c r="B212" i="2"/>
  <c r="B213" i="2"/>
  <c r="B214" i="2"/>
  <c r="B215" i="2"/>
  <c r="B216" i="2"/>
  <c r="B217" i="2"/>
  <c r="B218" i="2"/>
  <c r="B220" i="2"/>
  <c r="B221" i="2"/>
  <c r="B222" i="2"/>
  <c r="B223" i="2"/>
  <c r="B224" i="2"/>
  <c r="B225" i="2"/>
  <c r="B226" i="2"/>
  <c r="B228" i="2"/>
  <c r="B229" i="2"/>
  <c r="B230" i="2"/>
  <c r="B231" i="2"/>
  <c r="B232" i="2"/>
  <c r="B233" i="2"/>
  <c r="B234" i="2"/>
  <c r="B236" i="2"/>
  <c r="B237" i="2"/>
  <c r="B238" i="2"/>
  <c r="B239" i="2"/>
  <c r="B240" i="2"/>
  <c r="B241" i="2"/>
  <c r="B242" i="2"/>
  <c r="B244" i="2"/>
  <c r="B245" i="2"/>
  <c r="B246" i="2"/>
  <c r="B247" i="2"/>
  <c r="B248" i="2"/>
  <c r="B249" i="2"/>
  <c r="B250" i="2"/>
  <c r="B252" i="2"/>
  <c r="B253" i="2"/>
  <c r="B254" i="2"/>
  <c r="B255" i="2"/>
  <c r="B256" i="2"/>
  <c r="B257" i="2"/>
  <c r="B258" i="2"/>
  <c r="B260" i="2"/>
  <c r="B261" i="2"/>
  <c r="B262" i="2"/>
  <c r="B263" i="2"/>
  <c r="B264" i="2"/>
  <c r="B265" i="2"/>
  <c r="B266" i="2"/>
  <c r="B268" i="2"/>
  <c r="B269" i="2"/>
  <c r="B270" i="2"/>
  <c r="B271" i="2"/>
  <c r="B272" i="2"/>
  <c r="B273" i="2"/>
  <c r="B274" i="2"/>
  <c r="B276" i="2"/>
  <c r="B277" i="2"/>
  <c r="B278" i="2"/>
  <c r="B279" i="2"/>
  <c r="B280" i="2"/>
  <c r="B281" i="2"/>
  <c r="B282" i="2"/>
  <c r="B284" i="2"/>
  <c r="B285" i="2"/>
  <c r="B286" i="2"/>
  <c r="B287" i="2"/>
  <c r="B288" i="2"/>
  <c r="B289" i="2"/>
  <c r="B290" i="2"/>
  <c r="B292" i="2"/>
  <c r="B293" i="2"/>
  <c r="B294" i="2"/>
  <c r="B295" i="2"/>
  <c r="B296" i="2"/>
  <c r="B297" i="2"/>
  <c r="B298" i="2"/>
  <c r="B300" i="2"/>
  <c r="B301" i="2"/>
  <c r="B302" i="2"/>
  <c r="B303" i="2"/>
  <c r="B304" i="2"/>
  <c r="B305" i="2"/>
  <c r="B306" i="2"/>
  <c r="B308" i="2"/>
  <c r="B309" i="2"/>
  <c r="B310" i="2"/>
  <c r="B311" i="2"/>
  <c r="B312" i="2"/>
  <c r="B313" i="2"/>
  <c r="B314" i="2"/>
  <c r="B316" i="2"/>
  <c r="B317" i="2"/>
  <c r="B318" i="2"/>
  <c r="B319" i="2"/>
  <c r="B320" i="2"/>
  <c r="B321" i="2"/>
  <c r="B322" i="2"/>
  <c r="B324" i="2"/>
  <c r="B325" i="2"/>
  <c r="B326" i="2"/>
  <c r="B327" i="2"/>
  <c r="B328" i="2"/>
  <c r="B329" i="2"/>
  <c r="B330" i="2"/>
  <c r="B332" i="2"/>
  <c r="B333" i="2"/>
  <c r="B334" i="2"/>
  <c r="B335" i="2"/>
  <c r="B336" i="2"/>
  <c r="B337" i="2"/>
  <c r="B338" i="2"/>
  <c r="B340" i="2"/>
  <c r="B341" i="2"/>
  <c r="B342" i="2"/>
  <c r="B343" i="2"/>
  <c r="B344" i="2"/>
  <c r="B345" i="2"/>
  <c r="B346" i="2"/>
  <c r="B348" i="2"/>
  <c r="B349" i="2"/>
  <c r="B350" i="2"/>
  <c r="B351" i="2"/>
  <c r="B352" i="2"/>
  <c r="B353" i="2"/>
  <c r="B354" i="2"/>
  <c r="B356" i="2"/>
  <c r="B357" i="2"/>
  <c r="B358" i="2"/>
  <c r="B359" i="2"/>
  <c r="B360" i="2"/>
  <c r="B361" i="2"/>
  <c r="B362" i="2"/>
  <c r="B364" i="2"/>
  <c r="B365" i="2"/>
  <c r="B366" i="2"/>
  <c r="B367" i="2"/>
  <c r="B368" i="2"/>
  <c r="B369" i="2"/>
  <c r="B370" i="2"/>
  <c r="B372" i="2"/>
  <c r="B373" i="2"/>
  <c r="B374" i="2"/>
  <c r="B375" i="2"/>
  <c r="B376" i="2"/>
  <c r="B377" i="2"/>
  <c r="B378" i="2"/>
  <c r="B380" i="2"/>
  <c r="B381" i="2"/>
  <c r="B382" i="2"/>
  <c r="B383" i="2"/>
  <c r="B384" i="2"/>
  <c r="B385" i="2"/>
  <c r="B386" i="2"/>
  <c r="B388" i="2"/>
  <c r="B389" i="2"/>
  <c r="B390" i="2"/>
  <c r="B391" i="2"/>
  <c r="B392" i="2"/>
  <c r="B393" i="2"/>
  <c r="B394" i="2"/>
  <c r="B396" i="2"/>
  <c r="B397" i="2"/>
  <c r="B398" i="2"/>
  <c r="B399" i="2"/>
  <c r="B400" i="2"/>
  <c r="B401" i="2"/>
  <c r="B402" i="2"/>
  <c r="B404" i="2"/>
  <c r="B405" i="2"/>
  <c r="B406" i="2"/>
  <c r="B407" i="2"/>
  <c r="B408" i="2"/>
  <c r="B409" i="2"/>
  <c r="B410" i="2"/>
  <c r="B412" i="2"/>
  <c r="B413" i="2"/>
  <c r="B414" i="2"/>
  <c r="B415" i="2"/>
  <c r="B416" i="2"/>
  <c r="B417" i="2"/>
  <c r="B418" i="2"/>
  <c r="B420" i="2"/>
  <c r="B421" i="2"/>
  <c r="B422" i="2"/>
  <c r="B423" i="2"/>
  <c r="B424" i="2"/>
  <c r="B425" i="2"/>
  <c r="B426" i="2"/>
  <c r="B428" i="2"/>
  <c r="B429" i="2"/>
  <c r="B430" i="2"/>
  <c r="B431" i="2"/>
  <c r="B432" i="2"/>
  <c r="B433" i="2"/>
  <c r="B434" i="2"/>
  <c r="B436" i="2"/>
  <c r="B437" i="2"/>
  <c r="B438" i="2"/>
  <c r="B439" i="2"/>
  <c r="B440" i="2"/>
  <c r="B441" i="2"/>
  <c r="B442" i="2"/>
  <c r="B444" i="2"/>
  <c r="B445" i="2"/>
  <c r="B446" i="2"/>
  <c r="B447" i="2"/>
  <c r="B448" i="2"/>
  <c r="B449" i="2"/>
  <c r="B450" i="2"/>
  <c r="B452" i="2"/>
  <c r="B453" i="2"/>
  <c r="B454" i="2"/>
  <c r="B455" i="2"/>
  <c r="B456" i="2"/>
  <c r="B457" i="2"/>
  <c r="B458" i="2"/>
  <c r="B460" i="2"/>
  <c r="B461" i="2"/>
  <c r="B462" i="2"/>
  <c r="B463" i="2"/>
  <c r="B464" i="2"/>
  <c r="B465" i="2"/>
  <c r="B466" i="2"/>
  <c r="B468" i="2"/>
  <c r="B469" i="2"/>
  <c r="B470" i="2"/>
  <c r="B471" i="2"/>
  <c r="B472" i="2"/>
  <c r="B473" i="2"/>
  <c r="B474" i="2"/>
  <c r="B476" i="2"/>
  <c r="B477" i="2"/>
  <c r="B478" i="2"/>
  <c r="B479" i="2"/>
  <c r="B480" i="2"/>
  <c r="B481" i="2"/>
  <c r="B482" i="2"/>
  <c r="B484" i="2"/>
  <c r="B485" i="2"/>
  <c r="B486" i="2"/>
  <c r="B487" i="2"/>
  <c r="B488" i="2"/>
  <c r="B489" i="2"/>
  <c r="B490" i="2"/>
  <c r="B492" i="2"/>
  <c r="B493" i="2"/>
  <c r="B494" i="2"/>
  <c r="B495" i="2"/>
  <c r="B496" i="2"/>
  <c r="B497" i="2"/>
  <c r="B498" i="2"/>
  <c r="B500" i="2"/>
  <c r="B501" i="2"/>
  <c r="B502" i="2"/>
  <c r="B503" i="2"/>
  <c r="B504" i="2"/>
  <c r="B505" i="2"/>
  <c r="B506" i="2"/>
  <c r="B508" i="2"/>
  <c r="B509" i="2"/>
  <c r="B510" i="2"/>
  <c r="B511" i="2"/>
  <c r="B512" i="2"/>
  <c r="B513" i="2"/>
  <c r="B514" i="2"/>
  <c r="B516" i="2"/>
  <c r="B517" i="2"/>
  <c r="B518" i="2"/>
  <c r="B519" i="2"/>
  <c r="B520" i="2"/>
  <c r="B521" i="2"/>
  <c r="B522" i="2"/>
  <c r="B524" i="2"/>
  <c r="B525" i="2"/>
  <c r="B526" i="2"/>
  <c r="B527" i="2"/>
  <c r="B528" i="2"/>
  <c r="B529" i="2"/>
  <c r="B530" i="2"/>
  <c r="B532" i="2"/>
  <c r="B533" i="2"/>
  <c r="B534" i="2"/>
  <c r="B535" i="2"/>
  <c r="B536" i="2"/>
  <c r="B537" i="2"/>
  <c r="B538" i="2"/>
  <c r="B540" i="2"/>
  <c r="B541" i="2"/>
  <c r="B542" i="2"/>
  <c r="B543" i="2"/>
  <c r="B544" i="2"/>
  <c r="B545" i="2"/>
  <c r="B546" i="2"/>
  <c r="B548" i="2"/>
  <c r="B549" i="2"/>
  <c r="B550" i="2"/>
  <c r="B551" i="2"/>
  <c r="B552" i="2"/>
  <c r="B553" i="2"/>
  <c r="B554" i="2"/>
  <c r="B556" i="2"/>
  <c r="B557" i="2"/>
  <c r="B558" i="2"/>
  <c r="B559" i="2"/>
  <c r="B560" i="2"/>
  <c r="B561" i="2"/>
  <c r="B562" i="2"/>
  <c r="B564" i="2"/>
  <c r="B565" i="2"/>
  <c r="B566" i="2"/>
  <c r="B567" i="2"/>
  <c r="B568" i="2"/>
  <c r="B569" i="2"/>
  <c r="B570" i="2"/>
  <c r="B572" i="2"/>
  <c r="B573" i="2"/>
  <c r="B574" i="2"/>
  <c r="B575" i="2"/>
  <c r="B576" i="2"/>
  <c r="B577" i="2"/>
  <c r="B578" i="2"/>
  <c r="B580" i="2"/>
  <c r="B581" i="2"/>
  <c r="B582" i="2"/>
  <c r="B583" i="2"/>
  <c r="B584" i="2"/>
  <c r="B585" i="2"/>
  <c r="B586" i="2"/>
  <c r="B588" i="2"/>
  <c r="B589" i="2"/>
  <c r="B590" i="2"/>
  <c r="B591" i="2"/>
  <c r="B592" i="2"/>
  <c r="B593" i="2"/>
  <c r="B594" i="2"/>
  <c r="B596" i="2"/>
  <c r="B597" i="2"/>
  <c r="B598" i="2"/>
  <c r="B599" i="2"/>
  <c r="B600" i="2"/>
  <c r="B601" i="2"/>
  <c r="B602" i="2"/>
  <c r="B604" i="2"/>
  <c r="B605" i="2"/>
  <c r="B606" i="2"/>
  <c r="B607" i="2"/>
  <c r="B608" i="2"/>
  <c r="B609" i="2"/>
  <c r="B610" i="2"/>
  <c r="B612" i="2"/>
  <c r="B613" i="2"/>
  <c r="B614" i="2"/>
  <c r="B615" i="2"/>
  <c r="B616" i="2"/>
  <c r="B617" i="2"/>
  <c r="B618" i="2"/>
  <c r="B620" i="2"/>
  <c r="B621" i="2"/>
  <c r="B622" i="2"/>
  <c r="B623" i="2"/>
  <c r="B624" i="2"/>
  <c r="B625" i="2"/>
  <c r="B626" i="2"/>
  <c r="B628" i="2"/>
  <c r="B629" i="2"/>
  <c r="B630" i="2"/>
  <c r="B631" i="2"/>
  <c r="B632" i="2"/>
  <c r="B633" i="2"/>
  <c r="B634" i="2"/>
  <c r="B636" i="2"/>
  <c r="B637" i="2"/>
  <c r="B638" i="2"/>
  <c r="B639" i="2"/>
  <c r="B640" i="2"/>
  <c r="B641" i="2"/>
  <c r="B642" i="2"/>
  <c r="B644" i="2"/>
  <c r="B645" i="2"/>
  <c r="B646" i="2"/>
  <c r="B647" i="2"/>
  <c r="B648" i="2"/>
  <c r="B649" i="2"/>
  <c r="B650" i="2"/>
  <c r="B652" i="2"/>
  <c r="B653" i="2"/>
  <c r="B654" i="2"/>
  <c r="B655" i="2"/>
  <c r="B656" i="2"/>
  <c r="B657" i="2"/>
  <c r="B658" i="2"/>
  <c r="B660" i="2"/>
  <c r="B661" i="2"/>
  <c r="B662" i="2"/>
  <c r="B663" i="2"/>
  <c r="B664" i="2"/>
  <c r="B665" i="2"/>
  <c r="B666" i="2"/>
  <c r="B668" i="2"/>
  <c r="B669" i="2"/>
  <c r="B670" i="2"/>
  <c r="B671" i="2"/>
  <c r="B672" i="2"/>
  <c r="B673" i="2"/>
  <c r="B674" i="2"/>
  <c r="B676" i="2"/>
  <c r="B677" i="2"/>
  <c r="B678" i="2"/>
  <c r="B679" i="2"/>
  <c r="B680" i="2"/>
  <c r="B681" i="2"/>
  <c r="B682" i="2"/>
  <c r="B684" i="2"/>
  <c r="B685" i="2"/>
  <c r="B686" i="2"/>
  <c r="B687" i="2"/>
  <c r="B688" i="2"/>
  <c r="B689" i="2"/>
  <c r="B690" i="2"/>
  <c r="B692" i="2"/>
  <c r="B693" i="2"/>
  <c r="B694" i="2"/>
  <c r="B695" i="2"/>
  <c r="B696" i="2"/>
  <c r="B697" i="2"/>
  <c r="B698" i="2"/>
  <c r="B700" i="2"/>
  <c r="B701" i="2"/>
  <c r="B702" i="2"/>
  <c r="B703" i="2"/>
  <c r="B704" i="2"/>
  <c r="B705" i="2"/>
  <c r="B706" i="2"/>
  <c r="B708" i="2"/>
  <c r="B709" i="2"/>
  <c r="B710" i="2"/>
  <c r="B711" i="2"/>
  <c r="B712" i="2"/>
  <c r="B713" i="2"/>
  <c r="B714" i="2"/>
  <c r="B716" i="2"/>
  <c r="B717" i="2"/>
  <c r="B718" i="2"/>
  <c r="B719" i="2"/>
  <c r="B720" i="2"/>
  <c r="B721" i="2"/>
  <c r="B722" i="2"/>
  <c r="B724" i="2"/>
  <c r="B725" i="2"/>
  <c r="B726" i="2"/>
  <c r="B727" i="2"/>
  <c r="B728" i="2"/>
  <c r="B729" i="2"/>
  <c r="B730" i="2"/>
  <c r="B732" i="2"/>
  <c r="B733" i="2"/>
  <c r="B734" i="2"/>
  <c r="B735" i="2"/>
  <c r="B736" i="2"/>
  <c r="B737" i="2"/>
  <c r="B738" i="2"/>
  <c r="B740" i="2"/>
  <c r="B741" i="2"/>
  <c r="B742" i="2"/>
  <c r="B743" i="2"/>
  <c r="B744" i="2"/>
  <c r="B745" i="2"/>
  <c r="B746" i="2"/>
  <c r="B748" i="2"/>
  <c r="B749" i="2"/>
  <c r="B750" i="2"/>
  <c r="B751" i="2"/>
  <c r="B752" i="2"/>
  <c r="B753" i="2"/>
  <c r="B754" i="2"/>
  <c r="B756" i="2"/>
  <c r="B757" i="2"/>
  <c r="B758" i="2"/>
  <c r="B759" i="2"/>
  <c r="B760" i="2"/>
  <c r="B761" i="2"/>
  <c r="B762" i="2"/>
  <c r="B764" i="2"/>
  <c r="B765" i="2"/>
  <c r="B766" i="2"/>
  <c r="B767" i="2"/>
  <c r="B768" i="2"/>
  <c r="B769" i="2"/>
  <c r="B770" i="2"/>
  <c r="B772" i="2"/>
  <c r="B773" i="2"/>
  <c r="B774" i="2"/>
  <c r="B775" i="2"/>
  <c r="B776" i="2"/>
  <c r="B777" i="2"/>
  <c r="B778" i="2"/>
  <c r="B780" i="2"/>
  <c r="B781" i="2"/>
  <c r="B782" i="2"/>
  <c r="B783" i="2"/>
  <c r="B784" i="2"/>
  <c r="B785" i="2"/>
  <c r="B786" i="2"/>
  <c r="B788" i="2"/>
  <c r="B789" i="2"/>
  <c r="B790" i="2"/>
  <c r="B791" i="2"/>
  <c r="B792" i="2"/>
  <c r="B793" i="2"/>
  <c r="B794" i="2"/>
  <c r="B796" i="2"/>
  <c r="B797" i="2"/>
  <c r="B798" i="2"/>
  <c r="B799" i="2"/>
  <c r="B800" i="2"/>
  <c r="B801" i="2"/>
  <c r="B802" i="2"/>
  <c r="B804" i="2"/>
  <c r="B805" i="2"/>
  <c r="B806" i="2"/>
  <c r="B807" i="2"/>
  <c r="B808" i="2"/>
  <c r="B809" i="2"/>
  <c r="B810" i="2"/>
  <c r="B812" i="2"/>
  <c r="B813" i="2"/>
  <c r="B814" i="2"/>
  <c r="B815" i="2"/>
  <c r="B816" i="2"/>
  <c r="B817" i="2"/>
  <c r="B818" i="2"/>
  <c r="B820" i="2"/>
  <c r="B821" i="2"/>
  <c r="B822" i="2"/>
  <c r="B823" i="2"/>
  <c r="B824" i="2"/>
  <c r="B825" i="2"/>
  <c r="B826" i="2"/>
  <c r="B828" i="2"/>
  <c r="B829" i="2"/>
  <c r="B830" i="2"/>
  <c r="B831" i="2"/>
  <c r="B832" i="2"/>
  <c r="B833" i="2"/>
  <c r="B834" i="2"/>
  <c r="B836" i="2"/>
  <c r="B837" i="2"/>
  <c r="B838" i="2"/>
  <c r="B839" i="2"/>
  <c r="B840" i="2"/>
  <c r="B841" i="2"/>
  <c r="B842" i="2"/>
  <c r="B844" i="2"/>
  <c r="B845" i="2"/>
  <c r="B846" i="2"/>
  <c r="B847" i="2"/>
  <c r="B848" i="2"/>
  <c r="B849" i="2"/>
  <c r="B850" i="2"/>
  <c r="B852" i="2"/>
  <c r="B853" i="2"/>
  <c r="B854" i="2"/>
  <c r="B855" i="2"/>
  <c r="B856" i="2"/>
  <c r="B857" i="2"/>
  <c r="B858" i="2"/>
  <c r="B860" i="2"/>
  <c r="B861" i="2"/>
  <c r="B862" i="2"/>
  <c r="B863" i="2"/>
  <c r="B864" i="2"/>
  <c r="B865" i="2"/>
  <c r="B866" i="2"/>
  <c r="B868" i="2"/>
  <c r="B869" i="2"/>
  <c r="B870" i="2"/>
  <c r="B871" i="2"/>
  <c r="B872" i="2"/>
  <c r="B873" i="2"/>
  <c r="B874" i="2"/>
  <c r="B876" i="2"/>
  <c r="B877" i="2"/>
  <c r="B878" i="2"/>
  <c r="B879" i="2"/>
  <c r="B880" i="2"/>
  <c r="B881" i="2"/>
  <c r="B882" i="2"/>
  <c r="B884" i="2"/>
  <c r="B885" i="2"/>
  <c r="B886" i="2"/>
  <c r="B887" i="2"/>
  <c r="B888" i="2"/>
  <c r="B889" i="2"/>
  <c r="B890" i="2"/>
  <c r="B892" i="2"/>
  <c r="B893" i="2"/>
  <c r="B894" i="2"/>
  <c r="B895" i="2"/>
  <c r="B896" i="2"/>
  <c r="B897" i="2"/>
  <c r="B898" i="2"/>
  <c r="B900" i="2"/>
  <c r="B901" i="2"/>
  <c r="B902" i="2"/>
  <c r="B903" i="2"/>
  <c r="B904" i="2"/>
  <c r="B905" i="2"/>
  <c r="B906" i="2"/>
  <c r="B908" i="2"/>
  <c r="B909" i="2"/>
  <c r="B910" i="2"/>
  <c r="B911" i="2"/>
  <c r="B912" i="2"/>
  <c r="B913" i="2"/>
  <c r="B914" i="2"/>
  <c r="B916" i="2"/>
  <c r="B917" i="2"/>
  <c r="B918" i="2"/>
  <c r="B919" i="2"/>
  <c r="B920" i="2"/>
  <c r="B921" i="2"/>
  <c r="B922" i="2"/>
  <c r="B924" i="2"/>
  <c r="B925" i="2"/>
  <c r="B926" i="2"/>
  <c r="B927" i="2"/>
  <c r="B928" i="2"/>
  <c r="B929" i="2"/>
  <c r="B930" i="2"/>
  <c r="B932" i="2"/>
  <c r="B933" i="2"/>
  <c r="B934" i="2"/>
  <c r="B935" i="2"/>
  <c r="B936" i="2"/>
  <c r="B937" i="2"/>
  <c r="B938" i="2"/>
  <c r="B940" i="2"/>
  <c r="B941" i="2"/>
  <c r="B942" i="2"/>
  <c r="B943" i="2"/>
  <c r="B944" i="2"/>
  <c r="B945" i="2"/>
  <c r="B946" i="2"/>
  <c r="B948" i="2"/>
  <c r="B949" i="2"/>
  <c r="B950" i="2"/>
  <c r="B951" i="2"/>
  <c r="B952" i="2"/>
  <c r="B953" i="2"/>
  <c r="B954" i="2"/>
  <c r="B956" i="2"/>
  <c r="B957" i="2"/>
  <c r="B958" i="2"/>
  <c r="B959" i="2"/>
  <c r="B960" i="2"/>
  <c r="B961" i="2"/>
  <c r="B962" i="2"/>
  <c r="B964" i="2"/>
  <c r="B965" i="2"/>
  <c r="B966" i="2"/>
  <c r="B967" i="2"/>
  <c r="B968" i="2"/>
  <c r="B969" i="2"/>
  <c r="B970" i="2"/>
  <c r="B972" i="2"/>
  <c r="B973" i="2"/>
  <c r="B974" i="2"/>
  <c r="B975" i="2"/>
  <c r="B976" i="2"/>
  <c r="B977" i="2"/>
  <c r="B978" i="2"/>
  <c r="B980" i="2"/>
  <c r="B981" i="2"/>
  <c r="B982" i="2"/>
  <c r="B983" i="2"/>
  <c r="B984" i="2"/>
  <c r="B985" i="2"/>
  <c r="B986" i="2"/>
  <c r="B988" i="2"/>
  <c r="B989" i="2"/>
  <c r="B990" i="2"/>
  <c r="B991" i="2"/>
  <c r="B992" i="2"/>
  <c r="B993" i="2"/>
  <c r="B994" i="2"/>
  <c r="B996" i="2"/>
  <c r="B997" i="2"/>
  <c r="B998" i="2"/>
  <c r="B999" i="2"/>
  <c r="B1000" i="2"/>
  <c r="B1001" i="2"/>
  <c r="B1002" i="2"/>
  <c r="B1004" i="2"/>
  <c r="B1005" i="2"/>
  <c r="B1006" i="2"/>
  <c r="B1007" i="2"/>
  <c r="B1008" i="2"/>
  <c r="B1009" i="2"/>
  <c r="B1010" i="2"/>
  <c r="B1012" i="2"/>
  <c r="B1013" i="2"/>
  <c r="B1014" i="2"/>
  <c r="B1015" i="2"/>
  <c r="B1016" i="2"/>
  <c r="B1017" i="2"/>
  <c r="B1018" i="2"/>
  <c r="B1020" i="2"/>
  <c r="B1021" i="2"/>
  <c r="B1022" i="2"/>
  <c r="B1023" i="2"/>
  <c r="B1024" i="2"/>
  <c r="B1025" i="2"/>
  <c r="B1026" i="2"/>
  <c r="B1028" i="2"/>
  <c r="B1029" i="2"/>
  <c r="B1030" i="2"/>
  <c r="B1031" i="2"/>
  <c r="B1032" i="2"/>
  <c r="B1033" i="2"/>
  <c r="B1034" i="2"/>
  <c r="B1036" i="2"/>
  <c r="B1037" i="2"/>
  <c r="B1038" i="2"/>
  <c r="B1039" i="2"/>
  <c r="B1040" i="2"/>
  <c r="B1041" i="2"/>
  <c r="B1042" i="2"/>
  <c r="B1044" i="2"/>
  <c r="B1045" i="2"/>
  <c r="B1046" i="2"/>
  <c r="B1047" i="2"/>
  <c r="B1048" i="2"/>
  <c r="B1049" i="2"/>
  <c r="B1050" i="2"/>
  <c r="B1052" i="2"/>
  <c r="B1053" i="2"/>
  <c r="B1054" i="2"/>
  <c r="B1055" i="2"/>
  <c r="B1056" i="2"/>
  <c r="B1057" i="2"/>
  <c r="B1058" i="2"/>
  <c r="B1060" i="2"/>
  <c r="B1061" i="2"/>
  <c r="B1062" i="2"/>
  <c r="B1063" i="2"/>
  <c r="B1064" i="2"/>
  <c r="B1065" i="2"/>
  <c r="B1066" i="2"/>
  <c r="B1068" i="2"/>
  <c r="B1069" i="2"/>
  <c r="B1070" i="2"/>
  <c r="B1071" i="2"/>
  <c r="B1072" i="2"/>
  <c r="B1073" i="2"/>
  <c r="B1074" i="2"/>
  <c r="B1076" i="2"/>
  <c r="B1077" i="2"/>
  <c r="B1078" i="2"/>
  <c r="B1079" i="2"/>
  <c r="B1080" i="2"/>
  <c r="B1081" i="2"/>
  <c r="B1082" i="2"/>
  <c r="B1084" i="2"/>
  <c r="B1085" i="2"/>
  <c r="B1086" i="2"/>
  <c r="B1087" i="2"/>
  <c r="B1088" i="2"/>
  <c r="B1089" i="2"/>
  <c r="B1090" i="2"/>
  <c r="B1092" i="2"/>
  <c r="B1093" i="2"/>
  <c r="B1094" i="2"/>
  <c r="B1095" i="2"/>
  <c r="B1096" i="2"/>
  <c r="B1097" i="2"/>
  <c r="F2" i="2" l="1"/>
  <c r="C2" i="2"/>
  <c r="B2" i="2"/>
  <c r="D2" i="2"/>
  <c r="B1443" i="2"/>
  <c r="C1443" i="2"/>
  <c r="E1443" i="2"/>
  <c r="F1443" i="2"/>
  <c r="C1427" i="2"/>
  <c r="B1427" i="2"/>
  <c r="E1427" i="2"/>
  <c r="F1427" i="2"/>
  <c r="C1403" i="2"/>
  <c r="B1403" i="2"/>
  <c r="E1403" i="2"/>
  <c r="F1403" i="2"/>
  <c r="C1379" i="2"/>
  <c r="B1379" i="2"/>
  <c r="E1379" i="2"/>
  <c r="F1379" i="2"/>
  <c r="C1355" i="2"/>
  <c r="F1355" i="2"/>
  <c r="B1355" i="2"/>
  <c r="E1355" i="2"/>
  <c r="C1331" i="2"/>
  <c r="B1331" i="2"/>
  <c r="E1331" i="2"/>
  <c r="F1331" i="2"/>
  <c r="C1299" i="2"/>
  <c r="B1299" i="2"/>
  <c r="E1299" i="2"/>
  <c r="F1299" i="2"/>
  <c r="C1267" i="2"/>
  <c r="B1267" i="2"/>
  <c r="E1267" i="2"/>
  <c r="F1267" i="2"/>
  <c r="B1243" i="2"/>
  <c r="C1243" i="2"/>
  <c r="E1243" i="2"/>
  <c r="F1243" i="2"/>
  <c r="B1227" i="2"/>
  <c r="C1227" i="2"/>
  <c r="E1227" i="2"/>
  <c r="F1227" i="2"/>
  <c r="C1203" i="2"/>
  <c r="E1203" i="2"/>
  <c r="F1203" i="2"/>
  <c r="B1203" i="2"/>
  <c r="B1179" i="2"/>
  <c r="C1179" i="2"/>
  <c r="E1179" i="2"/>
  <c r="F1179" i="2"/>
  <c r="C1155" i="2"/>
  <c r="F1155" i="2"/>
  <c r="B1155" i="2"/>
  <c r="E1155" i="2"/>
  <c r="B1131" i="2"/>
  <c r="C1131" i="2"/>
  <c r="E1131" i="2"/>
  <c r="F1131" i="2"/>
  <c r="B1115" i="2"/>
  <c r="C1115" i="2"/>
  <c r="E1115" i="2"/>
  <c r="F1115" i="2"/>
  <c r="H1091" i="2"/>
  <c r="E1091" i="2"/>
  <c r="F1091" i="2"/>
  <c r="H1067" i="2"/>
  <c r="F1067" i="2"/>
  <c r="E1067" i="2"/>
  <c r="H1035" i="2"/>
  <c r="E1035" i="2"/>
  <c r="F1035" i="2"/>
  <c r="B1035" i="2"/>
  <c r="H1019" i="2"/>
  <c r="E1019" i="2"/>
  <c r="F1019" i="2"/>
  <c r="B1019" i="2"/>
  <c r="H1003" i="2"/>
  <c r="F1003" i="2"/>
  <c r="B1003" i="2"/>
  <c r="H979" i="2"/>
  <c r="E979" i="2"/>
  <c r="F979" i="2"/>
  <c r="B979" i="2"/>
  <c r="H955" i="2"/>
  <c r="E955" i="2"/>
  <c r="F955" i="2"/>
  <c r="B955" i="2"/>
  <c r="H931" i="2"/>
  <c r="E931" i="2"/>
  <c r="F931" i="2"/>
  <c r="B931" i="2"/>
  <c r="H899" i="2"/>
  <c r="E899" i="2"/>
  <c r="F899" i="2"/>
  <c r="B899" i="2"/>
  <c r="H875" i="2"/>
  <c r="F875" i="2"/>
  <c r="B875" i="2"/>
  <c r="E875" i="2"/>
  <c r="H851" i="2"/>
  <c r="E851" i="2"/>
  <c r="F851" i="2"/>
  <c r="B851" i="2"/>
  <c r="H827" i="2"/>
  <c r="F827" i="2"/>
  <c r="E827" i="2"/>
  <c r="B827" i="2"/>
  <c r="H803" i="2"/>
  <c r="E803" i="2"/>
  <c r="F803" i="2"/>
  <c r="B803" i="2"/>
  <c r="C803" i="2"/>
  <c r="E779" i="2"/>
  <c r="F779" i="2"/>
  <c r="H779" i="2"/>
  <c r="B779" i="2"/>
  <c r="C779" i="2"/>
  <c r="H755" i="2"/>
  <c r="F755" i="2"/>
  <c r="E755" i="2"/>
  <c r="B755" i="2"/>
  <c r="C755" i="2"/>
  <c r="H739" i="2"/>
  <c r="E739" i="2"/>
  <c r="F739" i="2"/>
  <c r="B739" i="2"/>
  <c r="C739" i="2"/>
  <c r="E715" i="2"/>
  <c r="H715" i="2"/>
  <c r="F715" i="2"/>
  <c r="B715" i="2"/>
  <c r="C715" i="2"/>
  <c r="H699" i="2"/>
  <c r="F699" i="2"/>
  <c r="E699" i="2"/>
  <c r="B699" i="2"/>
  <c r="C699" i="2"/>
  <c r="H667" i="2"/>
  <c r="E667" i="2"/>
  <c r="F667" i="2"/>
  <c r="B667" i="2"/>
  <c r="C667" i="2"/>
  <c r="H651" i="2"/>
  <c r="E651" i="2"/>
  <c r="F651" i="2"/>
  <c r="B651" i="2"/>
  <c r="C651" i="2"/>
  <c r="H635" i="2"/>
  <c r="F635" i="2"/>
  <c r="E635" i="2"/>
  <c r="B635" i="2"/>
  <c r="C635" i="2"/>
  <c r="H619" i="2"/>
  <c r="F619" i="2"/>
  <c r="E619" i="2"/>
  <c r="B619" i="2"/>
  <c r="C619" i="2"/>
  <c r="H595" i="2"/>
  <c r="E595" i="2"/>
  <c r="F595" i="2"/>
  <c r="B595" i="2"/>
  <c r="C595" i="2"/>
  <c r="H587" i="2"/>
  <c r="E587" i="2"/>
  <c r="F587" i="2"/>
  <c r="B587" i="2"/>
  <c r="C587" i="2"/>
  <c r="H571" i="2"/>
  <c r="F571" i="2"/>
  <c r="E571" i="2"/>
  <c r="B571" i="2"/>
  <c r="C571" i="2"/>
  <c r="H555" i="2"/>
  <c r="F555" i="2"/>
  <c r="E555" i="2"/>
  <c r="B555" i="2"/>
  <c r="C555" i="2"/>
  <c r="H539" i="2"/>
  <c r="E539" i="2"/>
  <c r="F539" i="2"/>
  <c r="B539" i="2"/>
  <c r="C539" i="2"/>
  <c r="H523" i="2"/>
  <c r="E523" i="2"/>
  <c r="F523" i="2"/>
  <c r="B523" i="2"/>
  <c r="C523" i="2"/>
  <c r="H507" i="2"/>
  <c r="F507" i="2"/>
  <c r="E507" i="2"/>
  <c r="B507" i="2"/>
  <c r="C507" i="2"/>
  <c r="H491" i="2"/>
  <c r="F491" i="2"/>
  <c r="B491" i="2"/>
  <c r="E491" i="2"/>
  <c r="C491" i="2"/>
  <c r="H475" i="2"/>
  <c r="E475" i="2"/>
  <c r="F475" i="2"/>
  <c r="B475" i="2"/>
  <c r="C475" i="2"/>
  <c r="H459" i="2"/>
  <c r="E459" i="2"/>
  <c r="F459" i="2"/>
  <c r="B459" i="2"/>
  <c r="C459" i="2"/>
  <c r="H443" i="2"/>
  <c r="F443" i="2"/>
  <c r="E443" i="2"/>
  <c r="B443" i="2"/>
  <c r="C443" i="2"/>
  <c r="H435" i="2"/>
  <c r="F435" i="2"/>
  <c r="E435" i="2"/>
  <c r="B435" i="2"/>
  <c r="C435" i="2"/>
  <c r="B395" i="2"/>
  <c r="E395" i="2"/>
  <c r="F395" i="2"/>
  <c r="H395" i="2"/>
  <c r="C395" i="2"/>
  <c r="H379" i="2"/>
  <c r="B379" i="2"/>
  <c r="F379" i="2"/>
  <c r="E379" i="2"/>
  <c r="C379" i="2"/>
  <c r="H363" i="2"/>
  <c r="B363" i="2"/>
  <c r="F363" i="2"/>
  <c r="E363" i="2"/>
  <c r="C363" i="2"/>
  <c r="H347" i="2"/>
  <c r="B347" i="2"/>
  <c r="E347" i="2"/>
  <c r="F347" i="2"/>
  <c r="C347" i="2"/>
  <c r="B331" i="2"/>
  <c r="E331" i="2"/>
  <c r="F331" i="2"/>
  <c r="H331" i="2"/>
  <c r="C331" i="2"/>
  <c r="H315" i="2"/>
  <c r="B315" i="2"/>
  <c r="F315" i="2"/>
  <c r="E315" i="2"/>
  <c r="C315" i="2"/>
  <c r="H299" i="2"/>
  <c r="B299" i="2"/>
  <c r="F299" i="2"/>
  <c r="E299" i="2"/>
  <c r="C299" i="2"/>
  <c r="H283" i="2"/>
  <c r="B283" i="2"/>
  <c r="E283" i="2"/>
  <c r="F283" i="2"/>
  <c r="C283" i="2"/>
  <c r="B267" i="2"/>
  <c r="E267" i="2"/>
  <c r="F267" i="2"/>
  <c r="H267" i="2"/>
  <c r="C267" i="2"/>
  <c r="H259" i="2"/>
  <c r="B259" i="2"/>
  <c r="F259" i="2"/>
  <c r="E259" i="2"/>
  <c r="C259" i="2"/>
  <c r="H243" i="2"/>
  <c r="B243" i="2"/>
  <c r="F243" i="2"/>
  <c r="E243" i="2"/>
  <c r="C243" i="2"/>
  <c r="H227" i="2"/>
  <c r="E227" i="2"/>
  <c r="B227" i="2"/>
  <c r="F227" i="2"/>
  <c r="C227" i="2"/>
  <c r="H211" i="2"/>
  <c r="B211" i="2"/>
  <c r="E211" i="2"/>
  <c r="F211" i="2"/>
  <c r="C211" i="2"/>
  <c r="H195" i="2"/>
  <c r="B195" i="2"/>
  <c r="F195" i="2"/>
  <c r="E195" i="2"/>
  <c r="C195" i="2"/>
  <c r="H179" i="2"/>
  <c r="B179" i="2"/>
  <c r="F179" i="2"/>
  <c r="E179" i="2"/>
  <c r="C179" i="2"/>
  <c r="H163" i="2"/>
  <c r="E163" i="2"/>
  <c r="B163" i="2"/>
  <c r="F163" i="2"/>
  <c r="C163" i="2"/>
  <c r="B139" i="2"/>
  <c r="H139" i="2"/>
  <c r="E139" i="2"/>
  <c r="C139" i="2"/>
  <c r="F139" i="2"/>
  <c r="H123" i="2"/>
  <c r="B123" i="2"/>
  <c r="C123" i="2"/>
  <c r="F123" i="2"/>
  <c r="E123" i="2"/>
  <c r="H99" i="2"/>
  <c r="E99" i="2"/>
  <c r="B99" i="2"/>
  <c r="C99" i="2"/>
  <c r="F99" i="2"/>
  <c r="H19" i="2"/>
  <c r="B19" i="2"/>
  <c r="E19" i="2"/>
  <c r="C19" i="2"/>
  <c r="F19" i="2"/>
  <c r="B1459" i="2"/>
  <c r="C1459" i="2"/>
  <c r="E1459" i="2"/>
  <c r="F1459" i="2"/>
  <c r="C1435" i="2"/>
  <c r="F1435" i="2"/>
  <c r="B1435" i="2"/>
  <c r="E1435" i="2"/>
  <c r="C1411" i="2"/>
  <c r="B1411" i="2"/>
  <c r="E1411" i="2"/>
  <c r="F1411" i="2"/>
  <c r="C1387" i="2"/>
  <c r="B1387" i="2"/>
  <c r="E1387" i="2"/>
  <c r="F1387" i="2"/>
  <c r="C1363" i="2"/>
  <c r="B1363" i="2"/>
  <c r="E1363" i="2"/>
  <c r="F1363" i="2"/>
  <c r="B1339" i="2"/>
  <c r="C1339" i="2"/>
  <c r="F1339" i="2"/>
  <c r="E1339" i="2"/>
  <c r="C1315" i="2"/>
  <c r="E1315" i="2"/>
  <c r="F1315" i="2"/>
  <c r="B1315" i="2"/>
  <c r="B1291" i="2"/>
  <c r="C1291" i="2"/>
  <c r="F1291" i="2"/>
  <c r="E1291" i="2"/>
  <c r="B1275" i="2"/>
  <c r="C1275" i="2"/>
  <c r="F1275" i="2"/>
  <c r="E1275" i="2"/>
  <c r="C1251" i="2"/>
  <c r="B1251" i="2"/>
  <c r="E1251" i="2"/>
  <c r="F1251" i="2"/>
  <c r="C1219" i="2"/>
  <c r="B1219" i="2"/>
  <c r="E1219" i="2"/>
  <c r="F1219" i="2"/>
  <c r="B1195" i="2"/>
  <c r="C1195" i="2"/>
  <c r="E1195" i="2"/>
  <c r="F1195" i="2"/>
  <c r="C1171" i="2"/>
  <c r="B1171" i="2"/>
  <c r="E1171" i="2"/>
  <c r="F1171" i="2"/>
  <c r="B1147" i="2"/>
  <c r="C1147" i="2"/>
  <c r="E1147" i="2"/>
  <c r="F1147" i="2"/>
  <c r="C1123" i="2"/>
  <c r="B1123" i="2"/>
  <c r="E1123" i="2"/>
  <c r="F1123" i="2"/>
  <c r="B1099" i="2"/>
  <c r="C1099" i="2"/>
  <c r="E1099" i="2"/>
  <c r="F1099" i="2"/>
  <c r="H1075" i="2"/>
  <c r="E1075" i="2"/>
  <c r="F1075" i="2"/>
  <c r="H1051" i="2"/>
  <c r="E1051" i="2"/>
  <c r="F1051" i="2"/>
  <c r="H1027" i="2"/>
  <c r="E1027" i="2"/>
  <c r="F1027" i="2"/>
  <c r="B1027" i="2"/>
  <c r="H995" i="2"/>
  <c r="E995" i="2"/>
  <c r="F995" i="2"/>
  <c r="B995" i="2"/>
  <c r="H971" i="2"/>
  <c r="E971" i="2"/>
  <c r="F971" i="2"/>
  <c r="B971" i="2"/>
  <c r="H947" i="2"/>
  <c r="E947" i="2"/>
  <c r="F947" i="2"/>
  <c r="B947" i="2"/>
  <c r="H923" i="2"/>
  <c r="E923" i="2"/>
  <c r="F923" i="2"/>
  <c r="B923" i="2"/>
  <c r="E907" i="2"/>
  <c r="F907" i="2"/>
  <c r="H907" i="2"/>
  <c r="B907" i="2"/>
  <c r="H883" i="2"/>
  <c r="E883" i="2"/>
  <c r="F883" i="2"/>
  <c r="B883" i="2"/>
  <c r="H859" i="2"/>
  <c r="E859" i="2"/>
  <c r="F859" i="2"/>
  <c r="B859" i="2"/>
  <c r="H835" i="2"/>
  <c r="F835" i="2"/>
  <c r="E835" i="2"/>
  <c r="B835" i="2"/>
  <c r="H811" i="2"/>
  <c r="F811" i="2"/>
  <c r="B811" i="2"/>
  <c r="E811" i="2"/>
  <c r="C811" i="2"/>
  <c r="H787" i="2"/>
  <c r="E787" i="2"/>
  <c r="F787" i="2"/>
  <c r="B787" i="2"/>
  <c r="C787" i="2"/>
  <c r="H763" i="2"/>
  <c r="F763" i="2"/>
  <c r="E763" i="2"/>
  <c r="B763" i="2"/>
  <c r="C763" i="2"/>
  <c r="H731" i="2"/>
  <c r="E731" i="2"/>
  <c r="F731" i="2"/>
  <c r="B731" i="2"/>
  <c r="C731" i="2"/>
  <c r="H707" i="2"/>
  <c r="F707" i="2"/>
  <c r="E707" i="2"/>
  <c r="B707" i="2"/>
  <c r="C707" i="2"/>
  <c r="H683" i="2"/>
  <c r="F683" i="2"/>
  <c r="E683" i="2"/>
  <c r="B683" i="2"/>
  <c r="C683" i="2"/>
  <c r="H675" i="2"/>
  <c r="E675" i="2"/>
  <c r="F675" i="2"/>
  <c r="B675" i="2"/>
  <c r="C675" i="2"/>
  <c r="H659" i="2"/>
  <c r="E659" i="2"/>
  <c r="F659" i="2"/>
  <c r="B659" i="2"/>
  <c r="C659" i="2"/>
  <c r="H643" i="2"/>
  <c r="F643" i="2"/>
  <c r="E643" i="2"/>
  <c r="B643" i="2"/>
  <c r="C643" i="2"/>
  <c r="H627" i="2"/>
  <c r="F627" i="2"/>
  <c r="E627" i="2"/>
  <c r="B627" i="2"/>
  <c r="C627" i="2"/>
  <c r="H603" i="2"/>
  <c r="E603" i="2"/>
  <c r="F603" i="2"/>
  <c r="B603" i="2"/>
  <c r="C603" i="2"/>
  <c r="H579" i="2"/>
  <c r="F579" i="2"/>
  <c r="E579" i="2"/>
  <c r="B579" i="2"/>
  <c r="C579" i="2"/>
  <c r="H563" i="2"/>
  <c r="F563" i="2"/>
  <c r="E563" i="2"/>
  <c r="B563" i="2"/>
  <c r="C563" i="2"/>
  <c r="H547" i="2"/>
  <c r="E547" i="2"/>
  <c r="F547" i="2"/>
  <c r="B547" i="2"/>
  <c r="C547" i="2"/>
  <c r="H531" i="2"/>
  <c r="E531" i="2"/>
  <c r="F531" i="2"/>
  <c r="B531" i="2"/>
  <c r="C531" i="2"/>
  <c r="H515" i="2"/>
  <c r="F515" i="2"/>
  <c r="E515" i="2"/>
  <c r="B515" i="2"/>
  <c r="C515" i="2"/>
  <c r="H499" i="2"/>
  <c r="F499" i="2"/>
  <c r="E499" i="2"/>
  <c r="B499" i="2"/>
  <c r="C499" i="2"/>
  <c r="H483" i="2"/>
  <c r="E483" i="2"/>
  <c r="F483" i="2"/>
  <c r="B483" i="2"/>
  <c r="C483" i="2"/>
  <c r="H467" i="2"/>
  <c r="E467" i="2"/>
  <c r="F467" i="2"/>
  <c r="B467" i="2"/>
  <c r="C467" i="2"/>
  <c r="H451" i="2"/>
  <c r="F451" i="2"/>
  <c r="E451" i="2"/>
  <c r="B451" i="2"/>
  <c r="C451" i="2"/>
  <c r="H427" i="2"/>
  <c r="F427" i="2"/>
  <c r="B427" i="2"/>
  <c r="E427" i="2"/>
  <c r="C427" i="2"/>
  <c r="H387" i="2"/>
  <c r="B387" i="2"/>
  <c r="F387" i="2"/>
  <c r="E387" i="2"/>
  <c r="C387" i="2"/>
  <c r="H371" i="2"/>
  <c r="B371" i="2"/>
  <c r="F371" i="2"/>
  <c r="E371" i="2"/>
  <c r="C371" i="2"/>
  <c r="H355" i="2"/>
  <c r="E355" i="2"/>
  <c r="B355" i="2"/>
  <c r="F355" i="2"/>
  <c r="C355" i="2"/>
  <c r="H339" i="2"/>
  <c r="B339" i="2"/>
  <c r="E339" i="2"/>
  <c r="F339" i="2"/>
  <c r="C339" i="2"/>
  <c r="H323" i="2"/>
  <c r="B323" i="2"/>
  <c r="F323" i="2"/>
  <c r="E323" i="2"/>
  <c r="C323" i="2"/>
  <c r="H307" i="2"/>
  <c r="B307" i="2"/>
  <c r="F307" i="2"/>
  <c r="E307" i="2"/>
  <c r="C307" i="2"/>
  <c r="H291" i="2"/>
  <c r="E291" i="2"/>
  <c r="B291" i="2"/>
  <c r="F291" i="2"/>
  <c r="C291" i="2"/>
  <c r="H275" i="2"/>
  <c r="B275" i="2"/>
  <c r="E275" i="2"/>
  <c r="F275" i="2"/>
  <c r="C275" i="2"/>
  <c r="H251" i="2"/>
  <c r="B251" i="2"/>
  <c r="F251" i="2"/>
  <c r="E251" i="2"/>
  <c r="C251" i="2"/>
  <c r="H235" i="2"/>
  <c r="B235" i="2"/>
  <c r="F235" i="2"/>
  <c r="E235" i="2"/>
  <c r="C235" i="2"/>
  <c r="H219" i="2"/>
  <c r="B219" i="2"/>
  <c r="E219" i="2"/>
  <c r="F219" i="2"/>
  <c r="C219" i="2"/>
  <c r="B203" i="2"/>
  <c r="E203" i="2"/>
  <c r="H203" i="2"/>
  <c r="F203" i="2"/>
  <c r="C203" i="2"/>
  <c r="H187" i="2"/>
  <c r="B187" i="2"/>
  <c r="F187" i="2"/>
  <c r="E187" i="2"/>
  <c r="C187" i="2"/>
  <c r="H171" i="2"/>
  <c r="B171" i="2"/>
  <c r="F171" i="2"/>
  <c r="E171" i="2"/>
  <c r="C171" i="2"/>
  <c r="H155" i="2"/>
  <c r="B155" i="2"/>
  <c r="E155" i="2"/>
  <c r="F155" i="2"/>
  <c r="C155" i="2"/>
  <c r="H147" i="2"/>
  <c r="B147" i="2"/>
  <c r="E147" i="2"/>
  <c r="C147" i="2"/>
  <c r="F147" i="2"/>
  <c r="H131" i="2"/>
  <c r="B131" i="2"/>
  <c r="C131" i="2"/>
  <c r="E131" i="2"/>
  <c r="F131" i="2"/>
  <c r="H115" i="2"/>
  <c r="B115" i="2"/>
  <c r="C115" i="2"/>
  <c r="F115" i="2"/>
  <c r="E115" i="2"/>
  <c r="H107" i="2"/>
  <c r="B107" i="2"/>
  <c r="C107" i="2"/>
  <c r="F107" i="2"/>
  <c r="E107" i="2"/>
  <c r="H91" i="2"/>
  <c r="E91" i="2"/>
  <c r="B91" i="2"/>
  <c r="C91" i="2"/>
  <c r="F91" i="2"/>
  <c r="H83" i="2"/>
  <c r="B83" i="2"/>
  <c r="E83" i="2"/>
  <c r="C83" i="2"/>
  <c r="F83" i="2"/>
  <c r="B75" i="2"/>
  <c r="H75" i="2"/>
  <c r="E75" i="2"/>
  <c r="C75" i="2"/>
  <c r="F75" i="2"/>
  <c r="H67" i="2"/>
  <c r="B67" i="2"/>
  <c r="C67" i="2"/>
  <c r="E67" i="2"/>
  <c r="F67" i="2"/>
  <c r="H59" i="2"/>
  <c r="B59" i="2"/>
  <c r="C59" i="2"/>
  <c r="F59" i="2"/>
  <c r="E59" i="2"/>
  <c r="H51" i="2"/>
  <c r="B51" i="2"/>
  <c r="C51" i="2"/>
  <c r="F51" i="2"/>
  <c r="E51" i="2"/>
  <c r="H43" i="2"/>
  <c r="B43" i="2"/>
  <c r="C43" i="2"/>
  <c r="F43" i="2"/>
  <c r="E43" i="2"/>
  <c r="H35" i="2"/>
  <c r="E35" i="2"/>
  <c r="B35" i="2"/>
  <c r="C35" i="2"/>
  <c r="F35" i="2"/>
  <c r="F1451" i="2"/>
  <c r="B1451" i="2"/>
  <c r="C1451" i="2"/>
  <c r="E1451" i="2"/>
  <c r="C1419" i="2"/>
  <c r="B1419" i="2"/>
  <c r="E1419" i="2"/>
  <c r="F1419" i="2"/>
  <c r="C1395" i="2"/>
  <c r="E1395" i="2"/>
  <c r="F1395" i="2"/>
  <c r="B1395" i="2"/>
  <c r="C1371" i="2"/>
  <c r="F1371" i="2"/>
  <c r="E1371" i="2"/>
  <c r="B1371" i="2"/>
  <c r="C1347" i="2"/>
  <c r="E1347" i="2"/>
  <c r="F1347" i="2"/>
  <c r="B1347" i="2"/>
  <c r="B1323" i="2"/>
  <c r="C1323" i="2"/>
  <c r="F1323" i="2"/>
  <c r="E1323" i="2"/>
  <c r="B1307" i="2"/>
  <c r="C1307" i="2"/>
  <c r="F1307" i="2"/>
  <c r="E1307" i="2"/>
  <c r="C1283" i="2"/>
  <c r="E1283" i="2"/>
  <c r="F1283" i="2"/>
  <c r="B1283" i="2"/>
  <c r="B1259" i="2"/>
  <c r="C1259" i="2"/>
  <c r="E1259" i="2"/>
  <c r="F1259" i="2"/>
  <c r="C1235" i="2"/>
  <c r="B1235" i="2"/>
  <c r="E1235" i="2"/>
  <c r="F1235" i="2"/>
  <c r="B1211" i="2"/>
  <c r="C1211" i="2"/>
  <c r="E1211" i="2"/>
  <c r="F1211" i="2"/>
  <c r="C1187" i="2"/>
  <c r="B1187" i="2"/>
  <c r="E1187" i="2"/>
  <c r="F1187" i="2"/>
  <c r="B1163" i="2"/>
  <c r="C1163" i="2"/>
  <c r="E1163" i="2"/>
  <c r="F1163" i="2"/>
  <c r="C1139" i="2"/>
  <c r="B1139" i="2"/>
  <c r="E1139" i="2"/>
  <c r="F1139" i="2"/>
  <c r="C1107" i="2"/>
  <c r="F1107" i="2"/>
  <c r="B1107" i="2"/>
  <c r="E1107" i="2"/>
  <c r="H1083" i="2"/>
  <c r="E1083" i="2"/>
  <c r="F1083" i="2"/>
  <c r="H1059" i="2"/>
  <c r="E1059" i="2"/>
  <c r="F1059" i="2"/>
  <c r="H1043" i="2"/>
  <c r="E1043" i="2"/>
  <c r="F1043" i="2"/>
  <c r="B1043" i="2"/>
  <c r="H1011" i="2"/>
  <c r="E1011" i="2"/>
  <c r="B1011" i="2"/>
  <c r="F1011" i="2"/>
  <c r="H987" i="2"/>
  <c r="E987" i="2"/>
  <c r="F987" i="2"/>
  <c r="B987" i="2"/>
  <c r="H963" i="2"/>
  <c r="E963" i="2"/>
  <c r="F963" i="2"/>
  <c r="B963" i="2"/>
  <c r="H939" i="2"/>
  <c r="F939" i="2"/>
  <c r="B939" i="2"/>
  <c r="E939" i="2"/>
  <c r="H915" i="2"/>
  <c r="E915" i="2"/>
  <c r="F915" i="2"/>
  <c r="B915" i="2"/>
  <c r="H891" i="2"/>
  <c r="E891" i="2"/>
  <c r="F891" i="2"/>
  <c r="B891" i="2"/>
  <c r="H867" i="2"/>
  <c r="E867" i="2"/>
  <c r="F867" i="2"/>
  <c r="B867" i="2"/>
  <c r="E843" i="2"/>
  <c r="F843" i="2"/>
  <c r="H843" i="2"/>
  <c r="B843" i="2"/>
  <c r="H819" i="2"/>
  <c r="F819" i="2"/>
  <c r="E819" i="2"/>
  <c r="B819" i="2"/>
  <c r="C819" i="2"/>
  <c r="H795" i="2"/>
  <c r="E795" i="2"/>
  <c r="F795" i="2"/>
  <c r="B795" i="2"/>
  <c r="C795" i="2"/>
  <c r="H771" i="2"/>
  <c r="F771" i="2"/>
  <c r="E771" i="2"/>
  <c r="B771" i="2"/>
  <c r="C771" i="2"/>
  <c r="H747" i="2"/>
  <c r="F747" i="2"/>
  <c r="E747" i="2"/>
  <c r="B747" i="2"/>
  <c r="C747" i="2"/>
  <c r="H723" i="2"/>
  <c r="E723" i="2"/>
  <c r="F723" i="2"/>
  <c r="B723" i="2"/>
  <c r="C723" i="2"/>
  <c r="H691" i="2"/>
  <c r="F691" i="2"/>
  <c r="E691" i="2"/>
  <c r="B691" i="2"/>
  <c r="C691" i="2"/>
  <c r="H611" i="2"/>
  <c r="E611" i="2"/>
  <c r="F611" i="2"/>
  <c r="B611" i="2"/>
  <c r="C611" i="2"/>
  <c r="H27" i="2"/>
  <c r="E27" i="2"/>
  <c r="B27" i="2"/>
  <c r="C27" i="2"/>
  <c r="F27" i="2"/>
  <c r="B1091" i="2"/>
  <c r="B1083" i="2"/>
  <c r="B1075" i="2"/>
  <c r="B1067" i="2"/>
  <c r="B1059" i="2"/>
  <c r="B1051" i="2"/>
  <c r="E1003" i="2"/>
  <c r="H419" i="2"/>
  <c r="E419" i="2"/>
  <c r="F419" i="2"/>
  <c r="B419" i="2"/>
  <c r="C419" i="2"/>
  <c r="H411" i="2"/>
  <c r="B411" i="2"/>
  <c r="E411" i="2"/>
  <c r="F411" i="2"/>
  <c r="C411" i="2"/>
  <c r="H403" i="2"/>
  <c r="B403" i="2"/>
  <c r="E403" i="2"/>
  <c r="F403" i="2"/>
  <c r="C403" i="2"/>
  <c r="B1458" i="2"/>
  <c r="C1458" i="2"/>
  <c r="E1458" i="2"/>
  <c r="F1458" i="2"/>
  <c r="B1426" i="2"/>
  <c r="C1426" i="2"/>
  <c r="E1426" i="2"/>
  <c r="F1426" i="2"/>
  <c r="B1410" i="2"/>
  <c r="C1410" i="2"/>
  <c r="E1410" i="2"/>
  <c r="F1410" i="2"/>
  <c r="B1378" i="2"/>
  <c r="C1378" i="2"/>
  <c r="E1378" i="2"/>
  <c r="F1378" i="2"/>
  <c r="B1346" i="2"/>
  <c r="C1346" i="2"/>
  <c r="E1346" i="2"/>
  <c r="F1346" i="2"/>
  <c r="B1314" i="2"/>
  <c r="C1314" i="2"/>
  <c r="E1314" i="2"/>
  <c r="F1314" i="2"/>
  <c r="B1282" i="2"/>
  <c r="C1282" i="2"/>
  <c r="E1282" i="2"/>
  <c r="F1282" i="2"/>
  <c r="B1250" i="2"/>
  <c r="C1250" i="2"/>
  <c r="E1250" i="2"/>
  <c r="F1250" i="2"/>
  <c r="B1218" i="2"/>
  <c r="C1218" i="2"/>
  <c r="E1218" i="2"/>
  <c r="F1218" i="2"/>
  <c r="B1162" i="2"/>
  <c r="C1162" i="2"/>
  <c r="E1162" i="2"/>
  <c r="F1162" i="2"/>
  <c r="C154" i="2"/>
  <c r="B1442" i="2"/>
  <c r="C1442" i="2"/>
  <c r="E1442" i="2"/>
  <c r="F1442" i="2"/>
  <c r="B1394" i="2"/>
  <c r="C1394" i="2"/>
  <c r="E1394" i="2"/>
  <c r="F1394" i="2"/>
  <c r="B1362" i="2"/>
  <c r="C1362" i="2"/>
  <c r="E1362" i="2"/>
  <c r="F1362" i="2"/>
  <c r="B1330" i="2"/>
  <c r="C1330" i="2"/>
  <c r="E1330" i="2"/>
  <c r="F1330" i="2"/>
  <c r="B1290" i="2"/>
  <c r="C1290" i="2"/>
  <c r="E1290" i="2"/>
  <c r="F1290" i="2"/>
  <c r="B1266" i="2"/>
  <c r="C1266" i="2"/>
  <c r="E1266" i="2"/>
  <c r="F1266" i="2"/>
  <c r="B1234" i="2"/>
  <c r="C1234" i="2"/>
  <c r="E1234" i="2"/>
  <c r="F1234" i="2"/>
  <c r="B1202" i="2"/>
  <c r="C1202" i="2"/>
  <c r="E1202" i="2"/>
  <c r="F1202" i="2"/>
  <c r="B1186" i="2"/>
  <c r="C1186" i="2"/>
  <c r="E1186" i="2"/>
  <c r="F1186" i="2"/>
  <c r="B1154" i="2"/>
  <c r="C1154" i="2"/>
  <c r="E1154" i="2"/>
  <c r="F1154" i="2"/>
  <c r="B1138" i="2"/>
  <c r="C1138" i="2"/>
  <c r="E1138" i="2"/>
  <c r="F1138" i="2"/>
  <c r="B1122" i="2"/>
  <c r="C1122" i="2"/>
  <c r="E1122" i="2"/>
  <c r="F1122" i="2"/>
  <c r="B1114" i="2"/>
  <c r="C1114" i="2"/>
  <c r="E1114" i="2"/>
  <c r="F1114" i="2"/>
  <c r="B1098" i="2"/>
  <c r="C1098" i="2"/>
  <c r="E1098" i="2"/>
  <c r="F1098" i="2"/>
  <c r="B1450" i="2"/>
  <c r="C1450" i="2"/>
  <c r="E1450" i="2"/>
  <c r="F1450" i="2"/>
  <c r="B1418" i="2"/>
  <c r="C1418" i="2"/>
  <c r="E1418" i="2"/>
  <c r="F1418" i="2"/>
  <c r="B1386" i="2"/>
  <c r="C1386" i="2"/>
  <c r="E1386" i="2"/>
  <c r="F1386" i="2"/>
  <c r="B1354" i="2"/>
  <c r="C1354" i="2"/>
  <c r="E1354" i="2"/>
  <c r="F1354" i="2"/>
  <c r="B1322" i="2"/>
  <c r="C1322" i="2"/>
  <c r="E1322" i="2"/>
  <c r="F1322" i="2"/>
  <c r="B1298" i="2"/>
  <c r="C1298" i="2"/>
  <c r="E1298" i="2"/>
  <c r="F1298" i="2"/>
  <c r="B1258" i="2"/>
  <c r="C1258" i="2"/>
  <c r="E1258" i="2"/>
  <c r="F1258" i="2"/>
  <c r="B1226" i="2"/>
  <c r="C1226" i="2"/>
  <c r="E1226" i="2"/>
  <c r="F1226" i="2"/>
  <c r="B1194" i="2"/>
  <c r="C1194" i="2"/>
  <c r="E1194" i="2"/>
  <c r="F1194" i="2"/>
  <c r="B1178" i="2"/>
  <c r="C1178" i="2"/>
  <c r="E1178" i="2"/>
  <c r="F1178" i="2"/>
  <c r="B1146" i="2"/>
  <c r="C1146" i="2"/>
  <c r="E1146" i="2"/>
  <c r="F1146" i="2"/>
  <c r="B1130" i="2"/>
  <c r="C1130" i="2"/>
  <c r="E1130" i="2"/>
  <c r="F1130" i="2"/>
  <c r="B1106" i="2"/>
  <c r="C1106" i="2"/>
  <c r="E1106" i="2"/>
  <c r="F1106" i="2"/>
  <c r="B154" i="2"/>
  <c r="B1434" i="2"/>
  <c r="C1434" i="2"/>
  <c r="E1434" i="2"/>
  <c r="F1434" i="2"/>
  <c r="B1402" i="2"/>
  <c r="C1402" i="2"/>
  <c r="E1402" i="2"/>
  <c r="F1402" i="2"/>
  <c r="B1370" i="2"/>
  <c r="C1370" i="2"/>
  <c r="E1370" i="2"/>
  <c r="F1370" i="2"/>
  <c r="B1338" i="2"/>
  <c r="C1338" i="2"/>
  <c r="E1338" i="2"/>
  <c r="F1338" i="2"/>
  <c r="B1306" i="2"/>
  <c r="C1306" i="2"/>
  <c r="E1306" i="2"/>
  <c r="F1306" i="2"/>
  <c r="B1274" i="2"/>
  <c r="C1274" i="2"/>
  <c r="E1274" i="2"/>
  <c r="F1274" i="2"/>
  <c r="B1242" i="2"/>
  <c r="C1242" i="2"/>
  <c r="E1242" i="2"/>
  <c r="F1242" i="2"/>
  <c r="B1210" i="2"/>
  <c r="C1210" i="2"/>
  <c r="E1210" i="2"/>
  <c r="F1210" i="2"/>
  <c r="B1170" i="2"/>
  <c r="C1170" i="2"/>
  <c r="E1170" i="2"/>
  <c r="F1170" i="2"/>
  <c r="F1090" i="2"/>
  <c r="F1066" i="2"/>
  <c r="F1050" i="2"/>
  <c r="F1034" i="2"/>
  <c r="F1018" i="2"/>
  <c r="F1002" i="2"/>
  <c r="F986" i="2"/>
  <c r="F970" i="2"/>
  <c r="F954" i="2"/>
  <c r="F938" i="2"/>
  <c r="F922" i="2"/>
  <c r="F906" i="2"/>
  <c r="F890" i="2"/>
  <c r="F882" i="2"/>
  <c r="F874" i="2"/>
  <c r="F866" i="2"/>
  <c r="F850" i="2"/>
  <c r="F154" i="2"/>
  <c r="F1082" i="2"/>
  <c r="F1074" i="2"/>
  <c r="F1058" i="2"/>
  <c r="F1042" i="2"/>
  <c r="F1026" i="2"/>
  <c r="F1010" i="2"/>
  <c r="F994" i="2"/>
  <c r="F978" i="2"/>
  <c r="F962" i="2"/>
  <c r="F946" i="2"/>
  <c r="F930" i="2"/>
  <c r="F914" i="2"/>
  <c r="F898" i="2"/>
  <c r="F858" i="2"/>
  <c r="E1090" i="2"/>
  <c r="E1082" i="2"/>
  <c r="E1074" i="2"/>
  <c r="E1066" i="2"/>
  <c r="E1058" i="2"/>
  <c r="E1050" i="2"/>
  <c r="E1042" i="2"/>
  <c r="E1034" i="2"/>
  <c r="E1026" i="2"/>
  <c r="E1018" i="2"/>
  <c r="E1010" i="2"/>
  <c r="E1002" i="2"/>
  <c r="E994" i="2"/>
  <c r="E986" i="2"/>
  <c r="E978" i="2"/>
  <c r="E970" i="2"/>
  <c r="E962" i="2"/>
  <c r="E954" i="2"/>
  <c r="E946" i="2"/>
  <c r="E938" i="2"/>
  <c r="E930" i="2"/>
  <c r="E922" i="2"/>
  <c r="E914" i="2"/>
  <c r="E906" i="2"/>
  <c r="E898" i="2"/>
  <c r="E890" i="2"/>
  <c r="E882" i="2"/>
  <c r="E874" i="2"/>
  <c r="E866" i="2"/>
  <c r="E858" i="2"/>
  <c r="E850" i="2"/>
  <c r="E842" i="2"/>
  <c r="E834" i="2"/>
  <c r="E826" i="2"/>
  <c r="E818" i="2"/>
  <c r="H1090" i="2"/>
  <c r="H1082" i="2"/>
  <c r="H1074" i="2"/>
  <c r="H1066" i="2"/>
  <c r="H1058" i="2"/>
  <c r="H1050" i="2"/>
  <c r="H1042" i="2"/>
  <c r="H1034" i="2"/>
  <c r="H1026" i="2"/>
  <c r="H1018" i="2"/>
  <c r="H1010" i="2"/>
  <c r="H1002" i="2"/>
  <c r="H994" i="2"/>
  <c r="H986" i="2"/>
  <c r="H978" i="2"/>
  <c r="H970" i="2"/>
  <c r="H962" i="2"/>
  <c r="H954" i="2"/>
  <c r="H946" i="2"/>
  <c r="H938" i="2"/>
  <c r="H930" i="2"/>
  <c r="H922" i="2"/>
  <c r="H914" i="2"/>
  <c r="H906" i="2"/>
  <c r="H898" i="2"/>
  <c r="H890" i="2"/>
  <c r="H882" i="2"/>
  <c r="H874" i="2"/>
  <c r="H866" i="2"/>
  <c r="H858" i="2"/>
  <c r="H850" i="2"/>
  <c r="H842" i="2"/>
  <c r="H834" i="2"/>
  <c r="H826" i="2"/>
  <c r="H818" i="2"/>
  <c r="H810" i="2"/>
  <c r="H802" i="2"/>
  <c r="H794" i="2"/>
  <c r="H786" i="2"/>
  <c r="H778" i="2"/>
  <c r="H770" i="2"/>
  <c r="H762" i="2"/>
  <c r="H754" i="2"/>
  <c r="H746" i="2"/>
  <c r="H738" i="2"/>
  <c r="H730" i="2"/>
  <c r="H722" i="2"/>
  <c r="H714" i="2"/>
  <c r="H706" i="2"/>
  <c r="H698" i="2"/>
  <c r="H690" i="2"/>
  <c r="H682" i="2"/>
  <c r="H674" i="2"/>
  <c r="H666" i="2"/>
  <c r="H658" i="2"/>
  <c r="H650" i="2"/>
  <c r="H642" i="2"/>
  <c r="H634" i="2"/>
  <c r="H626" i="2"/>
  <c r="H618" i="2"/>
  <c r="H610" i="2"/>
  <c r="H602" i="2"/>
  <c r="H594" i="2"/>
  <c r="H586" i="2"/>
  <c r="H578" i="2"/>
  <c r="H570" i="2"/>
  <c r="H562" i="2"/>
  <c r="H554" i="2"/>
  <c r="H546" i="2"/>
  <c r="H538" i="2"/>
  <c r="H530" i="2"/>
  <c r="H522" i="2"/>
  <c r="H514" i="2"/>
  <c r="H506" i="2"/>
  <c r="H498" i="2"/>
  <c r="H490" i="2"/>
  <c r="H482" i="2"/>
  <c r="H474" i="2"/>
  <c r="H466" i="2"/>
  <c r="H458" i="2"/>
  <c r="H450" i="2"/>
  <c r="H442" i="2"/>
  <c r="H434" i="2"/>
  <c r="H426" i="2"/>
  <c r="H418" i="2"/>
  <c r="H410" i="2"/>
  <c r="H402" i="2"/>
  <c r="H394" i="2"/>
  <c r="H386" i="2"/>
  <c r="H378" i="2"/>
  <c r="H370" i="2"/>
  <c r="H362" i="2"/>
  <c r="H354" i="2"/>
  <c r="H346" i="2"/>
  <c r="H338" i="2"/>
  <c r="H330" i="2"/>
  <c r="H322" i="2"/>
  <c r="H314" i="2"/>
  <c r="H306" i="2"/>
  <c r="H298" i="2"/>
  <c r="H290" i="2"/>
  <c r="H282" i="2"/>
  <c r="H274" i="2"/>
  <c r="H266" i="2"/>
  <c r="H258" i="2"/>
  <c r="H250" i="2"/>
  <c r="H242" i="2"/>
  <c r="H234" i="2"/>
  <c r="H226" i="2"/>
  <c r="H218" i="2"/>
  <c r="H210" i="2"/>
  <c r="H202" i="2"/>
  <c r="H194" i="2"/>
  <c r="H186" i="2"/>
  <c r="H178" i="2"/>
  <c r="H170" i="2"/>
  <c r="H162" i="2"/>
  <c r="H154" i="2"/>
  <c r="H146" i="2"/>
  <c r="H138" i="2"/>
  <c r="H130" i="2"/>
  <c r="H122" i="2"/>
  <c r="H114" i="2"/>
  <c r="H106" i="2"/>
  <c r="H98" i="2"/>
  <c r="H90" i="2"/>
  <c r="H82" i="2"/>
  <c r="H74" i="2"/>
  <c r="H66" i="2"/>
  <c r="H58" i="2"/>
  <c r="H50" i="2"/>
  <c r="H42" i="2"/>
  <c r="H34" i="2"/>
  <c r="H26" i="2"/>
  <c r="H18" i="2"/>
  <c r="H10" i="2"/>
</calcChain>
</file>

<file path=xl/sharedStrings.xml><?xml version="1.0" encoding="utf-8"?>
<sst xmlns="http://schemas.openxmlformats.org/spreadsheetml/2006/main" count="11253" uniqueCount="2679">
  <si>
    <t>PakFresh Consumer Products Ltd. — Synthetic FMCG Supply Chain Dataset</t>
  </si>
  <si>
    <t>Purpose</t>
  </si>
  <si>
    <t>Portfolio-grade synthetic dataset for inventory, procurement, supplier performance and demand-planning analytics.</t>
  </si>
  <si>
    <t>Status</t>
  </si>
  <si>
    <t>Synthetic data — not real company data.</t>
  </si>
  <si>
    <t>Period</t>
  </si>
  <si>
    <t>2024-01-01 to 2026-12-31</t>
  </si>
  <si>
    <t>Current build</t>
  </si>
  <si>
    <t>Master data only; transactional fact tables will be generated after validation.</t>
  </si>
  <si>
    <t>Planned facts</t>
  </si>
  <si>
    <t>FactSales; FactInventory; FactPurchaseOrders; FactPromotions; FactForecast</t>
  </si>
  <si>
    <t>Date</t>
  </si>
  <si>
    <t>Year</t>
  </si>
  <si>
    <t>MonthNo</t>
  </si>
  <si>
    <t>MonthName</t>
  </si>
  <si>
    <t>WeekNo</t>
  </si>
  <si>
    <t>Day</t>
  </si>
  <si>
    <t>DayName</t>
  </si>
  <si>
    <t>IsWeekend</t>
  </si>
  <si>
    <t>DayOfYear</t>
  </si>
  <si>
    <t>Season</t>
  </si>
  <si>
    <t>January</t>
  </si>
  <si>
    <t>Winter</t>
  </si>
  <si>
    <t>February</t>
  </si>
  <si>
    <t>March</t>
  </si>
  <si>
    <t>Normal</t>
  </si>
  <si>
    <t>April</t>
  </si>
  <si>
    <t>May</t>
  </si>
  <si>
    <t>Summer</t>
  </si>
  <si>
    <t>June</t>
  </si>
  <si>
    <t>July</t>
  </si>
  <si>
    <t>August</t>
  </si>
  <si>
    <t>September</t>
  </si>
  <si>
    <t>October</t>
  </si>
  <si>
    <t>November</t>
  </si>
  <si>
    <t>December</t>
  </si>
  <si>
    <t>WarehouseID</t>
  </si>
  <si>
    <t>WarehouseName</t>
  </si>
  <si>
    <t>City</t>
  </si>
  <si>
    <t>Province</t>
  </si>
  <si>
    <t>Region</t>
  </si>
  <si>
    <t>CapacityCases</t>
  </si>
  <si>
    <t>WarehouseType</t>
  </si>
  <si>
    <t>WH01</t>
  </si>
  <si>
    <t>Karachi DC</t>
  </si>
  <si>
    <t>Karachi</t>
  </si>
  <si>
    <t>Sindh</t>
  </si>
  <si>
    <t>South</t>
  </si>
  <si>
    <t>Primary</t>
  </si>
  <si>
    <t>WH02</t>
  </si>
  <si>
    <t>Lahore DC</t>
  </si>
  <si>
    <t>Lahore</t>
  </si>
  <si>
    <t>Punjab</t>
  </si>
  <si>
    <t>Central</t>
  </si>
  <si>
    <t>Regional</t>
  </si>
  <si>
    <t>WH03</t>
  </si>
  <si>
    <t>Islamabad/Rawalpindi DC</t>
  </si>
  <si>
    <t>Islamabad</t>
  </si>
  <si>
    <t>Islamabad Capital Territory</t>
  </si>
  <si>
    <t>North</t>
  </si>
  <si>
    <t>WH04</t>
  </si>
  <si>
    <t>Peshawar DC</t>
  </si>
  <si>
    <t>Peshawar</t>
  </si>
  <si>
    <t>Khyber Pakhtunkhwa</t>
  </si>
  <si>
    <t>North-West</t>
  </si>
  <si>
    <t>ChannelID</t>
  </si>
  <si>
    <t>ChannelName</t>
  </si>
  <si>
    <t>ChannelType</t>
  </si>
  <si>
    <t>PromotionSensitivity</t>
  </si>
  <si>
    <t>Description</t>
  </si>
  <si>
    <t>CH01</t>
  </si>
  <si>
    <t>Modern Trade</t>
  </si>
  <si>
    <t>Retail</t>
  </si>
  <si>
    <t>High</t>
  </si>
  <si>
    <t>High promotion sensitivity</t>
  </si>
  <si>
    <t>CH02</t>
  </si>
  <si>
    <t>General Trade</t>
  </si>
  <si>
    <t>Medium</t>
  </si>
  <si>
    <t>Stable dispersed demand</t>
  </si>
  <si>
    <t>CH03</t>
  </si>
  <si>
    <t>Wholesale</t>
  </si>
  <si>
    <t>B2B</t>
  </si>
  <si>
    <t>Large orders and price sensitivity</t>
  </si>
  <si>
    <t>CH04</t>
  </si>
  <si>
    <t>E-commerce</t>
  </si>
  <si>
    <t>Online</t>
  </si>
  <si>
    <t>More volatile and promotion sensitive</t>
  </si>
  <si>
    <t>SupplierID</t>
  </si>
  <si>
    <t>SupplierName</t>
  </si>
  <si>
    <t>Country</t>
  </si>
  <si>
    <t>SupplierType</t>
  </si>
  <si>
    <t>PaymentTerms</t>
  </si>
  <si>
    <t>ContractStart</t>
  </si>
  <si>
    <t>ContractEnd</t>
  </si>
  <si>
    <t>DefaultLeadTimeDays</t>
  </si>
  <si>
    <t>TargetOTIF</t>
  </si>
  <si>
    <t>TargetQuality</t>
  </si>
  <si>
    <t>SupplyCategory</t>
  </si>
  <si>
    <t>SUP001</t>
  </si>
  <si>
    <t>PakAgro Foods</t>
  </si>
  <si>
    <t>Pakistan</t>
  </si>
  <si>
    <t>Standard</t>
  </si>
  <si>
    <t>45 Days</t>
  </si>
  <si>
    <t>Finished Goods</t>
  </si>
  <si>
    <t>SUP002</t>
  </si>
  <si>
    <t>National Ingredients</t>
  </si>
  <si>
    <t>Balochistan</t>
  </si>
  <si>
    <t>Strategic</t>
  </si>
  <si>
    <t>SUP003</t>
  </si>
  <si>
    <t>Prime Packaging</t>
  </si>
  <si>
    <t>Preferred</t>
  </si>
  <si>
    <t>60 Days</t>
  </si>
  <si>
    <t>Dairy Inputs</t>
  </si>
  <si>
    <t>SUP004</t>
  </si>
  <si>
    <t>FreshPack Industries</t>
  </si>
  <si>
    <t>SUP005</t>
  </si>
  <si>
    <t>Eastern Beverages</t>
  </si>
  <si>
    <t>90 Days</t>
  </si>
  <si>
    <t>Chemicals</t>
  </si>
  <si>
    <t>SUP006</t>
  </si>
  <si>
    <t>United Dairy Inputs</t>
  </si>
  <si>
    <t>SUP007</t>
  </si>
  <si>
    <t>Capital Chemicals</t>
  </si>
  <si>
    <t>High-risk</t>
  </si>
  <si>
    <t>Other</t>
  </si>
  <si>
    <t>SUP008</t>
  </si>
  <si>
    <t>Frontier Foods</t>
  </si>
  <si>
    <t>Food Ingredients</t>
  </si>
  <si>
    <t>SUP009</t>
  </si>
  <si>
    <t>Metro Packaging</t>
  </si>
  <si>
    <t>30 Days</t>
  </si>
  <si>
    <t>SUP010</t>
  </si>
  <si>
    <t>Reliable Plastics</t>
  </si>
  <si>
    <t>SUP011</t>
  </si>
  <si>
    <t>Golden Grains</t>
  </si>
  <si>
    <t>SUP012</t>
  </si>
  <si>
    <t>Superior Flavours</t>
  </si>
  <si>
    <t>Packaging</t>
  </si>
  <si>
    <t>SUP013</t>
  </si>
  <si>
    <t>Pak Oils &amp; Fats</t>
  </si>
  <si>
    <t>SUP014</t>
  </si>
  <si>
    <t>National Cartons</t>
  </si>
  <si>
    <t>SUP015</t>
  </si>
  <si>
    <t>Evergreen Ingredients</t>
  </si>
  <si>
    <t>SUP016</t>
  </si>
  <si>
    <t>Pioneer Foods</t>
  </si>
  <si>
    <t>SUP017</t>
  </si>
  <si>
    <t>Quality Chem</t>
  </si>
  <si>
    <t>SUP018</t>
  </si>
  <si>
    <t>Star Packaging</t>
  </si>
  <si>
    <t>SUP019</t>
  </si>
  <si>
    <t>Al-Noor Ingredients</t>
  </si>
  <si>
    <t>SUP020</t>
  </si>
  <si>
    <t>Khyber Supplies</t>
  </si>
  <si>
    <t>SUP021</t>
  </si>
  <si>
    <t>Punjab Food Solutions</t>
  </si>
  <si>
    <t>SUP022</t>
  </si>
  <si>
    <t>Sindh Commodities</t>
  </si>
  <si>
    <t>SUP023</t>
  </si>
  <si>
    <t>Central Packaging</t>
  </si>
  <si>
    <t>SUP024</t>
  </si>
  <si>
    <t>Modern Ingredients</t>
  </si>
  <si>
    <t>SUP025</t>
  </si>
  <si>
    <t>Atlas Chemicals</t>
  </si>
  <si>
    <t>SUP026</t>
  </si>
  <si>
    <t>Crown Suppliers</t>
  </si>
  <si>
    <t>SUP027</t>
  </si>
  <si>
    <t>Royal Ingredients</t>
  </si>
  <si>
    <t>SUP028</t>
  </si>
  <si>
    <t>Safa Foods</t>
  </si>
  <si>
    <t>SUP029</t>
  </si>
  <si>
    <t>Nexus Packaging</t>
  </si>
  <si>
    <t>SUP030</t>
  </si>
  <si>
    <t>Alpha Consumer Inputs</t>
  </si>
  <si>
    <t>SUP031</t>
  </si>
  <si>
    <t>Global Food Ingredients</t>
  </si>
  <si>
    <t>SUP032</t>
  </si>
  <si>
    <t>PakTrade Supplies</t>
  </si>
  <si>
    <t>SUP033</t>
  </si>
  <si>
    <t>EastWest Imports</t>
  </si>
  <si>
    <t>UAE</t>
  </si>
  <si>
    <t>International</t>
  </si>
  <si>
    <t>SUP034</t>
  </si>
  <si>
    <t>Orient Trading</t>
  </si>
  <si>
    <t>SUP035</t>
  </si>
  <si>
    <t>BlueRiver Materials</t>
  </si>
  <si>
    <t>SUP036</t>
  </si>
  <si>
    <t>Sunrise Suppliers</t>
  </si>
  <si>
    <t>China</t>
  </si>
  <si>
    <t>SUP037</t>
  </si>
  <si>
    <t>Apex Ingredients</t>
  </si>
  <si>
    <t>SUP038</t>
  </si>
  <si>
    <t>Prime Commodities</t>
  </si>
  <si>
    <t>Turkey</t>
  </si>
  <si>
    <t>SUP039</t>
  </si>
  <si>
    <t>TrustPack</t>
  </si>
  <si>
    <t>SUP040</t>
  </si>
  <si>
    <t>Universal Supplies</t>
  </si>
  <si>
    <t>Malaysia</t>
  </si>
  <si>
    <t>CustomerID</t>
  </si>
  <si>
    <t>CustomerName</t>
  </si>
  <si>
    <t>CustomerType</t>
  </si>
  <si>
    <t>CustomerSegment</t>
  </si>
  <si>
    <t>OnboardDate</t>
  </si>
  <si>
    <t>CUST0001</t>
  </si>
  <si>
    <t>New Pakistan Store 001</t>
  </si>
  <si>
    <t>C</t>
  </si>
  <si>
    <t>Cash</t>
  </si>
  <si>
    <t>CUST0002</t>
  </si>
  <si>
    <t>New Pakistan Store 002</t>
  </si>
  <si>
    <t>Rawalpindi</t>
  </si>
  <si>
    <t>B</t>
  </si>
  <si>
    <t>Net 15</t>
  </si>
  <si>
    <t>CUST0003</t>
  </si>
  <si>
    <t>New Pakistan Store 003</t>
  </si>
  <si>
    <t>CUST0004</t>
  </si>
  <si>
    <t>Khan Wholesale 004</t>
  </si>
  <si>
    <t>CUST0005</t>
  </si>
  <si>
    <t>Madina Store 005</t>
  </si>
  <si>
    <t>Net 30</t>
  </si>
  <si>
    <t>CUST0006</t>
  </si>
  <si>
    <t>Mega Retail 006</t>
  </si>
  <si>
    <t>A</t>
  </si>
  <si>
    <t>CUST0007</t>
  </si>
  <si>
    <t>Al-Rehman Store 007</t>
  </si>
  <si>
    <t>CUST0008</t>
  </si>
  <si>
    <t>Madina Store 008</t>
  </si>
  <si>
    <t>CUST0009</t>
  </si>
  <si>
    <t>City Store 009</t>
  </si>
  <si>
    <t>CUST0010</t>
  </si>
  <si>
    <t>Khan Wholesale 010</t>
  </si>
  <si>
    <t>Net 45</t>
  </si>
  <si>
    <t>CUST0011</t>
  </si>
  <si>
    <t>Value Store 011</t>
  </si>
  <si>
    <t>CUST0012</t>
  </si>
  <si>
    <t>Al-Rehman Store 012</t>
  </si>
  <si>
    <t>CUST0013</t>
  </si>
  <si>
    <t>Madina Store 013</t>
  </si>
  <si>
    <t>CUST0014</t>
  </si>
  <si>
    <t>New Pakistan Store 014</t>
  </si>
  <si>
    <t>CUST0015</t>
  </si>
  <si>
    <t>Al-Rehman Store 015</t>
  </si>
  <si>
    <t>CUST0016</t>
  </si>
  <si>
    <t>Madina Store 016</t>
  </si>
  <si>
    <t>CUST0017</t>
  </si>
  <si>
    <t>New Pakistan Store 017</t>
  </si>
  <si>
    <t>CUST0018</t>
  </si>
  <si>
    <t>Capital Mart 018</t>
  </si>
  <si>
    <t>CUST0019</t>
  </si>
  <si>
    <t>City Store 019</t>
  </si>
  <si>
    <t>CUST0020</t>
  </si>
  <si>
    <t>Khan Wholesale 020</t>
  </si>
  <si>
    <t>CUST0021</t>
  </si>
  <si>
    <t>City Store 021</t>
  </si>
  <si>
    <t>CUST0022</t>
  </si>
  <si>
    <t>Madina Store 022</t>
  </si>
  <si>
    <t>CUST0023</t>
  </si>
  <si>
    <t>Al-Rehman Store 023</t>
  </si>
  <si>
    <t>CUST0024</t>
  </si>
  <si>
    <t>United Wholesale 024</t>
  </si>
  <si>
    <t>CUST0025</t>
  </si>
  <si>
    <t>New Pakistan Store 025</t>
  </si>
  <si>
    <t>CUST0026</t>
  </si>
  <si>
    <t>Al-Rehman Store 026</t>
  </si>
  <si>
    <t>CUST0027</t>
  </si>
  <si>
    <t>DailyBasket 027</t>
  </si>
  <si>
    <t>CUST0028</t>
  </si>
  <si>
    <t>New Pakistan Store 028</t>
  </si>
  <si>
    <t>CUST0029</t>
  </si>
  <si>
    <t>New Pakistan Store 029</t>
  </si>
  <si>
    <t>CUST0030</t>
  </si>
  <si>
    <t>Value Store 030</t>
  </si>
  <si>
    <t>CUST0031</t>
  </si>
  <si>
    <t>City Store 031</t>
  </si>
  <si>
    <t>CUST0032</t>
  </si>
  <si>
    <t>Al-Rehman Store 032</t>
  </si>
  <si>
    <t>CUST0033</t>
  </si>
  <si>
    <t>Al-Rehman Store 033</t>
  </si>
  <si>
    <t>CUST0034</t>
  </si>
  <si>
    <t>Al-Rehman Store 034</t>
  </si>
  <si>
    <t>CUST0035</t>
  </si>
  <si>
    <t>Capital Mart 035</t>
  </si>
  <si>
    <t>CUST0036</t>
  </si>
  <si>
    <t>Pak Wholesale 036</t>
  </si>
  <si>
    <t>CUST0037</t>
  </si>
  <si>
    <t>City Store 037</t>
  </si>
  <si>
    <t>CUST0038</t>
  </si>
  <si>
    <t>QuickMart 038</t>
  </si>
  <si>
    <t>CUST0039</t>
  </si>
  <si>
    <t>City Store 039</t>
  </si>
  <si>
    <t>CUST0040</t>
  </si>
  <si>
    <t>Madina Store 040</t>
  </si>
  <si>
    <t>CUST0041</t>
  </si>
  <si>
    <t>Madina Store 041</t>
  </si>
  <si>
    <t>CUST0042</t>
  </si>
  <si>
    <t>Mega Retail 042</t>
  </si>
  <si>
    <t>CUST0043</t>
  </si>
  <si>
    <t>MetroMart 043</t>
  </si>
  <si>
    <t>CUST0044</t>
  </si>
  <si>
    <t>QuickMart 044</t>
  </si>
  <si>
    <t>CUST0045</t>
  </si>
  <si>
    <t>Capital Mart 045</t>
  </si>
  <si>
    <t>CUST0046</t>
  </si>
  <si>
    <t>City Cash &amp; Carry 046</t>
  </si>
  <si>
    <t>CUST0047</t>
  </si>
  <si>
    <t>Al-Rehman Store 047</t>
  </si>
  <si>
    <t>CUST0048</t>
  </si>
  <si>
    <t>Madina Store 048</t>
  </si>
  <si>
    <t>CUST0049</t>
  </si>
  <si>
    <t>MetroMart 049</t>
  </si>
  <si>
    <t>CUST0050</t>
  </si>
  <si>
    <t>City Store 050</t>
  </si>
  <si>
    <t>CUST0051</t>
  </si>
  <si>
    <t>City Cash &amp; Carry 051</t>
  </si>
  <si>
    <t>CUST0052</t>
  </si>
  <si>
    <t>New Pakistan Store 052</t>
  </si>
  <si>
    <t>CUST0053</t>
  </si>
  <si>
    <t>Pak Wholesale 053</t>
  </si>
  <si>
    <t>CUST0054</t>
  </si>
  <si>
    <t>Value Store 054</t>
  </si>
  <si>
    <t>CUST0055</t>
  </si>
  <si>
    <t>FreshCart 055</t>
  </si>
  <si>
    <t>CUST0056</t>
  </si>
  <si>
    <t>Al-Rehman Store 056</t>
  </si>
  <si>
    <t>CUST0057</t>
  </si>
  <si>
    <t>Al-Rehman Store 057</t>
  </si>
  <si>
    <t>CUST0058</t>
  </si>
  <si>
    <t>Khan Wholesale 058</t>
  </si>
  <si>
    <t>CUST0059</t>
  </si>
  <si>
    <t>City Store 059</t>
  </si>
  <si>
    <t>CUST0060</t>
  </si>
  <si>
    <t>City Store 060</t>
  </si>
  <si>
    <t>CUST0061</t>
  </si>
  <si>
    <t>New Pakistan Store 061</t>
  </si>
  <si>
    <t>CUST0062</t>
  </si>
  <si>
    <t>Value Store 062</t>
  </si>
  <si>
    <t>CUST0063</t>
  </si>
  <si>
    <t>City Store 063</t>
  </si>
  <si>
    <t>CUST0064</t>
  </si>
  <si>
    <t>Mega Retail 064</t>
  </si>
  <si>
    <t>CUST0065</t>
  </si>
  <si>
    <t>City Store 065</t>
  </si>
  <si>
    <t>CUST0066</t>
  </si>
  <si>
    <t>Pak Wholesale 066</t>
  </si>
  <si>
    <t>CUST0067</t>
  </si>
  <si>
    <t>Al-Rehman Store 067</t>
  </si>
  <si>
    <t>CUST0068</t>
  </si>
  <si>
    <t>Al-Rehman Store 068</t>
  </si>
  <si>
    <t>CUST0069</t>
  </si>
  <si>
    <t>Mega Retail 069</t>
  </si>
  <si>
    <t>CUST0070</t>
  </si>
  <si>
    <t>City Store 070</t>
  </si>
  <si>
    <t>CUST0071</t>
  </si>
  <si>
    <t>Al-Rehman Store 071</t>
  </si>
  <si>
    <t>CUST0072</t>
  </si>
  <si>
    <t>Pak Wholesale 072</t>
  </si>
  <si>
    <t>CUST0073</t>
  </si>
  <si>
    <t>Mega Retail 073</t>
  </si>
  <si>
    <t>CUST0074</t>
  </si>
  <si>
    <t>Capital Mart 074</t>
  </si>
  <si>
    <t>CUST0075</t>
  </si>
  <si>
    <t>Capital Mart 075</t>
  </si>
  <si>
    <t>CUST0076</t>
  </si>
  <si>
    <t>Madina Store 076</t>
  </si>
  <si>
    <t>CUST0077</t>
  </si>
  <si>
    <t>City Cash &amp; Carry 077</t>
  </si>
  <si>
    <t>CUST0078</t>
  </si>
  <si>
    <t>MetroMart 078</t>
  </si>
  <si>
    <t>CUST0079</t>
  </si>
  <si>
    <t>New Pakistan Store 079</t>
  </si>
  <si>
    <t>CUST0080</t>
  </si>
  <si>
    <t>MetroMart 080</t>
  </si>
  <si>
    <t>CUST0081</t>
  </si>
  <si>
    <t>United Wholesale 081</t>
  </si>
  <si>
    <t>CUST0082</t>
  </si>
  <si>
    <t>Value Store 082</t>
  </si>
  <si>
    <t>CUST0083</t>
  </si>
  <si>
    <t>FreshCart 083</t>
  </si>
  <si>
    <t>CUST0084</t>
  </si>
  <si>
    <t>DailyBasket 084</t>
  </si>
  <si>
    <t>CUST0085</t>
  </si>
  <si>
    <t>City Store 085</t>
  </si>
  <si>
    <t>CUST0086</t>
  </si>
  <si>
    <t>City Store 086</t>
  </si>
  <si>
    <t>CUST0087</t>
  </si>
  <si>
    <t>Capital Mart 087</t>
  </si>
  <si>
    <t>CUST0088</t>
  </si>
  <si>
    <t>New Pakistan Store 088</t>
  </si>
  <si>
    <t>CUST0089</t>
  </si>
  <si>
    <t>Khan Wholesale 089</t>
  </si>
  <si>
    <t>CUST0090</t>
  </si>
  <si>
    <t>City Store 090</t>
  </si>
  <si>
    <t>CUST0091</t>
  </si>
  <si>
    <t>City Store 091</t>
  </si>
  <si>
    <t>CUST0092</t>
  </si>
  <si>
    <t>Madina Store 092</t>
  </si>
  <si>
    <t>CUST0093</t>
  </si>
  <si>
    <t>QuickMart 093</t>
  </si>
  <si>
    <t>CUST0094</t>
  </si>
  <si>
    <t>Al-Rehman Store 094</t>
  </si>
  <si>
    <t>CUST0095</t>
  </si>
  <si>
    <t>City Store 095</t>
  </si>
  <si>
    <t>CUST0096</t>
  </si>
  <si>
    <t>Al-Rehman Store 096</t>
  </si>
  <si>
    <t>CUST0097</t>
  </si>
  <si>
    <t>New Pakistan Store 097</t>
  </si>
  <si>
    <t>CUST0098</t>
  </si>
  <si>
    <t>Al-Rehman Store 098</t>
  </si>
  <si>
    <t>CUST0099</t>
  </si>
  <si>
    <t>Madina Store 099</t>
  </si>
  <si>
    <t>CUST0100</t>
  </si>
  <si>
    <t>Value Store 100</t>
  </si>
  <si>
    <t>CUST0101</t>
  </si>
  <si>
    <t>United Wholesale 101</t>
  </si>
  <si>
    <t>CUST0102</t>
  </si>
  <si>
    <t>Value Store 102</t>
  </si>
  <si>
    <t>CUST0103</t>
  </si>
  <si>
    <t>United Wholesale 103</t>
  </si>
  <si>
    <t>CUST0104</t>
  </si>
  <si>
    <t>Value Store 104</t>
  </si>
  <si>
    <t>CUST0105</t>
  </si>
  <si>
    <t>Al-Rehman Store 105</t>
  </si>
  <si>
    <t>CUST0106</t>
  </si>
  <si>
    <t>City Store 106</t>
  </si>
  <si>
    <t>CUST0107</t>
  </si>
  <si>
    <t>Al-Rehman Store 107</t>
  </si>
  <si>
    <t>CUST0108</t>
  </si>
  <si>
    <t>Al-Rehman Store 108</t>
  </si>
  <si>
    <t>CUST0109</t>
  </si>
  <si>
    <t>City Store 109</t>
  </si>
  <si>
    <t>CUST0110</t>
  </si>
  <si>
    <t>Mega Retail 110</t>
  </si>
  <si>
    <t>CUST0111</t>
  </si>
  <si>
    <t>City Store 111</t>
  </si>
  <si>
    <t>CUST0112</t>
  </si>
  <si>
    <t>OnlineGrocer 112</t>
  </si>
  <si>
    <t>CUST0113</t>
  </si>
  <si>
    <t>Al-Rehman Store 113</t>
  </si>
  <si>
    <t>CUST0114</t>
  </si>
  <si>
    <t>Capital Mart 114</t>
  </si>
  <si>
    <t>CUST0115</t>
  </si>
  <si>
    <t>Khan Wholesale 115</t>
  </si>
  <si>
    <t>CUST0116</t>
  </si>
  <si>
    <t>QuickMart 116</t>
  </si>
  <si>
    <t>CUST0117</t>
  </si>
  <si>
    <t>New Pakistan Store 117</t>
  </si>
  <si>
    <t>CUST0118</t>
  </si>
  <si>
    <t>Pak Wholesale 118</t>
  </si>
  <si>
    <t>CUST0119</t>
  </si>
  <si>
    <t>City Store 119</t>
  </si>
  <si>
    <t>CUST0120</t>
  </si>
  <si>
    <t>Madina Store 120</t>
  </si>
  <si>
    <t>CUST0121</t>
  </si>
  <si>
    <t>New Pakistan Store 121</t>
  </si>
  <si>
    <t>CUST0122</t>
  </si>
  <si>
    <t>United Wholesale 122</t>
  </si>
  <si>
    <t>CUST0123</t>
  </si>
  <si>
    <t>Value Store 123</t>
  </si>
  <si>
    <t>CUST0124</t>
  </si>
  <si>
    <t>City Store 124</t>
  </si>
  <si>
    <t>CUST0125</t>
  </si>
  <si>
    <t>Mega Retail 125</t>
  </si>
  <si>
    <t>CUST0126</t>
  </si>
  <si>
    <t>Madina Store 126</t>
  </si>
  <si>
    <t>CUST0127</t>
  </si>
  <si>
    <t>City Cash &amp; Carry 127</t>
  </si>
  <si>
    <t>CUST0128</t>
  </si>
  <si>
    <t>City Cash &amp; Carry 128</t>
  </si>
  <si>
    <t>CUST0129</t>
  </si>
  <si>
    <t>New Pakistan Store 129</t>
  </si>
  <si>
    <t>CUST0130</t>
  </si>
  <si>
    <t>Al-Rehman Store 130</t>
  </si>
  <si>
    <t>CUST0131</t>
  </si>
  <si>
    <t>Capital Mart 131</t>
  </si>
  <si>
    <t>CUST0132</t>
  </si>
  <si>
    <t>QuickMart 132</t>
  </si>
  <si>
    <t>CUST0133</t>
  </si>
  <si>
    <t>MetroMart 133</t>
  </si>
  <si>
    <t>CUST0134</t>
  </si>
  <si>
    <t>Madina Store 134</t>
  </si>
  <si>
    <t>CUST0135</t>
  </si>
  <si>
    <t>Madina Store 135</t>
  </si>
  <si>
    <t>CUST0136</t>
  </si>
  <si>
    <t>City Cash &amp; Carry 136</t>
  </si>
  <si>
    <t>CUST0137</t>
  </si>
  <si>
    <t>City Store 137</t>
  </si>
  <si>
    <t>CUST0138</t>
  </si>
  <si>
    <t>Madina Store 138</t>
  </si>
  <si>
    <t>CUST0139</t>
  </si>
  <si>
    <t>City Store 139</t>
  </si>
  <si>
    <t>CUST0140</t>
  </si>
  <si>
    <t>QuickMart 140</t>
  </si>
  <si>
    <t>CUST0141</t>
  </si>
  <si>
    <t>City Cash &amp; Carry 141</t>
  </si>
  <si>
    <t>CUST0142</t>
  </si>
  <si>
    <t>New Pakistan Store 142</t>
  </si>
  <si>
    <t>CUST0143</t>
  </si>
  <si>
    <t>New Pakistan Store 143</t>
  </si>
  <si>
    <t>CUST0144</t>
  </si>
  <si>
    <t>Al-Rehman Store 144</t>
  </si>
  <si>
    <t>CUST0145</t>
  </si>
  <si>
    <t>QuickMart 145</t>
  </si>
  <si>
    <t>CUST0146</t>
  </si>
  <si>
    <t>Khan Wholesale 146</t>
  </si>
  <si>
    <t>CUST0147</t>
  </si>
  <si>
    <t>Madina Store 147</t>
  </si>
  <si>
    <t>CUST0148</t>
  </si>
  <si>
    <t>OnlineGrocer 148</t>
  </si>
  <si>
    <t>CUST0149</t>
  </si>
  <si>
    <t>Capital Mart 149</t>
  </si>
  <si>
    <t>CUST0150</t>
  </si>
  <si>
    <t>Al-Rehman Store 150</t>
  </si>
  <si>
    <t>CUST0151</t>
  </si>
  <si>
    <t>City Store 151</t>
  </si>
  <si>
    <t>CUST0152</t>
  </si>
  <si>
    <t>Mega Retail 152</t>
  </si>
  <si>
    <t>CUST0153</t>
  </si>
  <si>
    <t>FreshCart 153</t>
  </si>
  <si>
    <t>CUST0154</t>
  </si>
  <si>
    <t>Al-Rehman Store 154</t>
  </si>
  <si>
    <t>CUST0155</t>
  </si>
  <si>
    <t>New Pakistan Store 155</t>
  </si>
  <si>
    <t>CUST0156</t>
  </si>
  <si>
    <t>City Store 156</t>
  </si>
  <si>
    <t>CUST0157</t>
  </si>
  <si>
    <t>FreshCart 157</t>
  </si>
  <si>
    <t>CUST0158</t>
  </si>
  <si>
    <t>Capital Mart 158</t>
  </si>
  <si>
    <t>CUST0159</t>
  </si>
  <si>
    <t>City Store 159</t>
  </si>
  <si>
    <t>CUST0160</t>
  </si>
  <si>
    <t>DailyBasket 160</t>
  </si>
  <si>
    <t>CUST0161</t>
  </si>
  <si>
    <t>Al-Rehman Store 161</t>
  </si>
  <si>
    <t>CUST0162</t>
  </si>
  <si>
    <t>Al-Rehman Store 162</t>
  </si>
  <si>
    <t>CUST0163</t>
  </si>
  <si>
    <t>Value Store 163</t>
  </si>
  <si>
    <t>CUST0164</t>
  </si>
  <si>
    <t>City Store 164</t>
  </si>
  <si>
    <t>CUST0165</t>
  </si>
  <si>
    <t>City Store 165</t>
  </si>
  <si>
    <t>CUST0166</t>
  </si>
  <si>
    <t>City Store 166</t>
  </si>
  <si>
    <t>CUST0167</t>
  </si>
  <si>
    <t>New Pakistan Store 167</t>
  </si>
  <si>
    <t>CUST0168</t>
  </si>
  <si>
    <t>United Wholesale 168</t>
  </si>
  <si>
    <t>CUST0169</t>
  </si>
  <si>
    <t>Al-Rehman Store 169</t>
  </si>
  <si>
    <t>CUST0170</t>
  </si>
  <si>
    <t>New Pakistan Store 170</t>
  </si>
  <si>
    <t>CUST0171</t>
  </si>
  <si>
    <t>Al-Rehman Store 171</t>
  </si>
  <si>
    <t>CUST0172</t>
  </si>
  <si>
    <t>MetroMart 172</t>
  </si>
  <si>
    <t>CUST0173</t>
  </si>
  <si>
    <t>Madina Store 173</t>
  </si>
  <si>
    <t>CUST0174</t>
  </si>
  <si>
    <t>New Pakistan Store 174</t>
  </si>
  <si>
    <t>CUST0175</t>
  </si>
  <si>
    <t>Mega Retail 175</t>
  </si>
  <si>
    <t>CUST0176</t>
  </si>
  <si>
    <t>Pak Wholesale 176</t>
  </si>
  <si>
    <t>CUST0177</t>
  </si>
  <si>
    <t>New Pakistan Store 177</t>
  </si>
  <si>
    <t>CUST0178</t>
  </si>
  <si>
    <t>Madina Store 178</t>
  </si>
  <si>
    <t>CUST0179</t>
  </si>
  <si>
    <t>Madina Store 179</t>
  </si>
  <si>
    <t>CUST0180</t>
  </si>
  <si>
    <t>OnlineGrocer 180</t>
  </si>
  <si>
    <t>CUST0181</t>
  </si>
  <si>
    <t>Mega Retail 181</t>
  </si>
  <si>
    <t>CUST0182</t>
  </si>
  <si>
    <t>New Pakistan Store 182</t>
  </si>
  <si>
    <t>CUST0183</t>
  </si>
  <si>
    <t>United Wholesale 183</t>
  </si>
  <si>
    <t>CUST0184</t>
  </si>
  <si>
    <t>Pak Wholesale 184</t>
  </si>
  <si>
    <t>CUST0185</t>
  </si>
  <si>
    <t>City Store 185</t>
  </si>
  <si>
    <t>CUST0186</t>
  </si>
  <si>
    <t>Al-Rehman Store 186</t>
  </si>
  <si>
    <t>CUST0187</t>
  </si>
  <si>
    <t>Madina Store 187</t>
  </si>
  <si>
    <t>CUST0188</t>
  </si>
  <si>
    <t>Madina Store 188</t>
  </si>
  <si>
    <t>CUST0189</t>
  </si>
  <si>
    <t>Capital Mart 189</t>
  </si>
  <si>
    <t>CUST0190</t>
  </si>
  <si>
    <t>MetroMart 190</t>
  </si>
  <si>
    <t>CUST0191</t>
  </si>
  <si>
    <t>Pak Wholesale 191</t>
  </si>
  <si>
    <t>CUST0192</t>
  </si>
  <si>
    <t>New Pakistan Store 192</t>
  </si>
  <si>
    <t>CUST0193</t>
  </si>
  <si>
    <t>Madina Store 193</t>
  </si>
  <si>
    <t>CUST0194</t>
  </si>
  <si>
    <t>Madina Store 194</t>
  </si>
  <si>
    <t>CUST0195</t>
  </si>
  <si>
    <t>New Pakistan Store 195</t>
  </si>
  <si>
    <t>CUST0196</t>
  </si>
  <si>
    <t>City Store 196</t>
  </si>
  <si>
    <t>CUST0197</t>
  </si>
  <si>
    <t>United Wholesale 197</t>
  </si>
  <si>
    <t>CUST0198</t>
  </si>
  <si>
    <t>City Cash &amp; Carry 198</t>
  </si>
  <si>
    <t>CUST0199</t>
  </si>
  <si>
    <t>Madina Store 199</t>
  </si>
  <si>
    <t>CUST0200</t>
  </si>
  <si>
    <t>Khan Wholesale 200</t>
  </si>
  <si>
    <t>CUST0201</t>
  </si>
  <si>
    <t>City Store 201</t>
  </si>
  <si>
    <t>CUST0202</t>
  </si>
  <si>
    <t>Al-Rehman Store 202</t>
  </si>
  <si>
    <t>CUST0203</t>
  </si>
  <si>
    <t>QuickMart 203</t>
  </si>
  <si>
    <t>CUST0204</t>
  </si>
  <si>
    <t>FreshCart 204</t>
  </si>
  <si>
    <t>CUST0205</t>
  </si>
  <si>
    <t>New Pakistan Store 205</t>
  </si>
  <si>
    <t>CUST0206</t>
  </si>
  <si>
    <t>City Store 206</t>
  </si>
  <si>
    <t>CUST0207</t>
  </si>
  <si>
    <t>Madina Store 207</t>
  </si>
  <si>
    <t>CUST0208</t>
  </si>
  <si>
    <t>City Store 208</t>
  </si>
  <si>
    <t>CUST0209</t>
  </si>
  <si>
    <t>Mega Retail 209</t>
  </si>
  <si>
    <t>CUST0210</t>
  </si>
  <si>
    <t>MetroMart 210</t>
  </si>
  <si>
    <t>CUST0211</t>
  </si>
  <si>
    <t>Mega Retail 211</t>
  </si>
  <si>
    <t>CUST0212</t>
  </si>
  <si>
    <t>Al-Rehman Store 212</t>
  </si>
  <si>
    <t>CUST0213</t>
  </si>
  <si>
    <t>City Store 213</t>
  </si>
  <si>
    <t>CUST0214</t>
  </si>
  <si>
    <t>Al-Rehman Store 214</t>
  </si>
  <si>
    <t>CUST0215</t>
  </si>
  <si>
    <t>City Store 215</t>
  </si>
  <si>
    <t>CUST0216</t>
  </si>
  <si>
    <t>City Store 216</t>
  </si>
  <si>
    <t>CUST0217</t>
  </si>
  <si>
    <t>City Store 217</t>
  </si>
  <si>
    <t>CUST0218</t>
  </si>
  <si>
    <t>New Pakistan Store 218</t>
  </si>
  <si>
    <t>CUST0219</t>
  </si>
  <si>
    <t>Mega Retail 219</t>
  </si>
  <si>
    <t>CUST0220</t>
  </si>
  <si>
    <t>Pak Wholesale 220</t>
  </si>
  <si>
    <t>CUST0221</t>
  </si>
  <si>
    <t>Mega Retail 221</t>
  </si>
  <si>
    <t>CUST0222</t>
  </si>
  <si>
    <t>Madina Store 222</t>
  </si>
  <si>
    <t>CUST0223</t>
  </si>
  <si>
    <t>New Pakistan Store 223</t>
  </si>
  <si>
    <t>CUST0224</t>
  </si>
  <si>
    <t>Al-Rehman Store 224</t>
  </si>
  <si>
    <t>CUST0225</t>
  </si>
  <si>
    <t>Khan Wholesale 225</t>
  </si>
  <si>
    <t>CUST0226</t>
  </si>
  <si>
    <t>QuickMart 226</t>
  </si>
  <si>
    <t>CUST0227</t>
  </si>
  <si>
    <t>Capital Mart 227</t>
  </si>
  <si>
    <t>CUST0228</t>
  </si>
  <si>
    <t>Al-Rehman Store 228</t>
  </si>
  <si>
    <t>CUST0229</t>
  </si>
  <si>
    <t>Capital Mart 229</t>
  </si>
  <si>
    <t>CUST0230</t>
  </si>
  <si>
    <t>Khan Wholesale 230</t>
  </si>
  <si>
    <t>CUST0231</t>
  </si>
  <si>
    <t>Al-Rehman Store 231</t>
  </si>
  <si>
    <t>CUST0232</t>
  </si>
  <si>
    <t>Al-Rehman Store 232</t>
  </si>
  <si>
    <t>CUST0233</t>
  </si>
  <si>
    <t>City Store 233</t>
  </si>
  <si>
    <t>CUST0234</t>
  </si>
  <si>
    <t>Madina Store 234</t>
  </si>
  <si>
    <t>CUST0235</t>
  </si>
  <si>
    <t>Capital Mart 235</t>
  </si>
  <si>
    <t>CUST0236</t>
  </si>
  <si>
    <t>New Pakistan Store 236</t>
  </si>
  <si>
    <t>CUST0237</t>
  </si>
  <si>
    <t>Al-Rehman Store 237</t>
  </si>
  <si>
    <t>CUST0238</t>
  </si>
  <si>
    <t>Al-Rehman Store 238</t>
  </si>
  <si>
    <t>CUST0239</t>
  </si>
  <si>
    <t>Capital Mart 239</t>
  </si>
  <si>
    <t>CUST0240</t>
  </si>
  <si>
    <t>Madina Store 240</t>
  </si>
  <si>
    <t>CUST0241</t>
  </si>
  <si>
    <t>Capital Mart 241</t>
  </si>
  <si>
    <t>CUST0242</t>
  </si>
  <si>
    <t>Al-Rehman Store 242</t>
  </si>
  <si>
    <t>CUST0243</t>
  </si>
  <si>
    <t>OnlineGrocer 243</t>
  </si>
  <si>
    <t>CUST0244</t>
  </si>
  <si>
    <t>City Store 244</t>
  </si>
  <si>
    <t>CUST0245</t>
  </si>
  <si>
    <t>QuickMart 245</t>
  </si>
  <si>
    <t>CUST0246</t>
  </si>
  <si>
    <t>Al-Rehman Store 246</t>
  </si>
  <si>
    <t>CUST0247</t>
  </si>
  <si>
    <t>Capital Mart 247</t>
  </si>
  <si>
    <t>CUST0248</t>
  </si>
  <si>
    <t>Al-Rehman Store 248</t>
  </si>
  <si>
    <t>CUST0249</t>
  </si>
  <si>
    <t>New Pakistan Store 249</t>
  </si>
  <si>
    <t>CUST0250</t>
  </si>
  <si>
    <t>MetroMart 250</t>
  </si>
  <si>
    <t>CUST0251</t>
  </si>
  <si>
    <t>City Cash &amp; Carry 251</t>
  </si>
  <si>
    <t>CUST0252</t>
  </si>
  <si>
    <t>OnlineGrocer 252</t>
  </si>
  <si>
    <t>CUST0253</t>
  </si>
  <si>
    <t>Madina Store 253</t>
  </si>
  <si>
    <t>CUST0254</t>
  </si>
  <si>
    <t>United Wholesale 254</t>
  </si>
  <si>
    <t>CUST0255</t>
  </si>
  <si>
    <t>New Pakistan Store 255</t>
  </si>
  <si>
    <t>CUST0256</t>
  </si>
  <si>
    <t>City Store 256</t>
  </si>
  <si>
    <t>CUST0257</t>
  </si>
  <si>
    <t>Madina Store 257</t>
  </si>
  <si>
    <t>CUST0258</t>
  </si>
  <si>
    <t>Capital Mart 258</t>
  </si>
  <si>
    <t>CUST0259</t>
  </si>
  <si>
    <t>City Store 259</t>
  </si>
  <si>
    <t>CUST0260</t>
  </si>
  <si>
    <t>Madina Store 260</t>
  </si>
  <si>
    <t>CUST0261</t>
  </si>
  <si>
    <t>Al-Rehman Store 261</t>
  </si>
  <si>
    <t>CUST0262</t>
  </si>
  <si>
    <t>New Pakistan Store 262</t>
  </si>
  <si>
    <t>CUST0263</t>
  </si>
  <si>
    <t>New Pakistan Store 263</t>
  </si>
  <si>
    <t>CUST0264</t>
  </si>
  <si>
    <t>City Cash &amp; Carry 264</t>
  </si>
  <si>
    <t>CUST0265</t>
  </si>
  <si>
    <t>Madina Store 265</t>
  </si>
  <si>
    <t>CUST0266</t>
  </si>
  <si>
    <t>Al-Rehman Store 266</t>
  </si>
  <si>
    <t>CUST0267</t>
  </si>
  <si>
    <t>City Store 267</t>
  </si>
  <si>
    <t>CUST0268</t>
  </si>
  <si>
    <t>New Pakistan Store 268</t>
  </si>
  <si>
    <t>CUST0269</t>
  </si>
  <si>
    <t>MetroMart 269</t>
  </si>
  <si>
    <t>CUST0270</t>
  </si>
  <si>
    <t>QuickMart 270</t>
  </si>
  <si>
    <t>CUST0271</t>
  </si>
  <si>
    <t>New Pakistan Store 271</t>
  </si>
  <si>
    <t>CUST0272</t>
  </si>
  <si>
    <t>Value Store 272</t>
  </si>
  <si>
    <t>CUST0273</t>
  </si>
  <si>
    <t>Madina Store 273</t>
  </si>
  <si>
    <t>CUST0274</t>
  </si>
  <si>
    <t>Mega Retail 274</t>
  </si>
  <si>
    <t>CUST0275</t>
  </si>
  <si>
    <t>City Store 275</t>
  </si>
  <si>
    <t>CUST0276</t>
  </si>
  <si>
    <t>Value Store 276</t>
  </si>
  <si>
    <t>CUST0277</t>
  </si>
  <si>
    <t>New Pakistan Store 277</t>
  </si>
  <si>
    <t>CUST0278</t>
  </si>
  <si>
    <t>Madina Store 278</t>
  </si>
  <si>
    <t>CUST0279</t>
  </si>
  <si>
    <t>City Store 279</t>
  </si>
  <si>
    <t>CUST0280</t>
  </si>
  <si>
    <t>Al-Rehman Store 280</t>
  </si>
  <si>
    <t>CUST0281</t>
  </si>
  <si>
    <t>Madina Store 281</t>
  </si>
  <si>
    <t>CUST0282</t>
  </si>
  <si>
    <t>New Pakistan Store 282</t>
  </si>
  <si>
    <t>CUST0283</t>
  </si>
  <si>
    <t>Al-Rehman Store 283</t>
  </si>
  <si>
    <t>CUST0284</t>
  </si>
  <si>
    <t>Pak Wholesale 284</t>
  </si>
  <si>
    <t>CUST0285</t>
  </si>
  <si>
    <t>Madina Store 285</t>
  </si>
  <si>
    <t>CUST0286</t>
  </si>
  <si>
    <t>Al-Rehman Store 286</t>
  </si>
  <si>
    <t>CUST0287</t>
  </si>
  <si>
    <t>Mega Retail 287</t>
  </si>
  <si>
    <t>CUST0288</t>
  </si>
  <si>
    <t>Capital Mart 288</t>
  </si>
  <si>
    <t>CUST0289</t>
  </si>
  <si>
    <t>FreshCart 289</t>
  </si>
  <si>
    <t>CUST0290</t>
  </si>
  <si>
    <t>City Store 290</t>
  </si>
  <si>
    <t>CUST0291</t>
  </si>
  <si>
    <t>City Cash &amp; Carry 291</t>
  </si>
  <si>
    <t>CUST0292</t>
  </si>
  <si>
    <t>New Pakistan Store 292</t>
  </si>
  <si>
    <t>CUST0293</t>
  </si>
  <si>
    <t>Capital Mart 293</t>
  </si>
  <si>
    <t>CUST0294</t>
  </si>
  <si>
    <t>Madina Store 294</t>
  </si>
  <si>
    <t>CUST0295</t>
  </si>
  <si>
    <t>DailyBasket 295</t>
  </si>
  <si>
    <t>CUST0296</t>
  </si>
  <si>
    <t>FreshCart 296</t>
  </si>
  <si>
    <t>CUST0297</t>
  </si>
  <si>
    <t>United Wholesale 297</t>
  </si>
  <si>
    <t>CUST0298</t>
  </si>
  <si>
    <t>New Pakistan Store 298</t>
  </si>
  <si>
    <t>CUST0299</t>
  </si>
  <si>
    <t>New Pakistan Store 299</t>
  </si>
  <si>
    <t>CUST0300</t>
  </si>
  <si>
    <t>Mega Retail 300</t>
  </si>
  <si>
    <t>CUST0301</t>
  </si>
  <si>
    <t>Al-Rehman Store 301</t>
  </si>
  <si>
    <t>CUST0302</t>
  </si>
  <si>
    <t>Capital Mart 302</t>
  </si>
  <si>
    <t>CUST0303</t>
  </si>
  <si>
    <t>New Pakistan Store 303</t>
  </si>
  <si>
    <t>CUST0304</t>
  </si>
  <si>
    <t>United Wholesale 304</t>
  </si>
  <si>
    <t>CUST0305</t>
  </si>
  <si>
    <t>City Store 305</t>
  </si>
  <si>
    <t>CUST0306</t>
  </si>
  <si>
    <t>Madina Store 306</t>
  </si>
  <si>
    <t>CUST0307</t>
  </si>
  <si>
    <t>Mega Retail 307</t>
  </si>
  <si>
    <t>CUST0308</t>
  </si>
  <si>
    <t>Al-Rehman Store 308</t>
  </si>
  <si>
    <t>CUST0309</t>
  </si>
  <si>
    <t>Madina Store 309</t>
  </si>
  <si>
    <t>CUST0310</t>
  </si>
  <si>
    <t>New Pakistan Store 310</t>
  </si>
  <si>
    <t>CUST0311</t>
  </si>
  <si>
    <t>Madina Store 311</t>
  </si>
  <si>
    <t>CUST0312</t>
  </si>
  <si>
    <t>Al-Rehman Store 312</t>
  </si>
  <si>
    <t>CUST0313</t>
  </si>
  <si>
    <t>Al-Rehman Store 313</t>
  </si>
  <si>
    <t>CUST0314</t>
  </si>
  <si>
    <t>QuickMart 314</t>
  </si>
  <si>
    <t>CUST0315</t>
  </si>
  <si>
    <t>New Pakistan Store 315</t>
  </si>
  <si>
    <t>CUST0316</t>
  </si>
  <si>
    <t>Al-Rehman Store 316</t>
  </si>
  <si>
    <t>CUST0317</t>
  </si>
  <si>
    <t>Mega Retail 317</t>
  </si>
  <si>
    <t>CUST0318</t>
  </si>
  <si>
    <t>Pak Wholesale 318</t>
  </si>
  <si>
    <t>CUST0319</t>
  </si>
  <si>
    <t>City Store 319</t>
  </si>
  <si>
    <t>CUST0320</t>
  </si>
  <si>
    <t>MetroMart 320</t>
  </si>
  <si>
    <t>CUST0321</t>
  </si>
  <si>
    <t>City Cash &amp; Carry 321</t>
  </si>
  <si>
    <t>CUST0322</t>
  </si>
  <si>
    <t>Khan Wholesale 322</t>
  </si>
  <si>
    <t>CUST0323</t>
  </si>
  <si>
    <t>Al-Rehman Store 323</t>
  </si>
  <si>
    <t>CUST0324</t>
  </si>
  <si>
    <t>Khan Wholesale 324</t>
  </si>
  <si>
    <t>CUST0325</t>
  </si>
  <si>
    <t>Madina Store 325</t>
  </si>
  <si>
    <t>CUST0326</t>
  </si>
  <si>
    <t>QuickMart 326</t>
  </si>
  <si>
    <t>CUST0327</t>
  </si>
  <si>
    <t>Capital Mart 327</t>
  </si>
  <si>
    <t>CUST0328</t>
  </si>
  <si>
    <t>Mega Retail 328</t>
  </si>
  <si>
    <t>CUST0329</t>
  </si>
  <si>
    <t>City Store 329</t>
  </si>
  <si>
    <t>CUST0330</t>
  </si>
  <si>
    <t>Madina Store 330</t>
  </si>
  <si>
    <t>CUST0331</t>
  </si>
  <si>
    <t>Al-Rehman Store 331</t>
  </si>
  <si>
    <t>CUST0332</t>
  </si>
  <si>
    <t>New Pakistan Store 332</t>
  </si>
  <si>
    <t>CUST0333</t>
  </si>
  <si>
    <t>DailyBasket 333</t>
  </si>
  <si>
    <t>CUST0334</t>
  </si>
  <si>
    <t>Al-Rehman Store 334</t>
  </si>
  <si>
    <t>CUST0335</t>
  </si>
  <si>
    <t>Madina Store 335</t>
  </si>
  <si>
    <t>CUST0336</t>
  </si>
  <si>
    <t>Value Store 336</t>
  </si>
  <si>
    <t>CUST0337</t>
  </si>
  <si>
    <t>City Store 337</t>
  </si>
  <si>
    <t>CUST0338</t>
  </si>
  <si>
    <t>City Store 338</t>
  </si>
  <si>
    <t>CUST0339</t>
  </si>
  <si>
    <t>City Store 339</t>
  </si>
  <si>
    <t>CUST0340</t>
  </si>
  <si>
    <t>Madina Store 340</t>
  </si>
  <si>
    <t>CUST0341</t>
  </si>
  <si>
    <t>FreshCart 341</t>
  </si>
  <si>
    <t>CUST0342</t>
  </si>
  <si>
    <t>Capital Mart 342</t>
  </si>
  <si>
    <t>CUST0343</t>
  </si>
  <si>
    <t>New Pakistan Store 343</t>
  </si>
  <si>
    <t>CUST0344</t>
  </si>
  <si>
    <t>Madina Store 344</t>
  </si>
  <si>
    <t>CUST0345</t>
  </si>
  <si>
    <t>Al-Rehman Store 345</t>
  </si>
  <si>
    <t>CUST0346</t>
  </si>
  <si>
    <t>City Store 346</t>
  </si>
  <si>
    <t>CUST0347</t>
  </si>
  <si>
    <t>Khan Wholesale 347</t>
  </si>
  <si>
    <t>CUST0348</t>
  </si>
  <si>
    <t>MetroMart 348</t>
  </si>
  <si>
    <t>CUST0349</t>
  </si>
  <si>
    <t>Al-Rehman Store 349</t>
  </si>
  <si>
    <t>CUST0350</t>
  </si>
  <si>
    <t>New Pakistan Store 350</t>
  </si>
  <si>
    <t>CUST0351</t>
  </si>
  <si>
    <t>Madina Store 351</t>
  </si>
  <si>
    <t>CUST0352</t>
  </si>
  <si>
    <t>Mega Retail 352</t>
  </si>
  <si>
    <t>CUST0353</t>
  </si>
  <si>
    <t>MetroMart 353</t>
  </si>
  <si>
    <t>CUST0354</t>
  </si>
  <si>
    <t>MetroMart 354</t>
  </si>
  <si>
    <t>CUST0355</t>
  </si>
  <si>
    <t>United Wholesale 355</t>
  </si>
  <si>
    <t>CUST0356</t>
  </si>
  <si>
    <t>FreshCart 356</t>
  </si>
  <si>
    <t>CUST0357</t>
  </si>
  <si>
    <t>Madina Store 357</t>
  </si>
  <si>
    <t>CUST0358</t>
  </si>
  <si>
    <t>Madina Store 358</t>
  </si>
  <si>
    <t>CUST0359</t>
  </si>
  <si>
    <t>New Pakistan Store 359</t>
  </si>
  <si>
    <t>CUST0360</t>
  </si>
  <si>
    <t>Pak Wholesale 360</t>
  </si>
  <si>
    <t>CUST0361</t>
  </si>
  <si>
    <t>DailyBasket 361</t>
  </si>
  <si>
    <t>CUST0362</t>
  </si>
  <si>
    <t>Pak Wholesale 362</t>
  </si>
  <si>
    <t>CUST0363</t>
  </si>
  <si>
    <t>Madina Store 363</t>
  </si>
  <si>
    <t>CUST0364</t>
  </si>
  <si>
    <t>New Pakistan Store 364</t>
  </si>
  <si>
    <t>CUST0365</t>
  </si>
  <si>
    <t>New Pakistan Store 365</t>
  </si>
  <si>
    <t>CUST0366</t>
  </si>
  <si>
    <t>City Store 366</t>
  </si>
  <si>
    <t>CUST0367</t>
  </si>
  <si>
    <t>Madina Store 367</t>
  </si>
  <si>
    <t>CUST0368</t>
  </si>
  <si>
    <t>Value Store 368</t>
  </si>
  <si>
    <t>CUST0369</t>
  </si>
  <si>
    <t>Al-Rehman Store 369</t>
  </si>
  <si>
    <t>CUST0370</t>
  </si>
  <si>
    <t>City Store 370</t>
  </si>
  <si>
    <t>CUST0371</t>
  </si>
  <si>
    <t>City Store 371</t>
  </si>
  <si>
    <t>CUST0372</t>
  </si>
  <si>
    <t>FreshCart 372</t>
  </si>
  <si>
    <t>CUST0373</t>
  </si>
  <si>
    <t>City Cash &amp; Carry 373</t>
  </si>
  <si>
    <t>CUST0374</t>
  </si>
  <si>
    <t>City Store 374</t>
  </si>
  <si>
    <t>CUST0375</t>
  </si>
  <si>
    <t>Al-Rehman Store 375</t>
  </si>
  <si>
    <t>CUST0376</t>
  </si>
  <si>
    <t>Madina Store 376</t>
  </si>
  <si>
    <t>CUST0377</t>
  </si>
  <si>
    <t>Al-Rehman Store 377</t>
  </si>
  <si>
    <t>CUST0378</t>
  </si>
  <si>
    <t>Al-Rehman Store 378</t>
  </si>
  <si>
    <t>CUST0379</t>
  </si>
  <si>
    <t>DailyBasket 379</t>
  </si>
  <si>
    <t>CUST0380</t>
  </si>
  <si>
    <t>FreshCart 380</t>
  </si>
  <si>
    <t>CUST0381</t>
  </si>
  <si>
    <t>United Wholesale 381</t>
  </si>
  <si>
    <t>CUST0382</t>
  </si>
  <si>
    <t>Madina Store 382</t>
  </si>
  <si>
    <t>CUST0383</t>
  </si>
  <si>
    <t>Mega Retail 383</t>
  </si>
  <si>
    <t>CUST0384</t>
  </si>
  <si>
    <t>United Wholesale 384</t>
  </si>
  <si>
    <t>CUST0385</t>
  </si>
  <si>
    <t>Al-Rehman Store 385</t>
  </si>
  <si>
    <t>CUST0386</t>
  </si>
  <si>
    <t>New Pakistan Store 386</t>
  </si>
  <si>
    <t>CUST0387</t>
  </si>
  <si>
    <t>FreshCart 387</t>
  </si>
  <si>
    <t>CUST0388</t>
  </si>
  <si>
    <t>Madina Store 388</t>
  </si>
  <si>
    <t>CUST0389</t>
  </si>
  <si>
    <t>City Store 389</t>
  </si>
  <si>
    <t>CUST0390</t>
  </si>
  <si>
    <t>Al-Rehman Store 390</t>
  </si>
  <si>
    <t>CUST0391</t>
  </si>
  <si>
    <t>Al-Rehman Store 391</t>
  </si>
  <si>
    <t>CUST0392</t>
  </si>
  <si>
    <t>QuickMart 392</t>
  </si>
  <si>
    <t>CUST0393</t>
  </si>
  <si>
    <t>City Cash &amp; Carry 393</t>
  </si>
  <si>
    <t>CUST0394</t>
  </si>
  <si>
    <t>Madina Store 394</t>
  </si>
  <si>
    <t>CUST0395</t>
  </si>
  <si>
    <t>City Store 395</t>
  </si>
  <si>
    <t>CUST0396</t>
  </si>
  <si>
    <t>Pak Wholesale 396</t>
  </si>
  <si>
    <t>CUST0397</t>
  </si>
  <si>
    <t>Value Store 397</t>
  </si>
  <si>
    <t>CUST0398</t>
  </si>
  <si>
    <t>New Pakistan Store 398</t>
  </si>
  <si>
    <t>CUST0399</t>
  </si>
  <si>
    <t>City Store 399</t>
  </si>
  <si>
    <t>CUST0400</t>
  </si>
  <si>
    <t>Al-Rehman Store 400</t>
  </si>
  <si>
    <t>CUST0401</t>
  </si>
  <si>
    <t>New Pakistan Store 401</t>
  </si>
  <si>
    <t>CUST0402</t>
  </si>
  <si>
    <t>Al-Rehman Store 402</t>
  </si>
  <si>
    <t>CUST0403</t>
  </si>
  <si>
    <t>Madina Store 403</t>
  </si>
  <si>
    <t>CUST0404</t>
  </si>
  <si>
    <t>Madina Store 404</t>
  </si>
  <si>
    <t>CUST0405</t>
  </si>
  <si>
    <t>FreshCart 405</t>
  </si>
  <si>
    <t>CUST0406</t>
  </si>
  <si>
    <t>Madina Store 406</t>
  </si>
  <si>
    <t>CUST0407</t>
  </si>
  <si>
    <t>Madina Store 407</t>
  </si>
  <si>
    <t>CUST0408</t>
  </si>
  <si>
    <t>Value Store 408</t>
  </si>
  <si>
    <t>CUST0409</t>
  </si>
  <si>
    <t>Madina Store 409</t>
  </si>
  <si>
    <t>CUST0410</t>
  </si>
  <si>
    <t>FreshCart 410</t>
  </si>
  <si>
    <t>CUST0411</t>
  </si>
  <si>
    <t>MetroMart 411</t>
  </si>
  <si>
    <t>CUST0412</t>
  </si>
  <si>
    <t>Madina Store 412</t>
  </si>
  <si>
    <t>CUST0413</t>
  </si>
  <si>
    <t>City Store 413</t>
  </si>
  <si>
    <t>CUST0414</t>
  </si>
  <si>
    <t>Capital Mart 414</t>
  </si>
  <si>
    <t>CUST0415</t>
  </si>
  <si>
    <t>Madina Store 415</t>
  </si>
  <si>
    <t>CUST0416</t>
  </si>
  <si>
    <t>Pak Wholesale 416</t>
  </si>
  <si>
    <t>CUST0417</t>
  </si>
  <si>
    <t>Madina Store 417</t>
  </si>
  <si>
    <t>CUST0418</t>
  </si>
  <si>
    <t>New Pakistan Store 418</t>
  </si>
  <si>
    <t>CUST0419</t>
  </si>
  <si>
    <t>Mega Retail 419</t>
  </si>
  <si>
    <t>CUST0420</t>
  </si>
  <si>
    <t>Madina Store 420</t>
  </si>
  <si>
    <t>CUST0421</t>
  </si>
  <si>
    <t>United Wholesale 421</t>
  </si>
  <si>
    <t>CUST0422</t>
  </si>
  <si>
    <t>New Pakistan Store 422</t>
  </si>
  <si>
    <t>CUST0423</t>
  </si>
  <si>
    <t>Madina Store 423</t>
  </si>
  <si>
    <t>CUST0424</t>
  </si>
  <si>
    <t>City Store 424</t>
  </si>
  <si>
    <t>CUST0425</t>
  </si>
  <si>
    <t>City Cash &amp; Carry 425</t>
  </si>
  <si>
    <t>CUST0426</t>
  </si>
  <si>
    <t>Al-Rehman Store 426</t>
  </si>
  <si>
    <t>CUST0427</t>
  </si>
  <si>
    <t>DailyBasket 427</t>
  </si>
  <si>
    <t>CUST0428</t>
  </si>
  <si>
    <t>Madina Store 428</t>
  </si>
  <si>
    <t>CUST0429</t>
  </si>
  <si>
    <t>Capital Mart 429</t>
  </si>
  <si>
    <t>CUST0430</t>
  </si>
  <si>
    <t>Mega Retail 430</t>
  </si>
  <si>
    <t>CUST0431</t>
  </si>
  <si>
    <t>Al-Rehman Store 431</t>
  </si>
  <si>
    <t>CUST0432</t>
  </si>
  <si>
    <t>United Wholesale 432</t>
  </si>
  <si>
    <t>CUST0433</t>
  </si>
  <si>
    <t>Khan Wholesale 433</t>
  </si>
  <si>
    <t>CUST0434</t>
  </si>
  <si>
    <t>Madina Store 434</t>
  </si>
  <si>
    <t>CUST0435</t>
  </si>
  <si>
    <t>Al-Rehman Store 435</t>
  </si>
  <si>
    <t>CUST0436</t>
  </si>
  <si>
    <t>Pak Wholesale 436</t>
  </si>
  <si>
    <t>CUST0437</t>
  </si>
  <si>
    <t>Mega Retail 437</t>
  </si>
  <si>
    <t>CUST0438</t>
  </si>
  <si>
    <t>MetroMart 438</t>
  </si>
  <si>
    <t>CUST0439</t>
  </si>
  <si>
    <t>City Store 439</t>
  </si>
  <si>
    <t>CUST0440</t>
  </si>
  <si>
    <t>City Store 440</t>
  </si>
  <si>
    <t>CUST0441</t>
  </si>
  <si>
    <t>Khan Wholesale 441</t>
  </si>
  <si>
    <t>CUST0442</t>
  </si>
  <si>
    <t>City Store 442</t>
  </si>
  <si>
    <t>CUST0443</t>
  </si>
  <si>
    <t>United Wholesale 443</t>
  </si>
  <si>
    <t>CUST0444</t>
  </si>
  <si>
    <t>United Wholesale 444</t>
  </si>
  <si>
    <t>CUST0445</t>
  </si>
  <si>
    <t>Al-Rehman Store 445</t>
  </si>
  <si>
    <t>CUST0446</t>
  </si>
  <si>
    <t>Pak Wholesale 446</t>
  </si>
  <si>
    <t>CUST0447</t>
  </si>
  <si>
    <t>City Store 447</t>
  </si>
  <si>
    <t>CUST0448</t>
  </si>
  <si>
    <t>Value Store 448</t>
  </si>
  <si>
    <t>CUST0449</t>
  </si>
  <si>
    <t>City Store 449</t>
  </si>
  <si>
    <t>CUST0450</t>
  </si>
  <si>
    <t>QuickMart 450</t>
  </si>
  <si>
    <t>CUST0451</t>
  </si>
  <si>
    <t>Al-Rehman Store 451</t>
  </si>
  <si>
    <t>CUST0452</t>
  </si>
  <si>
    <t>Madina Store 452</t>
  </si>
  <si>
    <t>CUST0453</t>
  </si>
  <si>
    <t>MetroMart 453</t>
  </si>
  <si>
    <t>CUST0454</t>
  </si>
  <si>
    <t>City Store 454</t>
  </si>
  <si>
    <t>CUST0455</t>
  </si>
  <si>
    <t>OnlineGrocer 455</t>
  </si>
  <si>
    <t>CUST0456</t>
  </si>
  <si>
    <t>City Store 456</t>
  </si>
  <si>
    <t>CUST0457</t>
  </si>
  <si>
    <t>OnlineGrocer 457</t>
  </si>
  <si>
    <t>CUST0458</t>
  </si>
  <si>
    <t>Khan Wholesale 458</t>
  </si>
  <si>
    <t>CUST0459</t>
  </si>
  <si>
    <t>City Cash &amp; Carry 459</t>
  </si>
  <si>
    <t>CUST0460</t>
  </si>
  <si>
    <t>MetroMart 460</t>
  </si>
  <si>
    <t>CUST0461</t>
  </si>
  <si>
    <t>United Wholesale 461</t>
  </si>
  <si>
    <t>CUST0462</t>
  </si>
  <si>
    <t>OnlineGrocer 462</t>
  </si>
  <si>
    <t>CUST0463</t>
  </si>
  <si>
    <t>City Store 463</t>
  </si>
  <si>
    <t>CUST0464</t>
  </si>
  <si>
    <t>New Pakistan Store 464</t>
  </si>
  <si>
    <t>CUST0465</t>
  </si>
  <si>
    <t>City Store 465</t>
  </si>
  <si>
    <t>CUST0466</t>
  </si>
  <si>
    <t>Al-Rehman Store 466</t>
  </si>
  <si>
    <t>CUST0467</t>
  </si>
  <si>
    <t>Al-Rehman Store 467</t>
  </si>
  <si>
    <t>CUST0468</t>
  </si>
  <si>
    <t>MetroMart 468</t>
  </si>
  <si>
    <t>CUST0469</t>
  </si>
  <si>
    <t>New Pakistan Store 469</t>
  </si>
  <si>
    <t>CUST0470</t>
  </si>
  <si>
    <t>Al-Rehman Store 470</t>
  </si>
  <si>
    <t>CUST0471</t>
  </si>
  <si>
    <t>Madina Store 471</t>
  </si>
  <si>
    <t>CUST0472</t>
  </si>
  <si>
    <t>Al-Rehman Store 472</t>
  </si>
  <si>
    <t>CUST0473</t>
  </si>
  <si>
    <t>Madina Store 473</t>
  </si>
  <si>
    <t>CUST0474</t>
  </si>
  <si>
    <t>QuickMart 474</t>
  </si>
  <si>
    <t>CUST0475</t>
  </si>
  <si>
    <t>Pak Wholesale 475</t>
  </si>
  <si>
    <t>CUST0476</t>
  </si>
  <si>
    <t>City Store 476</t>
  </si>
  <si>
    <t>CUST0477</t>
  </si>
  <si>
    <t>Khan Wholesale 477</t>
  </si>
  <si>
    <t>CUST0478</t>
  </si>
  <si>
    <t>New Pakistan Store 478</t>
  </si>
  <si>
    <t>CUST0479</t>
  </si>
  <si>
    <t>Mega Retail 479</t>
  </si>
  <si>
    <t>CUST0480</t>
  </si>
  <si>
    <t>City Store 480</t>
  </si>
  <si>
    <t>CUST0481</t>
  </si>
  <si>
    <t>Madina Store 481</t>
  </si>
  <si>
    <t>CUST0482</t>
  </si>
  <si>
    <t>Al-Rehman Store 482</t>
  </si>
  <si>
    <t>CUST0483</t>
  </si>
  <si>
    <t>Value Store 483</t>
  </si>
  <si>
    <t>CUST0484</t>
  </si>
  <si>
    <t>OnlineGrocer 484</t>
  </si>
  <si>
    <t>CUST0485</t>
  </si>
  <si>
    <t>New Pakistan Store 485</t>
  </si>
  <si>
    <t>CUST0486</t>
  </si>
  <si>
    <t>United Wholesale 486</t>
  </si>
  <si>
    <t>CUST0487</t>
  </si>
  <si>
    <t>Mega Retail 487</t>
  </si>
  <si>
    <t>CUST0488</t>
  </si>
  <si>
    <t>New Pakistan Store 488</t>
  </si>
  <si>
    <t>CUST0489</t>
  </si>
  <si>
    <t>Al-Rehman Store 489</t>
  </si>
  <si>
    <t>CUST0490</t>
  </si>
  <si>
    <t>Madina Store 490</t>
  </si>
  <si>
    <t>CUST0491</t>
  </si>
  <si>
    <t>Al-Rehman Store 491</t>
  </si>
  <si>
    <t>CUST0492</t>
  </si>
  <si>
    <t>OnlineGrocer 492</t>
  </si>
  <si>
    <t>CUST0493</t>
  </si>
  <si>
    <t>Madina Store 493</t>
  </si>
  <si>
    <t>CUST0494</t>
  </si>
  <si>
    <t>Al-Rehman Store 494</t>
  </si>
  <si>
    <t>CUST0495</t>
  </si>
  <si>
    <t>Al-Rehman Store 495</t>
  </si>
  <si>
    <t>CUST0496</t>
  </si>
  <si>
    <t>Al-Rehman Store 496</t>
  </si>
  <si>
    <t>CUST0497</t>
  </si>
  <si>
    <t>MetroMart 497</t>
  </si>
  <si>
    <t>CUST0498</t>
  </si>
  <si>
    <t>City Store 498</t>
  </si>
  <si>
    <t>CUST0499</t>
  </si>
  <si>
    <t>Khan Wholesale 499</t>
  </si>
  <si>
    <t>CUST0500</t>
  </si>
  <si>
    <t>City Store 500</t>
  </si>
  <si>
    <t>CUST0501</t>
  </si>
  <si>
    <t>Khan Wholesale 501</t>
  </si>
  <si>
    <t>CUST0502</t>
  </si>
  <si>
    <t>Al-Rehman Store 502</t>
  </si>
  <si>
    <t>CUST0503</t>
  </si>
  <si>
    <t>Al-Rehman Store 503</t>
  </si>
  <si>
    <t>CUST0504</t>
  </si>
  <si>
    <t>New Pakistan Store 504</t>
  </si>
  <si>
    <t>CUST0505</t>
  </si>
  <si>
    <t>City Store 505</t>
  </si>
  <si>
    <t>CUST0506</t>
  </si>
  <si>
    <t>City Store 506</t>
  </si>
  <si>
    <t>CUST0507</t>
  </si>
  <si>
    <t>Capital Mart 507</t>
  </si>
  <si>
    <t>CUST0508</t>
  </si>
  <si>
    <t>New Pakistan Store 508</t>
  </si>
  <si>
    <t>CUST0509</t>
  </si>
  <si>
    <t>United Wholesale 509</t>
  </si>
  <si>
    <t>CUST0510</t>
  </si>
  <si>
    <t>Al-Rehman Store 510</t>
  </si>
  <si>
    <t>CUST0511</t>
  </si>
  <si>
    <t>Al-Rehman Store 511</t>
  </si>
  <si>
    <t>CUST0512</t>
  </si>
  <si>
    <t>FreshCart 512</t>
  </si>
  <si>
    <t>CUST0513</t>
  </si>
  <si>
    <t>OnlineGrocer 513</t>
  </si>
  <si>
    <t>CUST0514</t>
  </si>
  <si>
    <t>City Cash &amp; Carry 514</t>
  </si>
  <si>
    <t>CUST0515</t>
  </si>
  <si>
    <t>City Store 515</t>
  </si>
  <si>
    <t>CUST0516</t>
  </si>
  <si>
    <t>Al-Rehman Store 516</t>
  </si>
  <si>
    <t>CUST0517</t>
  </si>
  <si>
    <t>Madina Store 517</t>
  </si>
  <si>
    <t>CUST0518</t>
  </si>
  <si>
    <t>City Store 518</t>
  </si>
  <si>
    <t>CUST0519</t>
  </si>
  <si>
    <t>Mega Retail 519</t>
  </si>
  <si>
    <t>CUST0520</t>
  </si>
  <si>
    <t>QuickMart 520</t>
  </si>
  <si>
    <t>CUST0521</t>
  </si>
  <si>
    <t>Al-Rehman Store 521</t>
  </si>
  <si>
    <t>CUST0522</t>
  </si>
  <si>
    <t>Capital Mart 522</t>
  </si>
  <si>
    <t>CUST0523</t>
  </si>
  <si>
    <t>Capital Mart 523</t>
  </si>
  <si>
    <t>CUST0524</t>
  </si>
  <si>
    <t>Al-Rehman Store 524</t>
  </si>
  <si>
    <t>CUST0525</t>
  </si>
  <si>
    <t>City Store 525</t>
  </si>
  <si>
    <t>CUST0526</t>
  </si>
  <si>
    <t>DailyBasket 526</t>
  </si>
  <si>
    <t>CUST0527</t>
  </si>
  <si>
    <t>Madina Store 527</t>
  </si>
  <si>
    <t>CUST0528</t>
  </si>
  <si>
    <t>United Wholesale 528</t>
  </si>
  <si>
    <t>CUST0529</t>
  </si>
  <si>
    <t>OnlineGrocer 529</t>
  </si>
  <si>
    <t>CUST0530</t>
  </si>
  <si>
    <t>City Store 530</t>
  </si>
  <si>
    <t>CUST0531</t>
  </si>
  <si>
    <t>Madina Store 531</t>
  </si>
  <si>
    <t>CUST0532</t>
  </si>
  <si>
    <t>Al-Rehman Store 532</t>
  </si>
  <si>
    <t>CUST0533</t>
  </si>
  <si>
    <t>New Pakistan Store 533</t>
  </si>
  <si>
    <t>CUST0534</t>
  </si>
  <si>
    <t>Capital Mart 534</t>
  </si>
  <si>
    <t>CUST0535</t>
  </si>
  <si>
    <t>Madina Store 535</t>
  </si>
  <si>
    <t>CUST0536</t>
  </si>
  <si>
    <t>Al-Rehman Store 536</t>
  </si>
  <si>
    <t>CUST0537</t>
  </si>
  <si>
    <t>Al-Rehman Store 537</t>
  </si>
  <si>
    <t>CUST0538</t>
  </si>
  <si>
    <t>MetroMart 538</t>
  </si>
  <si>
    <t>CUST0539</t>
  </si>
  <si>
    <t>United Wholesale 539</t>
  </si>
  <si>
    <t>CUST0540</t>
  </si>
  <si>
    <t>DailyBasket 540</t>
  </si>
  <si>
    <t>CUST0541</t>
  </si>
  <si>
    <t>Madina Store 541</t>
  </si>
  <si>
    <t>CUST0542</t>
  </si>
  <si>
    <t>United Wholesale 542</t>
  </si>
  <si>
    <t>CUST0543</t>
  </si>
  <si>
    <t>MetroMart 543</t>
  </si>
  <si>
    <t>CUST0544</t>
  </si>
  <si>
    <t>FreshCart 544</t>
  </si>
  <si>
    <t>CUST0545</t>
  </si>
  <si>
    <t>Al-Rehman Store 545</t>
  </si>
  <si>
    <t>CUST0546</t>
  </si>
  <si>
    <t>Pak Wholesale 546</t>
  </si>
  <si>
    <t>CUST0547</t>
  </si>
  <si>
    <t>FreshCart 547</t>
  </si>
  <si>
    <t>CUST0548</t>
  </si>
  <si>
    <t>Al-Rehman Store 548</t>
  </si>
  <si>
    <t>CUST0549</t>
  </si>
  <si>
    <t>MetroMart 549</t>
  </si>
  <si>
    <t>CUST0550</t>
  </si>
  <si>
    <t>Al-Rehman Store 550</t>
  </si>
  <si>
    <t>CUST0551</t>
  </si>
  <si>
    <t>City Cash &amp; Carry 551</t>
  </si>
  <si>
    <t>CUST0552</t>
  </si>
  <si>
    <t>MetroMart 552</t>
  </si>
  <si>
    <t>CUST0553</t>
  </si>
  <si>
    <t>Madina Store 553</t>
  </si>
  <si>
    <t>CUST0554</t>
  </si>
  <si>
    <t>New Pakistan Store 554</t>
  </si>
  <si>
    <t>CUST0555</t>
  </si>
  <si>
    <t>New Pakistan Store 555</t>
  </si>
  <si>
    <t>CUST0556</t>
  </si>
  <si>
    <t>Madina Store 556</t>
  </si>
  <si>
    <t>CUST0557</t>
  </si>
  <si>
    <t>Al-Rehman Store 557</t>
  </si>
  <si>
    <t>CUST0558</t>
  </si>
  <si>
    <t>City Cash &amp; Carry 558</t>
  </si>
  <si>
    <t>CUST0559</t>
  </si>
  <si>
    <t>QuickMart 559</t>
  </si>
  <si>
    <t>CUST0560</t>
  </si>
  <si>
    <t>Al-Rehman Store 560</t>
  </si>
  <si>
    <t>CUST0561</t>
  </si>
  <si>
    <t>United Wholesale 561</t>
  </si>
  <si>
    <t>CUST0562</t>
  </si>
  <si>
    <t>Al-Rehman Store 562</t>
  </si>
  <si>
    <t>CUST0563</t>
  </si>
  <si>
    <t>Value Store 563</t>
  </si>
  <si>
    <t>CUST0564</t>
  </si>
  <si>
    <t>New Pakistan Store 564</t>
  </si>
  <si>
    <t>CUST0565</t>
  </si>
  <si>
    <t>OnlineGrocer 565</t>
  </si>
  <si>
    <t>CUST0566</t>
  </si>
  <si>
    <t>Madina Store 566</t>
  </si>
  <si>
    <t>CUST0567</t>
  </si>
  <si>
    <t>Mega Retail 567</t>
  </si>
  <si>
    <t>CUST0568</t>
  </si>
  <si>
    <t>Khan Wholesale 568</t>
  </si>
  <si>
    <t>CUST0569</t>
  </si>
  <si>
    <t>New Pakistan Store 569</t>
  </si>
  <si>
    <t>CUST0570</t>
  </si>
  <si>
    <t>New Pakistan Store 570</t>
  </si>
  <si>
    <t>CUST0571</t>
  </si>
  <si>
    <t>Value Store 571</t>
  </si>
  <si>
    <t>CUST0572</t>
  </si>
  <si>
    <t>New Pakistan Store 572</t>
  </si>
  <si>
    <t>CUST0573</t>
  </si>
  <si>
    <t>City Cash &amp; Carry 573</t>
  </si>
  <si>
    <t>CUST0574</t>
  </si>
  <si>
    <t>Value Store 574</t>
  </si>
  <si>
    <t>CUST0575</t>
  </si>
  <si>
    <t>Al-Rehman Store 575</t>
  </si>
  <si>
    <t>CUST0576</t>
  </si>
  <si>
    <t>Madina Store 576</t>
  </si>
  <si>
    <t>CUST0577</t>
  </si>
  <si>
    <t>City Store 577</t>
  </si>
  <si>
    <t>CUST0578</t>
  </si>
  <si>
    <t>MetroMart 578</t>
  </si>
  <si>
    <t>CUST0579</t>
  </si>
  <si>
    <t>New Pakistan Store 579</t>
  </si>
  <si>
    <t>CUST0580</t>
  </si>
  <si>
    <t>City Store 580</t>
  </si>
  <si>
    <t>CUST0581</t>
  </si>
  <si>
    <t>New Pakistan Store 581</t>
  </si>
  <si>
    <t>CUST0582</t>
  </si>
  <si>
    <t>New Pakistan Store 582</t>
  </si>
  <si>
    <t>CUST0583</t>
  </si>
  <si>
    <t>MetroMart 583</t>
  </si>
  <si>
    <t>CUST0584</t>
  </si>
  <si>
    <t>Pak Wholesale 584</t>
  </si>
  <si>
    <t>CUST0585</t>
  </si>
  <si>
    <t>Mega Retail 585</t>
  </si>
  <si>
    <t>CUST0586</t>
  </si>
  <si>
    <t>New Pakistan Store 586</t>
  </si>
  <si>
    <t>CUST0587</t>
  </si>
  <si>
    <t>Madina Store 587</t>
  </si>
  <si>
    <t>CUST0588</t>
  </si>
  <si>
    <t>Value Store 588</t>
  </si>
  <si>
    <t>CUST0589</t>
  </si>
  <si>
    <t>MetroMart 589</t>
  </si>
  <si>
    <t>CUST0590</t>
  </si>
  <si>
    <t>Madina Store 590</t>
  </si>
  <si>
    <t>CUST0591</t>
  </si>
  <si>
    <t>Madina Store 591</t>
  </si>
  <si>
    <t>CUST0592</t>
  </si>
  <si>
    <t>Mega Retail 592</t>
  </si>
  <si>
    <t>CUST0593</t>
  </si>
  <si>
    <t>Al-Rehman Store 593</t>
  </si>
  <si>
    <t>CUST0594</t>
  </si>
  <si>
    <t>New Pakistan Store 594</t>
  </si>
  <si>
    <t>CUST0595</t>
  </si>
  <si>
    <t>OnlineGrocer 595</t>
  </si>
  <si>
    <t>CUST0596</t>
  </si>
  <si>
    <t>Al-Rehman Store 596</t>
  </si>
  <si>
    <t>CUST0597</t>
  </si>
  <si>
    <t>Al-Rehman Store 597</t>
  </si>
  <si>
    <t>CUST0598</t>
  </si>
  <si>
    <t>MetroMart 598</t>
  </si>
  <si>
    <t>CUST0599</t>
  </si>
  <si>
    <t>FreshCart 599</t>
  </si>
  <si>
    <t>CUST0600</t>
  </si>
  <si>
    <t>DailyBasket 600</t>
  </si>
  <si>
    <t>CUST0601</t>
  </si>
  <si>
    <t>Capital Mart 601</t>
  </si>
  <si>
    <t>CUST0602</t>
  </si>
  <si>
    <t>City Store 602</t>
  </si>
  <si>
    <t>CUST0603</t>
  </si>
  <si>
    <t>Pak Wholesale 603</t>
  </si>
  <si>
    <t>CUST0604</t>
  </si>
  <si>
    <t>Capital Mart 604</t>
  </si>
  <si>
    <t>CUST0605</t>
  </si>
  <si>
    <t>City Store 605</t>
  </si>
  <si>
    <t>CUST0606</t>
  </si>
  <si>
    <t>New Pakistan Store 606</t>
  </si>
  <si>
    <t>CUST0607</t>
  </si>
  <si>
    <t>United Wholesale 607</t>
  </si>
  <si>
    <t>CUST0608</t>
  </si>
  <si>
    <t>Madina Store 608</t>
  </si>
  <si>
    <t>CUST0609</t>
  </si>
  <si>
    <t>New Pakistan Store 609</t>
  </si>
  <si>
    <t>CUST0610</t>
  </si>
  <si>
    <t>Al-Rehman Store 610</t>
  </si>
  <si>
    <t>CUST0611</t>
  </si>
  <si>
    <t>Capital Mart 611</t>
  </si>
  <si>
    <t>CUST0612</t>
  </si>
  <si>
    <t>City Cash &amp; Carry 612</t>
  </si>
  <si>
    <t>CUST0613</t>
  </si>
  <si>
    <t>New Pakistan Store 613</t>
  </si>
  <si>
    <t>CUST0614</t>
  </si>
  <si>
    <t>Al-Rehman Store 614</t>
  </si>
  <si>
    <t>CUST0615</t>
  </si>
  <si>
    <t>United Wholesale 615</t>
  </si>
  <si>
    <t>CUST0616</t>
  </si>
  <si>
    <t>United Wholesale 616</t>
  </si>
  <si>
    <t>CUST0617</t>
  </si>
  <si>
    <t>Madina Store 617</t>
  </si>
  <si>
    <t>CUST0618</t>
  </si>
  <si>
    <t>Al-Rehman Store 618</t>
  </si>
  <si>
    <t>CUST0619</t>
  </si>
  <si>
    <t>OnlineGrocer 619</t>
  </si>
  <si>
    <t>CUST0620</t>
  </si>
  <si>
    <t>Value Store 620</t>
  </si>
  <si>
    <t>CUST0621</t>
  </si>
  <si>
    <t>United Wholesale 621</t>
  </si>
  <si>
    <t>CUST0622</t>
  </si>
  <si>
    <t>Pak Wholesale 622</t>
  </si>
  <si>
    <t>CUST0623</t>
  </si>
  <si>
    <t>Khan Wholesale 623</t>
  </si>
  <si>
    <t>CUST0624</t>
  </si>
  <si>
    <t>New Pakistan Store 624</t>
  </si>
  <si>
    <t>CUST0625</t>
  </si>
  <si>
    <t>City Cash &amp; Carry 625</t>
  </si>
  <si>
    <t>CUST0626</t>
  </si>
  <si>
    <t>Al-Rehman Store 626</t>
  </si>
  <si>
    <t>CUST0627</t>
  </si>
  <si>
    <t>New Pakistan Store 627</t>
  </si>
  <si>
    <t>CUST0628</t>
  </si>
  <si>
    <t>Madina Store 628</t>
  </si>
  <si>
    <t>CUST0629</t>
  </si>
  <si>
    <t>City Cash &amp; Carry 629</t>
  </si>
  <si>
    <t>CUST0630</t>
  </si>
  <si>
    <t>Pak Wholesale 630</t>
  </si>
  <si>
    <t>CUST0631</t>
  </si>
  <si>
    <t>Khan Wholesale 631</t>
  </si>
  <si>
    <t>CUST0632</t>
  </si>
  <si>
    <t>Value Store 632</t>
  </si>
  <si>
    <t>CUST0633</t>
  </si>
  <si>
    <t>Al-Rehman Store 633</t>
  </si>
  <si>
    <t>CUST0634</t>
  </si>
  <si>
    <t>Madina Store 634</t>
  </si>
  <si>
    <t>CUST0635</t>
  </si>
  <si>
    <t>New Pakistan Store 635</t>
  </si>
  <si>
    <t>CUST0636</t>
  </si>
  <si>
    <t>New Pakistan Store 636</t>
  </si>
  <si>
    <t>CUST0637</t>
  </si>
  <si>
    <t>Al-Rehman Store 637</t>
  </si>
  <si>
    <t>CUST0638</t>
  </si>
  <si>
    <t>City Cash &amp; Carry 638</t>
  </si>
  <si>
    <t>CUST0639</t>
  </si>
  <si>
    <t>Value Store 639</t>
  </si>
  <si>
    <t>CUST0640</t>
  </si>
  <si>
    <t>City Store 640</t>
  </si>
  <si>
    <t>CUST0641</t>
  </si>
  <si>
    <t>FreshCart 641</t>
  </si>
  <si>
    <t>CUST0642</t>
  </si>
  <si>
    <t>DailyBasket 642</t>
  </si>
  <si>
    <t>CUST0643</t>
  </si>
  <si>
    <t>Khan Wholesale 643</t>
  </si>
  <si>
    <t>CUST0644</t>
  </si>
  <si>
    <t>MetroMart 644</t>
  </si>
  <si>
    <t>CUST0645</t>
  </si>
  <si>
    <t>Al-Rehman Store 645</t>
  </si>
  <si>
    <t>CUST0646</t>
  </si>
  <si>
    <t>MetroMart 646</t>
  </si>
  <si>
    <t>CUST0647</t>
  </si>
  <si>
    <t>Capital Mart 647</t>
  </si>
  <si>
    <t>CUST0648</t>
  </si>
  <si>
    <t>Madina Store 648</t>
  </si>
  <si>
    <t>CUST0649</t>
  </si>
  <si>
    <t>Khan Wholesale 649</t>
  </si>
  <si>
    <t>CUST0650</t>
  </si>
  <si>
    <t>Khan Wholesale 650</t>
  </si>
  <si>
    <t>CUST0651</t>
  </si>
  <si>
    <t>Madina Store 651</t>
  </si>
  <si>
    <t>CUST0652</t>
  </si>
  <si>
    <t>Al-Rehman Store 652</t>
  </si>
  <si>
    <t>CUST0653</t>
  </si>
  <si>
    <t>New Pakistan Store 653</t>
  </si>
  <si>
    <t>CUST0654</t>
  </si>
  <si>
    <t>FreshCart 654</t>
  </si>
  <si>
    <t>CUST0655</t>
  </si>
  <si>
    <t>Pak Wholesale 655</t>
  </si>
  <si>
    <t>CUST0656</t>
  </si>
  <si>
    <t>FreshCart 656</t>
  </si>
  <si>
    <t>CUST0657</t>
  </si>
  <si>
    <t>Capital Mart 657</t>
  </si>
  <si>
    <t>CUST0658</t>
  </si>
  <si>
    <t>Madina Store 658</t>
  </si>
  <si>
    <t>CUST0659</t>
  </si>
  <si>
    <t>Madina Store 659</t>
  </si>
  <si>
    <t>CUST0660</t>
  </si>
  <si>
    <t>Value Store 660</t>
  </si>
  <si>
    <t>CUST0661</t>
  </si>
  <si>
    <t>Mega Retail 661</t>
  </si>
  <si>
    <t>CUST0662</t>
  </si>
  <si>
    <t>QuickMart 662</t>
  </si>
  <si>
    <t>CUST0663</t>
  </si>
  <si>
    <t>OnlineGrocer 663</t>
  </si>
  <si>
    <t>CUST0664</t>
  </si>
  <si>
    <t>New Pakistan Store 664</t>
  </si>
  <si>
    <t>CUST0665</t>
  </si>
  <si>
    <t>Al-Rehman Store 665</t>
  </si>
  <si>
    <t>CUST0666</t>
  </si>
  <si>
    <t>Madina Store 666</t>
  </si>
  <si>
    <t>CUST0667</t>
  </si>
  <si>
    <t>New Pakistan Store 667</t>
  </si>
  <si>
    <t>CUST0668</t>
  </si>
  <si>
    <t>City Store 668</t>
  </si>
  <si>
    <t>CUST0669</t>
  </si>
  <si>
    <t>OnlineGrocer 669</t>
  </si>
  <si>
    <t>CUST0670</t>
  </si>
  <si>
    <t>City Store 670</t>
  </si>
  <si>
    <t>CUST0671</t>
  </si>
  <si>
    <t>Al-Rehman Store 671</t>
  </si>
  <si>
    <t>CUST0672</t>
  </si>
  <si>
    <t>City Store 672</t>
  </si>
  <si>
    <t>CUST0673</t>
  </si>
  <si>
    <t>Khan Wholesale 673</t>
  </si>
  <si>
    <t>CUST0674</t>
  </si>
  <si>
    <t>Mega Retail 674</t>
  </si>
  <si>
    <t>CUST0675</t>
  </si>
  <si>
    <t>Khan Wholesale 675</t>
  </si>
  <si>
    <t>CUST0676</t>
  </si>
  <si>
    <t>New Pakistan Store 676</t>
  </si>
  <si>
    <t>CUST0677</t>
  </si>
  <si>
    <t>Pak Wholesale 677</t>
  </si>
  <si>
    <t>CUST0678</t>
  </si>
  <si>
    <t>Khan Wholesale 678</t>
  </si>
  <si>
    <t>CUST0679</t>
  </si>
  <si>
    <t>City Store 679</t>
  </si>
  <si>
    <t>CUST0680</t>
  </si>
  <si>
    <t>Pak Wholesale 680</t>
  </si>
  <si>
    <t>CUST0681</t>
  </si>
  <si>
    <t>City Store 681</t>
  </si>
  <si>
    <t>CUST0682</t>
  </si>
  <si>
    <t>Al-Rehman Store 682</t>
  </si>
  <si>
    <t>CUST0683</t>
  </si>
  <si>
    <t>Al-Rehman Store 683</t>
  </si>
  <si>
    <t>CUST0684</t>
  </si>
  <si>
    <t>Al-Rehman Store 684</t>
  </si>
  <si>
    <t>CUST0685</t>
  </si>
  <si>
    <t>City Cash &amp; Carry 685</t>
  </si>
  <si>
    <t>CUST0686</t>
  </si>
  <si>
    <t>Al-Rehman Store 686</t>
  </si>
  <si>
    <t>CUST0687</t>
  </si>
  <si>
    <t>New Pakistan Store 687</t>
  </si>
  <si>
    <t>CUST0688</t>
  </si>
  <si>
    <t>New Pakistan Store 688</t>
  </si>
  <si>
    <t>CUST0689</t>
  </si>
  <si>
    <t>Al-Rehman Store 689</t>
  </si>
  <si>
    <t>CUST0690</t>
  </si>
  <si>
    <t>DailyBasket 690</t>
  </si>
  <si>
    <t>CUST0691</t>
  </si>
  <si>
    <t>Value Store 691</t>
  </si>
  <si>
    <t>CUST0692</t>
  </si>
  <si>
    <t>City Store 692</t>
  </si>
  <si>
    <t>CUST0693</t>
  </si>
  <si>
    <t>Madina Store 693</t>
  </si>
  <si>
    <t>CUST0694</t>
  </si>
  <si>
    <t>Value Store 694</t>
  </si>
  <si>
    <t>CUST0695</t>
  </si>
  <si>
    <t>New Pakistan Store 695</t>
  </si>
  <si>
    <t>CUST0696</t>
  </si>
  <si>
    <t>Value Store 696</t>
  </si>
  <si>
    <t>CUST0697</t>
  </si>
  <si>
    <t>FreshCart 697</t>
  </si>
  <si>
    <t>CUST0698</t>
  </si>
  <si>
    <t>New Pakistan Store 698</t>
  </si>
  <si>
    <t>CUST0699</t>
  </si>
  <si>
    <t>Al-Rehman Store 699</t>
  </si>
  <si>
    <t>CUST0700</t>
  </si>
  <si>
    <t>Madina Store 700</t>
  </si>
  <si>
    <t>CUST0701</t>
  </si>
  <si>
    <t>OnlineGrocer 701</t>
  </si>
  <si>
    <t>CUST0702</t>
  </si>
  <si>
    <t>Value Store 702</t>
  </si>
  <si>
    <t>CUST0703</t>
  </si>
  <si>
    <t>New Pakistan Store 703</t>
  </si>
  <si>
    <t>CUST0704</t>
  </si>
  <si>
    <t>New Pakistan Store 704</t>
  </si>
  <si>
    <t>CUST0705</t>
  </si>
  <si>
    <t>Al-Rehman Store 705</t>
  </si>
  <si>
    <t>CUST0706</t>
  </si>
  <si>
    <t>New Pakistan Store 706</t>
  </si>
  <si>
    <t>CUST0707</t>
  </si>
  <si>
    <t>Madina Store 707</t>
  </si>
  <si>
    <t>CUST0708</t>
  </si>
  <si>
    <t>City Store 708</t>
  </si>
  <si>
    <t>CUST0709</t>
  </si>
  <si>
    <t>City Cash &amp; Carry 709</t>
  </si>
  <si>
    <t>CUST0710</t>
  </si>
  <si>
    <t>City Store 710</t>
  </si>
  <si>
    <t>CUST0711</t>
  </si>
  <si>
    <t>Value Store 711</t>
  </si>
  <si>
    <t>CUST0712</t>
  </si>
  <si>
    <t>City Store 712</t>
  </si>
  <si>
    <t>CUST0713</t>
  </si>
  <si>
    <t>Madina Store 713</t>
  </si>
  <si>
    <t>CUST0714</t>
  </si>
  <si>
    <t>Khan Wholesale 714</t>
  </si>
  <si>
    <t>CUST0715</t>
  </si>
  <si>
    <t>New Pakistan Store 715</t>
  </si>
  <si>
    <t>CUST0716</t>
  </si>
  <si>
    <t>United Wholesale 716</t>
  </si>
  <si>
    <t>CUST0717</t>
  </si>
  <si>
    <t>Mega Retail 717</t>
  </si>
  <si>
    <t>CUST0718</t>
  </si>
  <si>
    <t>Al-Rehman Store 718</t>
  </si>
  <si>
    <t>CUST0719</t>
  </si>
  <si>
    <t>QuickMart 719</t>
  </si>
  <si>
    <t>CUST0720</t>
  </si>
  <si>
    <t>City Cash &amp; Carry 720</t>
  </si>
  <si>
    <t>CUST0721</t>
  </si>
  <si>
    <t>United Wholesale 721</t>
  </si>
  <si>
    <t>CUST0722</t>
  </si>
  <si>
    <t>City Cash &amp; Carry 722</t>
  </si>
  <si>
    <t>CUST0723</t>
  </si>
  <si>
    <t>Value Store 723</t>
  </si>
  <si>
    <t>CUST0724</t>
  </si>
  <si>
    <t>City Store 724</t>
  </si>
  <si>
    <t>CUST0725</t>
  </si>
  <si>
    <t>FreshCart 725</t>
  </si>
  <si>
    <t>CUST0726</t>
  </si>
  <si>
    <t>City Cash &amp; Carry 726</t>
  </si>
  <si>
    <t>CUST0727</t>
  </si>
  <si>
    <t>Madina Store 727</t>
  </si>
  <si>
    <t>CUST0728</t>
  </si>
  <si>
    <t>Madina Store 728</t>
  </si>
  <si>
    <t>CUST0729</t>
  </si>
  <si>
    <t>FreshCart 729</t>
  </si>
  <si>
    <t>CUST0730</t>
  </si>
  <si>
    <t>Al-Rehman Store 730</t>
  </si>
  <si>
    <t>CUST0731</t>
  </si>
  <si>
    <t>Capital Mart 731</t>
  </si>
  <si>
    <t>CUST0732</t>
  </si>
  <si>
    <t>Al-Rehman Store 732</t>
  </si>
  <si>
    <t>CUST0733</t>
  </si>
  <si>
    <t>Madina Store 733</t>
  </si>
  <si>
    <t>CUST0734</t>
  </si>
  <si>
    <t>Madina Store 734</t>
  </si>
  <si>
    <t>CUST0735</t>
  </si>
  <si>
    <t>Al-Rehman Store 735</t>
  </si>
  <si>
    <t>CUST0736</t>
  </si>
  <si>
    <t>City Store 736</t>
  </si>
  <si>
    <t>CUST0737</t>
  </si>
  <si>
    <t>Madina Store 737</t>
  </si>
  <si>
    <t>CUST0738</t>
  </si>
  <si>
    <t>New Pakistan Store 738</t>
  </si>
  <si>
    <t>CUST0739</t>
  </si>
  <si>
    <t>Al-Rehman Store 739</t>
  </si>
  <si>
    <t>CUST0740</t>
  </si>
  <si>
    <t>QuickMart 740</t>
  </si>
  <si>
    <t>CUST0741</t>
  </si>
  <si>
    <t>New Pakistan Store 741</t>
  </si>
  <si>
    <t>CUST0742</t>
  </si>
  <si>
    <t>Capital Mart 742</t>
  </si>
  <si>
    <t>CUST0743</t>
  </si>
  <si>
    <t>United Wholesale 743</t>
  </si>
  <si>
    <t>CUST0744</t>
  </si>
  <si>
    <t>Madina Store 744</t>
  </si>
  <si>
    <t>CUST0745</t>
  </si>
  <si>
    <t>New Pakistan Store 745</t>
  </si>
  <si>
    <t>CUST0746</t>
  </si>
  <si>
    <t>City Store 746</t>
  </si>
  <si>
    <t>CUST0747</t>
  </si>
  <si>
    <t>DailyBasket 747</t>
  </si>
  <si>
    <t>CUST0748</t>
  </si>
  <si>
    <t>Al-Rehman Store 748</t>
  </si>
  <si>
    <t>CUST0749</t>
  </si>
  <si>
    <t>Khan Wholesale 749</t>
  </si>
  <si>
    <t>CUST0750</t>
  </si>
  <si>
    <t>Mega Retail 750</t>
  </si>
  <si>
    <t>SKU</t>
  </si>
  <si>
    <t>ProductName</t>
  </si>
  <si>
    <t>Brand</t>
  </si>
  <si>
    <t>Category</t>
  </si>
  <si>
    <t>Subcategory</t>
  </si>
  <si>
    <t>PackSize</t>
  </si>
  <si>
    <t>UOM</t>
  </si>
  <si>
    <t>UnitsPerCarton</t>
  </si>
  <si>
    <t>UnitCost</t>
  </si>
  <si>
    <t>StandardPrice</t>
  </si>
  <si>
    <t>LeadTimeDays</t>
  </si>
  <si>
    <t>MOQ</t>
  </si>
  <si>
    <t>ShelfLifeDays</t>
  </si>
  <si>
    <t>LaunchDate</t>
  </si>
  <si>
    <t>ActiveFlag</t>
  </si>
  <si>
    <t>BaseDailyDemand</t>
  </si>
  <si>
    <t>DemandClass</t>
  </si>
  <si>
    <t>SKU0001</t>
  </si>
  <si>
    <t>PakFresh Energy Drinks 500ml</t>
  </si>
  <si>
    <t>PakFresh</t>
  </si>
  <si>
    <t>Beverages</t>
  </si>
  <si>
    <t>Energy Drinks</t>
  </si>
  <si>
    <t>Bottle</t>
  </si>
  <si>
    <t>SKU0002</t>
  </si>
  <si>
    <t>Rush Energy Drinks 250ml</t>
  </si>
  <si>
    <t>Rush</t>
  </si>
  <si>
    <t>SKU0003</t>
  </si>
  <si>
    <t>PakFresh Juices 500ml</t>
  </si>
  <si>
    <t>Juices</t>
  </si>
  <si>
    <t>Very Slow</t>
  </si>
  <si>
    <t>SKU0004</t>
  </si>
  <si>
    <t>Rush Juices 500ml</t>
  </si>
  <si>
    <t>SKU0005</t>
  </si>
  <si>
    <t>FreshSip Juices 500ml</t>
  </si>
  <si>
    <t>FreshSip</t>
  </si>
  <si>
    <t>SKU0006</t>
  </si>
  <si>
    <t>FizzUp Juices 250ml</t>
  </si>
  <si>
    <t>FizzUp</t>
  </si>
  <si>
    <t>Slow</t>
  </si>
  <si>
    <t>SKU0007</t>
  </si>
  <si>
    <t>PakFresh Carbonated Drinks 1500ml</t>
  </si>
  <si>
    <t>Carbonated Drinks</t>
  </si>
  <si>
    <t>SKU0008</t>
  </si>
  <si>
    <t>PakFresh Carbonated Drinks 1500ml - 8</t>
  </si>
  <si>
    <t>SKU0009</t>
  </si>
  <si>
    <t>PakFresh Carbonated Drinks 1500ml - 9</t>
  </si>
  <si>
    <t>SKU0010</t>
  </si>
  <si>
    <t>FizzUp Bottled Water 500ml</t>
  </si>
  <si>
    <t>Bottled Water</t>
  </si>
  <si>
    <t>SKU0011</t>
  </si>
  <si>
    <t>Rush Energy Drinks 330ml</t>
  </si>
  <si>
    <t>SKU0012</t>
  </si>
  <si>
    <t>PureDrop Energy Drinks 330ml</t>
  </si>
  <si>
    <t>PureDrop</t>
  </si>
  <si>
    <t>SKU0013</t>
  </si>
  <si>
    <t>FreshSip Juices 250ml</t>
  </si>
  <si>
    <t>SKU0014</t>
  </si>
  <si>
    <t>PakFresh Bottled Water 500ml</t>
  </si>
  <si>
    <t>SKU0015</t>
  </si>
  <si>
    <t>PureDrop Juices 250ml</t>
  </si>
  <si>
    <t>SKU0016</t>
  </si>
  <si>
    <t>FizzUp Bottled Water 500ml - 16</t>
  </si>
  <si>
    <t>Fast</t>
  </si>
  <si>
    <t>SKU0017</t>
  </si>
  <si>
    <t>FreshSip Bottled Water 1500ml</t>
  </si>
  <si>
    <t>SKU0018</t>
  </si>
  <si>
    <t>Rush Energy Drinks 330ml - 18</t>
  </si>
  <si>
    <t>SKU0019</t>
  </si>
  <si>
    <t>PureDrop Carbonated Drinks 500ml</t>
  </si>
  <si>
    <t>SKU0020</t>
  </si>
  <si>
    <t>PureDrop Juices 250ml - 20</t>
  </si>
  <si>
    <t>SKU0021</t>
  </si>
  <si>
    <t>Rush Energy Drinks 250ml - 21</t>
  </si>
  <si>
    <t>SKU0022</t>
  </si>
  <si>
    <t>PakFresh Energy Drinks 330ml</t>
  </si>
  <si>
    <t>SKU0023</t>
  </si>
  <si>
    <t>PakFresh Energy Drinks 500ml - 23</t>
  </si>
  <si>
    <t>SKU0024</t>
  </si>
  <si>
    <t>PakFresh Bottled Water 500ml - 24</t>
  </si>
  <si>
    <t>SKU0025</t>
  </si>
  <si>
    <t>Rush Juices 1000ml</t>
  </si>
  <si>
    <t>SKU0026</t>
  </si>
  <si>
    <t>PakFresh Energy Drinks 250ml</t>
  </si>
  <si>
    <t>SKU0027</t>
  </si>
  <si>
    <t>PureDrop Carbonated Drinks 250ml</t>
  </si>
  <si>
    <t>SKU0028</t>
  </si>
  <si>
    <t>Rush Bottled Water 1000ml</t>
  </si>
  <si>
    <t>SKU0029</t>
  </si>
  <si>
    <t>PureDrop Juices 1000ml</t>
  </si>
  <si>
    <t>SKU0030</t>
  </si>
  <si>
    <t>FreshSip Juices 250ml - 30</t>
  </si>
  <si>
    <t>SKU0031</t>
  </si>
  <si>
    <t>FreshSip Carbonated Drinks 1000ml</t>
  </si>
  <si>
    <t>SKU0032</t>
  </si>
  <si>
    <t>FreshSip Bottled Water 1000ml</t>
  </si>
  <si>
    <t>SKU0033</t>
  </si>
  <si>
    <t>PakFresh Carbonated Drinks 1500ml - 33</t>
  </si>
  <si>
    <t>SKU0034</t>
  </si>
  <si>
    <t>PakFresh Energy Drinks 500ml - 34</t>
  </si>
  <si>
    <t>SKU0035</t>
  </si>
  <si>
    <t>FreshSip Carbonated Drinks 500ml</t>
  </si>
  <si>
    <t>SKU0036</t>
  </si>
  <si>
    <t>PureDrop Bottled Water 1500ml</t>
  </si>
  <si>
    <t>SKU0037</t>
  </si>
  <si>
    <t>PureDrop Carbonated Drinks 1000ml</t>
  </si>
  <si>
    <t>SKU0038</t>
  </si>
  <si>
    <t>FreshSip Juices 250ml - 38</t>
  </si>
  <si>
    <t>SKU0039</t>
  </si>
  <si>
    <t>FizzUp Energy Drinks 250ml</t>
  </si>
  <si>
    <t>SKU0040</t>
  </si>
  <si>
    <t>PakFresh Energy Drinks 250ml - 40</t>
  </si>
  <si>
    <t>SKU0041</t>
  </si>
  <si>
    <t>PureDrop Juices 500ml</t>
  </si>
  <si>
    <t>SKU0042</t>
  </si>
  <si>
    <t>PakFresh Carbonated Drinks 250ml</t>
  </si>
  <si>
    <t>SKU0043</t>
  </si>
  <si>
    <t>PureDrop Bottled Water 1000ml</t>
  </si>
  <si>
    <t>SKU0044</t>
  </si>
  <si>
    <t>FreshSip Bottled Water 15000ml</t>
  </si>
  <si>
    <t>SKU0045</t>
  </si>
  <si>
    <t>FreshSip Energy Drinks 330ml</t>
  </si>
  <si>
    <t>SKU0046</t>
  </si>
  <si>
    <t>FizzUp Carbonated Drinks 500ml</t>
  </si>
  <si>
    <t>SKU0047</t>
  </si>
  <si>
    <t>Rush Energy Drinks 500ml</t>
  </si>
  <si>
    <t>SKU0048</t>
  </si>
  <si>
    <t>FizzUp Juices 250ml - 48</t>
  </si>
  <si>
    <t>SKU0049</t>
  </si>
  <si>
    <t>PureDrop Bottled Water 15000ml</t>
  </si>
  <si>
    <t>SKU0050</t>
  </si>
  <si>
    <t>Rush Carbonated Drinks 1000ml</t>
  </si>
  <si>
    <t>SKU0051</t>
  </si>
  <si>
    <t>FizzUp Bottled Water 500ml - 51</t>
  </si>
  <si>
    <t>SKU0052</t>
  </si>
  <si>
    <t>FizzUp Carbonated Drinks 250ml</t>
  </si>
  <si>
    <t>SKU0053</t>
  </si>
  <si>
    <t>FizzUp Energy Drinks 250ml - 53</t>
  </si>
  <si>
    <t>SKU0054</t>
  </si>
  <si>
    <t>Rush Energy Drinks 330ml - 54</t>
  </si>
  <si>
    <t>SKU0055</t>
  </si>
  <si>
    <t>Rush Juices 250ml</t>
  </si>
  <si>
    <t>SKU0056</t>
  </si>
  <si>
    <t>FreshSip Carbonated Drinks 500ml - 56</t>
  </si>
  <si>
    <t>SKU0057</t>
  </si>
  <si>
    <t>Rush Juices 250ml - 57</t>
  </si>
  <si>
    <t>SKU0058</t>
  </si>
  <si>
    <t>PureDrop Juices 1000ml - 58</t>
  </si>
  <si>
    <t>SKU0059</t>
  </si>
  <si>
    <t>FizzUp Bottled Water 1500ml</t>
  </si>
  <si>
    <t>SKU0060</t>
  </si>
  <si>
    <t>FreshSip Carbonated Drinks 1500ml</t>
  </si>
  <si>
    <t>SKU0061</t>
  </si>
  <si>
    <t>PakFresh Carbonated Drinks 250ml - 61</t>
  </si>
  <si>
    <t>SKU0062</t>
  </si>
  <si>
    <t>FreshSip Juices 1000ml</t>
  </si>
  <si>
    <t>SKU0063</t>
  </si>
  <si>
    <t>FizzUp Carbonated Drinks 250ml - 63</t>
  </si>
  <si>
    <t>SKU0064</t>
  </si>
  <si>
    <t>FizzUp Juices 250ml - 64</t>
  </si>
  <si>
    <t>SKU0065</t>
  </si>
  <si>
    <t>Rush Energy Drinks 250ml - 65</t>
  </si>
  <si>
    <t>SKU0066</t>
  </si>
  <si>
    <t>FreshSip Energy Drinks 330ml - 66</t>
  </si>
  <si>
    <t>SKU0067</t>
  </si>
  <si>
    <t>FizzUp Juices 1000ml</t>
  </si>
  <si>
    <t>SKU0068</t>
  </si>
  <si>
    <t>BiteTime Cookies 150g</t>
  </si>
  <si>
    <t>BiteTime</t>
  </si>
  <si>
    <t>Biscuits &amp; Snacks</t>
  </si>
  <si>
    <t>Cookies</t>
  </si>
  <si>
    <t>Pack</t>
  </si>
  <si>
    <t>SKU0069</t>
  </si>
  <si>
    <t>PakFresh Nimco/Savory Snacks 50g</t>
  </si>
  <si>
    <t>Nimco/Savory Snacks</t>
  </si>
  <si>
    <t>SKU0070</t>
  </si>
  <si>
    <t>Crispo Biscuits 40g</t>
  </si>
  <si>
    <t>Crispo</t>
  </si>
  <si>
    <t>Biscuits</t>
  </si>
  <si>
    <t>SKU0071</t>
  </si>
  <si>
    <t>Crunchy Cookies 80g</t>
  </si>
  <si>
    <t>Crunchy</t>
  </si>
  <si>
    <t>SKU0072</t>
  </si>
  <si>
    <t>BiteTime Chips 120g</t>
  </si>
  <si>
    <t>Chips</t>
  </si>
  <si>
    <t>SKU0073</t>
  </si>
  <si>
    <t>BiteTime Nimco/Savory Snacks 200g</t>
  </si>
  <si>
    <t>SKU0074</t>
  </si>
  <si>
    <t>PakFresh Nimco/Savory Snacks 200g</t>
  </si>
  <si>
    <t>SKU0075</t>
  </si>
  <si>
    <t>Crispo Chips 80g</t>
  </si>
  <si>
    <t>SKU0076</t>
  </si>
  <si>
    <t>Snacko Chips 30g</t>
  </si>
  <si>
    <t>Snacko</t>
  </si>
  <si>
    <t>SKU0077</t>
  </si>
  <si>
    <t>BiteTime Chips 80g</t>
  </si>
  <si>
    <t>SKU0078</t>
  </si>
  <si>
    <t>Snacko Nimco/Savory Snacks 200g</t>
  </si>
  <si>
    <t>SKU0079</t>
  </si>
  <si>
    <t>Crunchy Cookies 150g</t>
  </si>
  <si>
    <t>SKU0080</t>
  </si>
  <si>
    <t>PakFresh Nimco/Savory Snacks 100g</t>
  </si>
  <si>
    <t>SKU0081</t>
  </si>
  <si>
    <t>BiteTime Cookies 150g - 81</t>
  </si>
  <si>
    <t>SKU0082</t>
  </si>
  <si>
    <t>PakFresh Chips 50g</t>
  </si>
  <si>
    <t>SKU0083</t>
  </si>
  <si>
    <t>PakFresh Chips 80g</t>
  </si>
  <si>
    <t>SKU0084</t>
  </si>
  <si>
    <t>Crispo Chips 80g - 84</t>
  </si>
  <si>
    <t>SKU0085</t>
  </si>
  <si>
    <t>Crispo Nimco/Savory Snacks 100g</t>
  </si>
  <si>
    <t>SKU0086</t>
  </si>
  <si>
    <t>PakFresh Nimco/Savory Snacks 100g - 86</t>
  </si>
  <si>
    <t>SKU0087</t>
  </si>
  <si>
    <t>PakFresh Cookies 80g</t>
  </si>
  <si>
    <t>SKU0088</t>
  </si>
  <si>
    <t>Crunchy Cookies 150g - 88</t>
  </si>
  <si>
    <t>SKU0089</t>
  </si>
  <si>
    <t>BiteTime Biscuits 40g</t>
  </si>
  <si>
    <t>SKU0090</t>
  </si>
  <si>
    <t>Crispo Cookies 250g</t>
  </si>
  <si>
    <t>SKU0091</t>
  </si>
  <si>
    <t>Crunchy Cookies 150g - 91</t>
  </si>
  <si>
    <t>SKU0092</t>
  </si>
  <si>
    <t>Snacko Biscuits 120g</t>
  </si>
  <si>
    <t>SKU0093</t>
  </si>
  <si>
    <t>Crunchy Biscuits 120g</t>
  </si>
  <si>
    <t>SKU0094</t>
  </si>
  <si>
    <t>Crispo Chips 80g - 94</t>
  </si>
  <si>
    <t>SKU0095</t>
  </si>
  <si>
    <t>Crunchy Nimco/Savory Snacks 400g</t>
  </si>
  <si>
    <t>SKU0096</t>
  </si>
  <si>
    <t>PakFresh Biscuits 40g</t>
  </si>
  <si>
    <t>SKU0097</t>
  </si>
  <si>
    <t>BiteTime Cookies 150g - 97</t>
  </si>
  <si>
    <t>SKU0098</t>
  </si>
  <si>
    <t>Snacko Nimco/Savory Snacks 200g - 98</t>
  </si>
  <si>
    <t>SKU0099</t>
  </si>
  <si>
    <t>Crispo Biscuits 200g</t>
  </si>
  <si>
    <t>SKU0100</t>
  </si>
  <si>
    <t>Crunchy Biscuits 120g - 100</t>
  </si>
  <si>
    <t>SKU0101</t>
  </si>
  <si>
    <t>Crispo Cookies 250g - 101</t>
  </si>
  <si>
    <t>SKU0102</t>
  </si>
  <si>
    <t>Snacko Chips 80g</t>
  </si>
  <si>
    <t>SKU0103</t>
  </si>
  <si>
    <t>Crunchy Cookies 80g - 103</t>
  </si>
  <si>
    <t>SKU0104</t>
  </si>
  <si>
    <t>Snacko Cookies 250g</t>
  </si>
  <si>
    <t>SKU0105</t>
  </si>
  <si>
    <t>Snacko Nimco/Savory Snacks 50g</t>
  </si>
  <si>
    <t>SKU0106</t>
  </si>
  <si>
    <t>PakFresh Cookies 80g - 106</t>
  </si>
  <si>
    <t>SKU0107</t>
  </si>
  <si>
    <t>PakFresh Biscuits 120g</t>
  </si>
  <si>
    <t>SKU0108</t>
  </si>
  <si>
    <t>BiteTime Nimco/Savory Snacks 400g</t>
  </si>
  <si>
    <t>SKU0109</t>
  </si>
  <si>
    <t>PakFresh Biscuits 40g - 109</t>
  </si>
  <si>
    <t>SKU0110</t>
  </si>
  <si>
    <t>BiteTime Biscuits 80g</t>
  </si>
  <si>
    <t>SKU0111</t>
  </si>
  <si>
    <t>BiteTime Cookies 150g - 111</t>
  </si>
  <si>
    <t>SKU0112</t>
  </si>
  <si>
    <t>Crunchy Cookies 150g - 112</t>
  </si>
  <si>
    <t>SKU0113</t>
  </si>
  <si>
    <t>Snacko Cookies 80g</t>
  </si>
  <si>
    <t>SKU0114</t>
  </si>
  <si>
    <t>PakFresh Chips 30g</t>
  </si>
  <si>
    <t>SKU0115</t>
  </si>
  <si>
    <t>Crispo Biscuits 80g</t>
  </si>
  <si>
    <t>SKU0116</t>
  </si>
  <si>
    <t>Crispo Chips 80g - 116</t>
  </si>
  <si>
    <t>SKU0117</t>
  </si>
  <si>
    <t>PakFresh Nimco/Savory Snacks 100g - 117</t>
  </si>
  <si>
    <t>SKU0118</t>
  </si>
  <si>
    <t>BiteTime Biscuits 120g</t>
  </si>
  <si>
    <t>SKU0119</t>
  </si>
  <si>
    <t>Crispo Chips 80g - 119</t>
  </si>
  <si>
    <t>SKU0120</t>
  </si>
  <si>
    <t>Crispo Nimco/Savory Snacks 50g</t>
  </si>
  <si>
    <t>SKU0121</t>
  </si>
  <si>
    <t>PakFresh Chips 30g - 121</t>
  </si>
  <si>
    <t>SKU0122</t>
  </si>
  <si>
    <t>Crispo Nimco/Savory Snacks 100g - 122</t>
  </si>
  <si>
    <t>SKU0123</t>
  </si>
  <si>
    <t>BiteTime Biscuits 40g - 123</t>
  </si>
  <si>
    <t>SKU0124</t>
  </si>
  <si>
    <t>Crunchy Biscuits 80g</t>
  </si>
  <si>
    <t>SKU0125</t>
  </si>
  <si>
    <t>BiteTime Biscuits 200g</t>
  </si>
  <si>
    <t>SKU0126</t>
  </si>
  <si>
    <t>Crispo Cookies 250g - 126</t>
  </si>
  <si>
    <t>SKU0127</t>
  </si>
  <si>
    <t>PakFresh Biscuits 200g</t>
  </si>
  <si>
    <t>SKU0128</t>
  </si>
  <si>
    <t>Crunchy Chips 120g</t>
  </si>
  <si>
    <t>SKU0129</t>
  </si>
  <si>
    <t>Snacko Cookies 250g - 129</t>
  </si>
  <si>
    <t>SKU0130</t>
  </si>
  <si>
    <t>Crispo Cookies 250g - 130</t>
  </si>
  <si>
    <t>SKU0131</t>
  </si>
  <si>
    <t>Snacko Nimco/Savory Snacks 50g - 131</t>
  </si>
  <si>
    <t>SKU0132</t>
  </si>
  <si>
    <t>BiteTime Chips 30g</t>
  </si>
  <si>
    <t>SKU0133</t>
  </si>
  <si>
    <t>PakFresh Chips 30g - 133</t>
  </si>
  <si>
    <t>SKU0134</t>
  </si>
  <si>
    <t>BiteTime Chips 80g - 134</t>
  </si>
  <si>
    <t>SKU0135</t>
  </si>
  <si>
    <t>PureDairy Flavoured Milk 250ml</t>
  </si>
  <si>
    <t>PureDairy</t>
  </si>
  <si>
    <t>Dairy</t>
  </si>
  <si>
    <t>Flavoured Milk</t>
  </si>
  <si>
    <t>SKU0136</t>
  </si>
  <si>
    <t>Milko Cream 500ml</t>
  </si>
  <si>
    <t>Milko</t>
  </si>
  <si>
    <t>Cream</t>
  </si>
  <si>
    <t>SKU0137</t>
  </si>
  <si>
    <t>PureDairy Cream 100ml</t>
  </si>
  <si>
    <t>SKU0138</t>
  </si>
  <si>
    <t>DailyFresh Cream 100ml</t>
  </si>
  <si>
    <t>DailyFresh</t>
  </si>
  <si>
    <t>SKU0139</t>
  </si>
  <si>
    <t>DailyFresh UHT Milk 1500ml</t>
  </si>
  <si>
    <t>UHT Milk</t>
  </si>
  <si>
    <t>SKU0140</t>
  </si>
  <si>
    <t>Milko Yogurt 150ml</t>
  </si>
  <si>
    <t>Yogurt</t>
  </si>
  <si>
    <t>SKU0141</t>
  </si>
  <si>
    <t>DailyFresh Yogurt 100ml</t>
  </si>
  <si>
    <t>SKU0142</t>
  </si>
  <si>
    <t>PureDairy Cream 500ml</t>
  </si>
  <si>
    <t>SKU0143</t>
  </si>
  <si>
    <t>PureDairy Flavoured Milk 500ml</t>
  </si>
  <si>
    <t>SKU0144</t>
  </si>
  <si>
    <t>Milko Yogurt 500ml</t>
  </si>
  <si>
    <t>SKU0145</t>
  </si>
  <si>
    <t>PakFresh UHT Milk 1000ml</t>
  </si>
  <si>
    <t>SKU0146</t>
  </si>
  <si>
    <t>PakFresh UHT Milk 250ml</t>
  </si>
  <si>
    <t>SKU0147</t>
  </si>
  <si>
    <t>PureDairy UHT Milk 500ml</t>
  </si>
  <si>
    <t>SKU0148</t>
  </si>
  <si>
    <t>PakFresh Flavoured Milk 200ml</t>
  </si>
  <si>
    <t>SKU0149</t>
  </si>
  <si>
    <t>PakFresh Yogurt 100ml</t>
  </si>
  <si>
    <t>SKU0150</t>
  </si>
  <si>
    <t>PakFresh UHT Milk 1500ml</t>
  </si>
  <si>
    <t>SKU0151</t>
  </si>
  <si>
    <t>DailyFresh Cream 200ml</t>
  </si>
  <si>
    <t>SKU0152</t>
  </si>
  <si>
    <t>Milko Yogurt 500ml - 152</t>
  </si>
  <si>
    <t>SKU0153</t>
  </si>
  <si>
    <t>PureDairy Cream 200ml</t>
  </si>
  <si>
    <t>SKU0154</t>
  </si>
  <si>
    <t>PureDairy Cream 100ml - 154</t>
  </si>
  <si>
    <t>SKU0155</t>
  </si>
  <si>
    <t>PakFresh UHT Milk 1000ml - 155</t>
  </si>
  <si>
    <t>SKU0156</t>
  </si>
  <si>
    <t>Milko Cream 500ml - 156</t>
  </si>
  <si>
    <t>SKU0157</t>
  </si>
  <si>
    <t>Milko Cream 500ml - 157</t>
  </si>
  <si>
    <t>SKU0158</t>
  </si>
  <si>
    <t>PureDairy UHT Milk 1000ml</t>
  </si>
  <si>
    <t>SKU0159</t>
  </si>
  <si>
    <t>PureDairy Cream 100ml - 159</t>
  </si>
  <si>
    <t>SKU0160</t>
  </si>
  <si>
    <t>PureDairy UHT Milk 1000ml - 160</t>
  </si>
  <si>
    <t>SKU0161</t>
  </si>
  <si>
    <t>DailyFresh Flavoured Milk 200ml</t>
  </si>
  <si>
    <t>SKU0162</t>
  </si>
  <si>
    <t>Milko Flavoured Milk 500ml</t>
  </si>
  <si>
    <t>SKU0163</t>
  </si>
  <si>
    <t>DailyFresh UHT Milk 250ml</t>
  </si>
  <si>
    <t>SKU0164</t>
  </si>
  <si>
    <t>DailyFresh Flavoured Milk 200ml - 164</t>
  </si>
  <si>
    <t>SKU0165</t>
  </si>
  <si>
    <t>PakFresh Cream 200ml</t>
  </si>
  <si>
    <t>SKU0166</t>
  </si>
  <si>
    <t>Milko Flavoured Milk 200ml</t>
  </si>
  <si>
    <t>SKU0167</t>
  </si>
  <si>
    <t>DailyFresh Yogurt 150ml</t>
  </si>
  <si>
    <t>SKU0168</t>
  </si>
  <si>
    <t>Milko Cream 100ml</t>
  </si>
  <si>
    <t>SKU0169</t>
  </si>
  <si>
    <t>Milko Yogurt 150ml - 169</t>
  </si>
  <si>
    <t>SKU0170</t>
  </si>
  <si>
    <t>Milko UHT Milk 500ml</t>
  </si>
  <si>
    <t>SKU0171</t>
  </si>
  <si>
    <t>DailyFresh Cream 500ml</t>
  </si>
  <si>
    <t>SKU0172</t>
  </si>
  <si>
    <t>PakFresh Cream 100ml</t>
  </si>
  <si>
    <t>SKU0173</t>
  </si>
  <si>
    <t>PakFresh Yogurt 1000ml</t>
  </si>
  <si>
    <t>SKU0174</t>
  </si>
  <si>
    <t>DailyFresh Flavoured Milk 250ml</t>
  </si>
  <si>
    <t>SKU0175</t>
  </si>
  <si>
    <t>DailyFresh UHT Milk 1500ml - 175</t>
  </si>
  <si>
    <t>SKU0176</t>
  </si>
  <si>
    <t>DailyFresh Cream 100ml - 176</t>
  </si>
  <si>
    <t>SKU0177</t>
  </si>
  <si>
    <t>PureDairy UHT Milk 1000ml - 177</t>
  </si>
  <si>
    <t>SKU0178</t>
  </si>
  <si>
    <t>Milko Cream 500ml - 178</t>
  </si>
  <si>
    <t>SKU0179</t>
  </si>
  <si>
    <t>PureDairy Cream 500ml - 179</t>
  </si>
  <si>
    <t>SKU0180</t>
  </si>
  <si>
    <t>PakFresh UHT Milk 1500ml - 180</t>
  </si>
  <si>
    <t>SKU0181</t>
  </si>
  <si>
    <t>Milko Flavoured Milk 250ml</t>
  </si>
  <si>
    <t>SKU0182</t>
  </si>
  <si>
    <t>PureDairy Yogurt 1000ml</t>
  </si>
  <si>
    <t>SKU0183</t>
  </si>
  <si>
    <t>DailyFresh Cream 500ml - 183</t>
  </si>
  <si>
    <t>SKU0184</t>
  </si>
  <si>
    <t>PureDairy Flavoured Milk 250ml - 184</t>
  </si>
  <si>
    <t>SKU0185</t>
  </si>
  <si>
    <t>DailyFresh Yogurt 150ml - 185</t>
  </si>
  <si>
    <t>SKU0186</t>
  </si>
  <si>
    <t>DailyFresh Yogurt 150ml - 186</t>
  </si>
  <si>
    <t>SKU0187</t>
  </si>
  <si>
    <t>PakFresh Flavoured Milk 250ml</t>
  </si>
  <si>
    <t>SKU0188</t>
  </si>
  <si>
    <t>Milko UHT Milk 1500ml</t>
  </si>
  <si>
    <t>SKU0189</t>
  </si>
  <si>
    <t>PakFresh Flavoured Milk 200ml - 189</t>
  </si>
  <si>
    <t>SKU0190</t>
  </si>
  <si>
    <t>PakFresh Cream 500ml</t>
  </si>
  <si>
    <t>SKU0191</t>
  </si>
  <si>
    <t>PureDairy Yogurt 1000ml - 191</t>
  </si>
  <si>
    <t>SKU0192</t>
  </si>
  <si>
    <t>DailyFresh Yogurt 150ml - 192</t>
  </si>
  <si>
    <t>SKU0193</t>
  </si>
  <si>
    <t>Milko UHT Milk 250ml</t>
  </si>
  <si>
    <t>SKU0194</t>
  </si>
  <si>
    <t>DailyFresh Yogurt 1000ml</t>
  </si>
  <si>
    <t>SKU0195</t>
  </si>
  <si>
    <t>Milko Yogurt 100ml</t>
  </si>
  <si>
    <t>SKU0196</t>
  </si>
  <si>
    <t>PureDairy Flavoured Milk 500ml - 196</t>
  </si>
  <si>
    <t>SKU0197</t>
  </si>
  <si>
    <t>PureDairy Yogurt 150ml</t>
  </si>
  <si>
    <t>SKU0198</t>
  </si>
  <si>
    <t>PureDairy Yogurt 500ml</t>
  </si>
  <si>
    <t>SKU0199</t>
  </si>
  <si>
    <t>Milko Cream 500ml - 199</t>
  </si>
  <si>
    <t>SKU0200</t>
  </si>
  <si>
    <t>DailyFresh Cream 500ml - 200</t>
  </si>
  <si>
    <t>SKU0201</t>
  </si>
  <si>
    <t>PureDairy Yogurt 1000ml - 201</t>
  </si>
  <si>
    <t>SKU0202</t>
  </si>
  <si>
    <t>PakFresh Pasta 500g</t>
  </si>
  <si>
    <t>Packaged Foods</t>
  </si>
  <si>
    <t>Pasta</t>
  </si>
  <si>
    <t>SKU0203</t>
  </si>
  <si>
    <t>PakFresh Pasta 1000g</t>
  </si>
  <si>
    <t>SKU0204</t>
  </si>
  <si>
    <t>PakFresh Ready-to-Cook 1000g</t>
  </si>
  <si>
    <t>Ready-to-Cook</t>
  </si>
  <si>
    <t>SKU0205</t>
  </si>
  <si>
    <t>QuickBite Spices 200g</t>
  </si>
  <si>
    <t>QuickBite</t>
  </si>
  <si>
    <t>Spices</t>
  </si>
  <si>
    <t>SKU0206</t>
  </si>
  <si>
    <t>PakFresh Pasta 1000g - 206</t>
  </si>
  <si>
    <t>SKU0207</t>
  </si>
  <si>
    <t>PakFresh Sauces 500g</t>
  </si>
  <si>
    <t>Sauces</t>
  </si>
  <si>
    <t>SKU0208</t>
  </si>
  <si>
    <t>DailyMeal Sauces 1000g</t>
  </si>
  <si>
    <t>DailyMeal</t>
  </si>
  <si>
    <t>SKU0209</t>
  </si>
  <si>
    <t>PakFresh Pasta 250g</t>
  </si>
  <si>
    <t>SKU0210</t>
  </si>
  <si>
    <t>PakFresh Pasta 500g - 210</t>
  </si>
  <si>
    <t>SKU0211</t>
  </si>
  <si>
    <t>QuickBite Sauces 250g</t>
  </si>
  <si>
    <t>SKU0212</t>
  </si>
  <si>
    <t>PakFresh Sauces 500g - 212</t>
  </si>
  <si>
    <t>SKU0213</t>
  </si>
  <si>
    <t>KitchenPro Sauces 1000g</t>
  </si>
  <si>
    <t>KitchenPro</t>
  </si>
  <si>
    <t>SKU0214</t>
  </si>
  <si>
    <t>PakFresh Noodles 240g</t>
  </si>
  <si>
    <t>Noodles</t>
  </si>
  <si>
    <t>SKU0215</t>
  </si>
  <si>
    <t>PakFresh Pasta 500g - 215</t>
  </si>
  <si>
    <t>SKU0216</t>
  </si>
  <si>
    <t>QuickBite Sauces 1000g</t>
  </si>
  <si>
    <t>SKU0217</t>
  </si>
  <si>
    <t>QuickBite Sauces 250g - 217</t>
  </si>
  <si>
    <t>SKU0218</t>
  </si>
  <si>
    <t>KitchenPro Spices 25g</t>
  </si>
  <si>
    <t>SKU0219</t>
  </si>
  <si>
    <t>QuickBite Spices 50g</t>
  </si>
  <si>
    <t>SKU0220</t>
  </si>
  <si>
    <t>DailyMeal Ready-to-Cook 500g</t>
  </si>
  <si>
    <t>SKU0221</t>
  </si>
  <si>
    <t>KitchenPro Sauces 1000g - 221</t>
  </si>
  <si>
    <t>SKU0222</t>
  </si>
  <si>
    <t>DailyMeal Pasta 1000g</t>
  </si>
  <si>
    <t>SKU0223</t>
  </si>
  <si>
    <t>KitchenPro Noodles 480g</t>
  </si>
  <si>
    <t>SKU0224</t>
  </si>
  <si>
    <t>KitchenPro Ready-to-Cook 250g</t>
  </si>
  <si>
    <t>SKU0225</t>
  </si>
  <si>
    <t>PakFresh Spices 200g</t>
  </si>
  <si>
    <t>SKU0226</t>
  </si>
  <si>
    <t>PakFresh Pasta 1000g - 226</t>
  </si>
  <si>
    <t>SKU0227</t>
  </si>
  <si>
    <t>QuickBite Pasta 250g</t>
  </si>
  <si>
    <t>SKU0228</t>
  </si>
  <si>
    <t>QuickBite Sauces 1000g - 228</t>
  </si>
  <si>
    <t>SKU0229</t>
  </si>
  <si>
    <t>KitchenPro Ready-to-Cook 1000g</t>
  </si>
  <si>
    <t>SKU0230</t>
  </si>
  <si>
    <t>QuickBite Pasta 1000g</t>
  </si>
  <si>
    <t>SKU0231</t>
  </si>
  <si>
    <t>QuickBite Spices 200g - 231</t>
  </si>
  <si>
    <t>SKU0232</t>
  </si>
  <si>
    <t>PakFresh Ready-to-Cook 1000g - 232</t>
  </si>
  <si>
    <t>SKU0233</t>
  </si>
  <si>
    <t>DailyMeal Pasta 250g</t>
  </si>
  <si>
    <t>SKU0234</t>
  </si>
  <si>
    <t>DailyMeal Noodles 240g</t>
  </si>
  <si>
    <t>SKU0235</t>
  </si>
  <si>
    <t>PakFresh Sauces 250g</t>
  </si>
  <si>
    <t>SKU0236</t>
  </si>
  <si>
    <t>QuickBite Sauces 250g - 236</t>
  </si>
  <si>
    <t>SKU0237</t>
  </si>
  <si>
    <t>PakFresh Spices 100g</t>
  </si>
  <si>
    <t>SKU0238</t>
  </si>
  <si>
    <t>QuickBite Pasta 1000g - 238</t>
  </si>
  <si>
    <t>SKU0239</t>
  </si>
  <si>
    <t>KitchenPro Spices 100g</t>
  </si>
  <si>
    <t>SKU0240</t>
  </si>
  <si>
    <t>QuickBite Noodles 240g</t>
  </si>
  <si>
    <t>SKU0241</t>
  </si>
  <si>
    <t>QuickBite Pasta 1000g - 241</t>
  </si>
  <si>
    <t>SKU0242</t>
  </si>
  <si>
    <t>KitchenPro Sauces 1000g - 242</t>
  </si>
  <si>
    <t>SKU0243</t>
  </si>
  <si>
    <t>QuickBite Ready-to-Cook 500g</t>
  </si>
  <si>
    <t>SKU0244</t>
  </si>
  <si>
    <t>QuickBite Noodles 60g</t>
  </si>
  <si>
    <t>SKU0245</t>
  </si>
  <si>
    <t>PakFresh Sauces 250g - 245</t>
  </si>
  <si>
    <t>SKU0246</t>
  </si>
  <si>
    <t>DailyMeal Ready-to-Cook 1000g</t>
  </si>
  <si>
    <t>SKU0247</t>
  </si>
  <si>
    <t>DailyMeal Pasta 1000g - 247</t>
  </si>
  <si>
    <t>SKU0248</t>
  </si>
  <si>
    <t>DailyMeal Sauces 250g</t>
  </si>
  <si>
    <t>SKU0249</t>
  </si>
  <si>
    <t>PakFresh Spices 100g - 249</t>
  </si>
  <si>
    <t>SKU0250</t>
  </si>
  <si>
    <t>DailyMeal Spices 25g</t>
  </si>
  <si>
    <t>SKU0251</t>
  </si>
  <si>
    <t>QuickBite Spices 25g</t>
  </si>
  <si>
    <t>SKU0252</t>
  </si>
  <si>
    <t>KitchenPro Spices 25g - 252</t>
  </si>
  <si>
    <t>SKU0253</t>
  </si>
  <si>
    <t>QuickBite Ready-to-Cook 1000g</t>
  </si>
  <si>
    <t>SKU0254</t>
  </si>
  <si>
    <t>PakFresh Ready-to-Cook 1000g - 254</t>
  </si>
  <si>
    <t>SKU0255</t>
  </si>
  <si>
    <t>KitchenPro Sauces 250g</t>
  </si>
  <si>
    <t>SKU0256</t>
  </si>
  <si>
    <t>PakFresh Pasta 500g - 256</t>
  </si>
  <si>
    <t>SKU0257</t>
  </si>
  <si>
    <t>KitchenPro Sauces 250g - 257</t>
  </si>
  <si>
    <t>SKU0258</t>
  </si>
  <si>
    <t>KitchenPro Spices 50g</t>
  </si>
  <si>
    <t>SKU0259</t>
  </si>
  <si>
    <t>KitchenPro Noodles 60g</t>
  </si>
  <si>
    <t>SKU0260</t>
  </si>
  <si>
    <t>KitchenPro Sauces 500g</t>
  </si>
  <si>
    <t>SKU0261</t>
  </si>
  <si>
    <t>QuickBite Spices 25g - 261</t>
  </si>
  <si>
    <t>SKU0262</t>
  </si>
  <si>
    <t>QuickBite Ready-to-Cook 250g</t>
  </si>
  <si>
    <t>SKU0263</t>
  </si>
  <si>
    <t>KitchenPro Spices 100g - 263</t>
  </si>
  <si>
    <t>SKU0264</t>
  </si>
  <si>
    <t>QuickBite Ready-to-Cook 500g - 264</t>
  </si>
  <si>
    <t>SKU0265</t>
  </si>
  <si>
    <t>QuickBite Ready-to-Cook 250g - 265</t>
  </si>
  <si>
    <t>SKU0266</t>
  </si>
  <si>
    <t>PakFresh Noodles 480g</t>
  </si>
  <si>
    <t>SKU0267</t>
  </si>
  <si>
    <t>QuickBite Sauces 250g - 267</t>
  </si>
  <si>
    <t>SKU0268</t>
  </si>
  <si>
    <t>KitchenPro Noodles 480g - 268</t>
  </si>
  <si>
    <t>SKU0269</t>
  </si>
  <si>
    <t>PakFresh Skin Care 200g</t>
  </si>
  <si>
    <t>Personal Care</t>
  </si>
  <si>
    <t>Skin Care</t>
  </si>
  <si>
    <t>Unit</t>
  </si>
  <si>
    <t>SKU0270</t>
  </si>
  <si>
    <t>Glow Skin Care 400g</t>
  </si>
  <si>
    <t>Glow</t>
  </si>
  <si>
    <t>SKU0271</t>
  </si>
  <si>
    <t>Glow Shampoo 200g</t>
  </si>
  <si>
    <t>Shampoo</t>
  </si>
  <si>
    <t>SKU0272</t>
  </si>
  <si>
    <t>Glow Skin Care 50g</t>
  </si>
  <si>
    <t>SKU0273</t>
  </si>
  <si>
    <t>PakFresh Toothpaste 150g</t>
  </si>
  <si>
    <t>Toothpaste</t>
  </si>
  <si>
    <t>SKU0274</t>
  </si>
  <si>
    <t>PureCare Skin Care 100g</t>
  </si>
  <si>
    <t>PureCare</t>
  </si>
  <si>
    <t>SKU0275</t>
  </si>
  <si>
    <t>PureCare Soap 125g</t>
  </si>
  <si>
    <t>Soap</t>
  </si>
  <si>
    <t>SKU0276</t>
  </si>
  <si>
    <t>Glow Soap 100g</t>
  </si>
  <si>
    <t>SKU0277</t>
  </si>
  <si>
    <t>PureCare Soap 150g</t>
  </si>
  <si>
    <t>SKU0278</t>
  </si>
  <si>
    <t>Glow Shampoo 700g</t>
  </si>
  <si>
    <t>SKU0279</t>
  </si>
  <si>
    <t>CarePlus Soap 150g</t>
  </si>
  <si>
    <t>CarePlus</t>
  </si>
  <si>
    <t>SKU0280</t>
  </si>
  <si>
    <t>CarePlus Soap 100g</t>
  </si>
  <si>
    <t>SKU0281</t>
  </si>
  <si>
    <t>PakFresh Soap 100g</t>
  </si>
  <si>
    <t>SKU0282</t>
  </si>
  <si>
    <t>PureCare Skin Care 400g</t>
  </si>
  <si>
    <t>SKU0283</t>
  </si>
  <si>
    <t>PakFresh Shampoo 400g</t>
  </si>
  <si>
    <t>SKU0284</t>
  </si>
  <si>
    <t>CarePlus Skin Care 200g</t>
  </si>
  <si>
    <t>SKU0285</t>
  </si>
  <si>
    <t>PakFresh Skin Care 50g</t>
  </si>
  <si>
    <t>SKU0286</t>
  </si>
  <si>
    <t>CarePlus Shampoo 400g</t>
  </si>
  <si>
    <t>SKU0287</t>
  </si>
  <si>
    <t>Glow Toothpaste 50g</t>
  </si>
  <si>
    <t>SKU0288</t>
  </si>
  <si>
    <t>PureCare Soap 100g</t>
  </si>
  <si>
    <t>SKU0289</t>
  </si>
  <si>
    <t>CarePlus Shampoo 400g - 289</t>
  </si>
  <si>
    <t>SKU0290</t>
  </si>
  <si>
    <t>PakFresh Shampoo 100g</t>
  </si>
  <si>
    <t>SKU0291</t>
  </si>
  <si>
    <t>PureCare Skin Care 50g</t>
  </si>
  <si>
    <t>SKU0292</t>
  </si>
  <si>
    <t>PakFresh Shampoo 700g</t>
  </si>
  <si>
    <t>SKU0293</t>
  </si>
  <si>
    <t>Glow Skin Care 200g</t>
  </si>
  <si>
    <t>SKU0294</t>
  </si>
  <si>
    <t>Glow Skin Care 50g - 294</t>
  </si>
  <si>
    <t>SKU0295</t>
  </si>
  <si>
    <t>Glow Soap 100g - 295</t>
  </si>
  <si>
    <t>SKU0296</t>
  </si>
  <si>
    <t>CarePlus Soap 150g - 296</t>
  </si>
  <si>
    <t>SKU0297</t>
  </si>
  <si>
    <t>CarePlus Skin Care 50g</t>
  </si>
  <si>
    <t>SKU0298</t>
  </si>
  <si>
    <t>CarePlus Toothpaste 50g</t>
  </si>
  <si>
    <t>SKU0299</t>
  </si>
  <si>
    <t>CarePlus Toothpaste 100g</t>
  </si>
  <si>
    <t>SKU0300</t>
  </si>
  <si>
    <t>PakFresh Toothpaste 50g</t>
  </si>
  <si>
    <t>SKU0301</t>
  </si>
  <si>
    <t>PakFresh Soap 100g - 301</t>
  </si>
  <si>
    <t>SKU0302</t>
  </si>
  <si>
    <t>PakFresh Shampoo 200g</t>
  </si>
  <si>
    <t>SKU0303</t>
  </si>
  <si>
    <t>CarePlus Soap 75g</t>
  </si>
  <si>
    <t>SKU0304</t>
  </si>
  <si>
    <t>PureCare Shampoo 400g</t>
  </si>
  <si>
    <t>SKU0305</t>
  </si>
  <si>
    <t>PakFresh Soap 125g</t>
  </si>
  <si>
    <t>SKU0306</t>
  </si>
  <si>
    <t>PakFresh Soap 150g</t>
  </si>
  <si>
    <t>SKU0307</t>
  </si>
  <si>
    <t>Glow Skin Care 50g - 307</t>
  </si>
  <si>
    <t>SKU0308</t>
  </si>
  <si>
    <t>PakFresh Toothpaste 50g - 308</t>
  </si>
  <si>
    <t>SKU0309</t>
  </si>
  <si>
    <t>Glow Soap 125g</t>
  </si>
  <si>
    <t>SKU0310</t>
  </si>
  <si>
    <t>PakFresh Soap 75g</t>
  </si>
  <si>
    <t>SKU0311</t>
  </si>
  <si>
    <t>CarePlus Toothpaste 200g</t>
  </si>
  <si>
    <t>SKU0312</t>
  </si>
  <si>
    <t>CarePlus Toothpaste 100g - 312</t>
  </si>
  <si>
    <t>SKU0313</t>
  </si>
  <si>
    <t>CarePlus Toothpaste 200g - 313</t>
  </si>
  <si>
    <t>SKU0314</t>
  </si>
  <si>
    <t>PakFresh Soap 125g - 314</t>
  </si>
  <si>
    <t>SKU0315</t>
  </si>
  <si>
    <t>PureCare Toothpaste 100g</t>
  </si>
  <si>
    <t>SKU0316</t>
  </si>
  <si>
    <t>Glow Skin Care 400g - 316</t>
  </si>
  <si>
    <t>SKU0317</t>
  </si>
  <si>
    <t>PakFresh Shampoo 200g - 317</t>
  </si>
  <si>
    <t>SKU0318</t>
  </si>
  <si>
    <t>PakFresh Skin Care 50g - 318</t>
  </si>
  <si>
    <t>SKU0319</t>
  </si>
  <si>
    <t>PureCare Shampoo 700g</t>
  </si>
  <si>
    <t>SKU0320</t>
  </si>
  <si>
    <t>PureCare Shampoo 200g</t>
  </si>
  <si>
    <t>SKU0321</t>
  </si>
  <si>
    <t>CarePlus Skin Care 400g</t>
  </si>
  <si>
    <t>SKU0322</t>
  </si>
  <si>
    <t>Glow Skin Care 50g - 322</t>
  </si>
  <si>
    <t>SKU0323</t>
  </si>
  <si>
    <t>PakFresh Shampoo 700g - 323</t>
  </si>
  <si>
    <t>SKU0324</t>
  </si>
  <si>
    <t>PakFresh Toothpaste 200g</t>
  </si>
  <si>
    <t>SKU0325</t>
  </si>
  <si>
    <t>PureCare Toothpaste 150g</t>
  </si>
  <si>
    <t>SKU0326</t>
  </si>
  <si>
    <t>Glow Toothpaste 150g</t>
  </si>
  <si>
    <t>SKU0327</t>
  </si>
  <si>
    <t>PakFresh Toothpaste 200g - 327</t>
  </si>
  <si>
    <t>SKU0328</t>
  </si>
  <si>
    <t>PakFresh Soap 100g - 328</t>
  </si>
  <si>
    <t>SKU0329</t>
  </si>
  <si>
    <t>CarePlus Toothpaste 100g - 329</t>
  </si>
  <si>
    <t>SKU0330</t>
  </si>
  <si>
    <t>Glow Skin Care 100g</t>
  </si>
  <si>
    <t>SKU0331</t>
  </si>
  <si>
    <t>Glow Toothpaste 100g</t>
  </si>
  <si>
    <t>SKU0332</t>
  </si>
  <si>
    <t>PakFresh Skin Care 200g - 332</t>
  </si>
  <si>
    <t>SKU0333</t>
  </si>
  <si>
    <t>PureCare Toothpaste 50g</t>
  </si>
  <si>
    <t>SKU0334</t>
  </si>
  <si>
    <t>PakFresh Toothpaste 150g - 334</t>
  </si>
  <si>
    <t>SKU0335</t>
  </si>
  <si>
    <t>PakFresh Dishwashing 500g</t>
  </si>
  <si>
    <t>Home Care</t>
  </si>
  <si>
    <t>Dishwashing</t>
  </si>
  <si>
    <t>SKU0336</t>
  </si>
  <si>
    <t>CleanPro Surface Cleaning 500g</t>
  </si>
  <si>
    <t>CleanPro</t>
  </si>
  <si>
    <t>Surface Cleaning</t>
  </si>
  <si>
    <t>SKU0337</t>
  </si>
  <si>
    <t>Spark Dishwashing 1000g</t>
  </si>
  <si>
    <t>Spark</t>
  </si>
  <si>
    <t>SKU0338</t>
  </si>
  <si>
    <t>Spark Laundry 2000g</t>
  </si>
  <si>
    <t>Laundry</t>
  </si>
  <si>
    <t>SKU0339</t>
  </si>
  <si>
    <t>FreshHome Laundry 2000g</t>
  </si>
  <si>
    <t>FreshHome</t>
  </si>
  <si>
    <t>SKU0340</t>
  </si>
  <si>
    <t>Spark Laundry 1000g</t>
  </si>
  <si>
    <t>SKU0341</t>
  </si>
  <si>
    <t>FreshHome Surface Cleaning 500g</t>
  </si>
  <si>
    <t>SKU0342</t>
  </si>
  <si>
    <t>PakFresh Laundry 1000g</t>
  </si>
  <si>
    <t>SKU0343</t>
  </si>
  <si>
    <t>CleanPro Air Care 100g</t>
  </si>
  <si>
    <t>Air Care</t>
  </si>
  <si>
    <t>SKU0344</t>
  </si>
  <si>
    <t>PakFresh Laundry 500g</t>
  </si>
  <si>
    <t>SKU0345</t>
  </si>
  <si>
    <t>CleanPro Dishwashing 1000g</t>
  </si>
  <si>
    <t>SKU0346</t>
  </si>
  <si>
    <t>CleanPro Air Care 300g</t>
  </si>
  <si>
    <t>SKU0347</t>
  </si>
  <si>
    <t>FreshHome Laundry 500g</t>
  </si>
  <si>
    <t>SKU0348</t>
  </si>
  <si>
    <t>CleanPro Laundry 5000g</t>
  </si>
  <si>
    <t>SKU0349</t>
  </si>
  <si>
    <t>PakFresh Dishwashing 2000g</t>
  </si>
  <si>
    <t>SKU0350</t>
  </si>
  <si>
    <t>CleanPro Surface Cleaning 500g - 350</t>
  </si>
  <si>
    <t>SKU0351</t>
  </si>
  <si>
    <t>CleanPro Air Care 200g</t>
  </si>
  <si>
    <t>SKU0352</t>
  </si>
  <si>
    <t>Spark Dishwashing 500g</t>
  </si>
  <si>
    <t>SKU0353</t>
  </si>
  <si>
    <t>FreshHome Laundry 500g - 353</t>
  </si>
  <si>
    <t>SKU0354</t>
  </si>
  <si>
    <t>CleanPro Surface Cleaning 250g</t>
  </si>
  <si>
    <t>SKU0355</t>
  </si>
  <si>
    <t>FreshHome Air Care 200g</t>
  </si>
  <si>
    <t>SKU0356</t>
  </si>
  <si>
    <t>FreshHome Laundry 5000g</t>
  </si>
  <si>
    <t>SKU0357</t>
  </si>
  <si>
    <t>Spark Air Care 300g</t>
  </si>
  <si>
    <t>SKU0358</t>
  </si>
  <si>
    <t>FreshHome Air Care 200g - 358</t>
  </si>
  <si>
    <t>SKU0359</t>
  </si>
  <si>
    <t>CleanPro Air Care 200g - 359</t>
  </si>
  <si>
    <t>SKU0360</t>
  </si>
  <si>
    <t>FreshHome Surface Cleaning 500g - 360</t>
  </si>
  <si>
    <t>SKU0361</t>
  </si>
  <si>
    <t>PakFresh Surface Cleaning 500g</t>
  </si>
  <si>
    <t>SKU0362</t>
  </si>
  <si>
    <t>FreshHome Laundry 2000g - 362</t>
  </si>
  <si>
    <t>SKU0363</t>
  </si>
  <si>
    <t>Spark Dishwashing 2000g</t>
  </si>
  <si>
    <t>SKU0364</t>
  </si>
  <si>
    <t>CleanPro Laundry 1000g</t>
  </si>
  <si>
    <t>SKU0365</t>
  </si>
  <si>
    <t>CleanPro Air Care 300g - 365</t>
  </si>
  <si>
    <t>SKU0366</t>
  </si>
  <si>
    <t>CleanPro Dishwashing 500g</t>
  </si>
  <si>
    <t>SKU0367</t>
  </si>
  <si>
    <t>PakFresh Air Care 200g</t>
  </si>
  <si>
    <t>SKU0368</t>
  </si>
  <si>
    <t>PakFresh Surface Cleaning 250g</t>
  </si>
  <si>
    <t>SKU0369</t>
  </si>
  <si>
    <t>CleanPro Dishwashing 1000g - 369</t>
  </si>
  <si>
    <t>SKU0370</t>
  </si>
  <si>
    <t>CleanPro Surface Cleaning 500g - 370</t>
  </si>
  <si>
    <t>SKU0371</t>
  </si>
  <si>
    <t>Spark Surface Cleaning 250g</t>
  </si>
  <si>
    <t>SKU0372</t>
  </si>
  <si>
    <t>Spark Air Care 200g</t>
  </si>
  <si>
    <t>SKU0373</t>
  </si>
  <si>
    <t>PakFresh Air Care 200g - 373</t>
  </si>
  <si>
    <t>SKU0374</t>
  </si>
  <si>
    <t>FreshHome Laundry 5000g - 374</t>
  </si>
  <si>
    <t>SKU0375</t>
  </si>
  <si>
    <t>PakFresh Surface Cleaning 250g - 375</t>
  </si>
  <si>
    <t>SKU0376</t>
  </si>
  <si>
    <t>CleanPro Laundry 5000g - 376</t>
  </si>
  <si>
    <t>SKU0377</t>
  </si>
  <si>
    <t>Spark Air Care 500g</t>
  </si>
  <si>
    <t>SKU0378</t>
  </si>
  <si>
    <t>FreshHome Surface Cleaning 1000g</t>
  </si>
  <si>
    <t>SKU0379</t>
  </si>
  <si>
    <t>PakFresh Dishwashing 250g</t>
  </si>
  <si>
    <t>SKU0380</t>
  </si>
  <si>
    <t>PakFresh Surface Cleaning 250g - 380</t>
  </si>
  <si>
    <t>SKU0381</t>
  </si>
  <si>
    <t>Spark Laundry 1000g - 381</t>
  </si>
  <si>
    <t>SKU0382</t>
  </si>
  <si>
    <t>FreshHome Air Care 300g</t>
  </si>
  <si>
    <t>SKU0383</t>
  </si>
  <si>
    <t>FreshHome Surface Cleaning 250g</t>
  </si>
  <si>
    <t>SKU0384</t>
  </si>
  <si>
    <t>PakFresh Air Care 100g</t>
  </si>
  <si>
    <t>SKU0385</t>
  </si>
  <si>
    <t>CleanPro Air Care 200g - 385</t>
  </si>
  <si>
    <t>SKU0386</t>
  </si>
  <si>
    <t>Spark Laundry 500g</t>
  </si>
  <si>
    <t>SKU0387</t>
  </si>
  <si>
    <t>FreshHome Surface Cleaning 500g - 387</t>
  </si>
  <si>
    <t>SKU0388</t>
  </si>
  <si>
    <t>Spark Surface Cleaning 250g - 388</t>
  </si>
  <si>
    <t>SKU0389</t>
  </si>
  <si>
    <t>Spark Air Care 200g - 389</t>
  </si>
  <si>
    <t>SKU0390</t>
  </si>
  <si>
    <t>FreshHome Dishwashing 250g</t>
  </si>
  <si>
    <t>SKU0391</t>
  </si>
  <si>
    <t>FreshHome Dishwashing 500g</t>
  </si>
  <si>
    <t>SKU0392</t>
  </si>
  <si>
    <t>PakFresh Air Care 100g - 392</t>
  </si>
  <si>
    <t>SKU0393</t>
  </si>
  <si>
    <t>PakFresh Laundry 500g - 393</t>
  </si>
  <si>
    <t>SKU0394</t>
  </si>
  <si>
    <t>PakFresh Surface Cleaning 1000g</t>
  </si>
  <si>
    <t>SKU0395</t>
  </si>
  <si>
    <t>FreshHome Air Care 200g - 395</t>
  </si>
  <si>
    <t>SKU0396</t>
  </si>
  <si>
    <t>FreshHome Air Care 100g</t>
  </si>
  <si>
    <t>SKU0397</t>
  </si>
  <si>
    <t>Spark Air Care 100g</t>
  </si>
  <si>
    <t>SKU0398</t>
  </si>
  <si>
    <t>PakFresh Laundry 5000g</t>
  </si>
  <si>
    <t>SKU0399</t>
  </si>
  <si>
    <t>Spark Air Care 300g - 399</t>
  </si>
  <si>
    <t>SKU0400</t>
  </si>
  <si>
    <t>PakFresh Dishwashing 250g - 400</t>
  </si>
  <si>
    <t>Parameter</t>
  </si>
  <si>
    <t>Value</t>
  </si>
  <si>
    <t>Purpose / Rule</t>
  </si>
  <si>
    <t>Company</t>
  </si>
  <si>
    <t>PakFresh Consumer Products Ltd.</t>
  </si>
  <si>
    <t>Fictional Pakistani FMCG manufacturer/distributor</t>
  </si>
  <si>
    <t>Data status</t>
  </si>
  <si>
    <t>Synthetic</t>
  </si>
  <si>
    <t>Never present as real company data</t>
  </si>
  <si>
    <t>Three years</t>
  </si>
  <si>
    <t>SKUs</t>
  </si>
  <si>
    <t>Product master</t>
  </si>
  <si>
    <t>Suppliers</t>
  </si>
  <si>
    <t>Supplier master</t>
  </si>
  <si>
    <t>Customers</t>
  </si>
  <si>
    <t>Customer master</t>
  </si>
  <si>
    <t>Warehouses</t>
  </si>
  <si>
    <t>Karachi, Lahore, Islamabad/Rawalpindi, Peshawar</t>
  </si>
  <si>
    <t>Channels</t>
  </si>
  <si>
    <t>Modern Trade, General Trade, Wholesale, E-commerce</t>
  </si>
  <si>
    <t>Fast SKUs</t>
  </si>
  <si>
    <t>15%</t>
  </si>
  <si>
    <t>High velocity</t>
  </si>
  <si>
    <t>Medium SKUs</t>
  </si>
  <si>
    <t>35%</t>
  </si>
  <si>
    <t>Moderate velocity</t>
  </si>
  <si>
    <t>Slow SKUs</t>
  </si>
  <si>
    <t>Low velocity</t>
  </si>
  <si>
    <t>Very Slow SKUs</t>
  </si>
  <si>
    <t>Long tail</t>
  </si>
  <si>
    <t>Potential Demand</t>
  </si>
  <si>
    <t>Base × seasonality × channel × region × promotion × trend × randomness</t>
  </si>
  <si>
    <t>Customer need before inventory constraint</t>
  </si>
  <si>
    <t>Actual Sales</t>
  </si>
  <si>
    <t>min(Potential Demand, Available Inventory)</t>
  </si>
  <si>
    <t>Cannot exceed available inventory</t>
  </si>
  <si>
    <t>Lost Sales</t>
  </si>
  <si>
    <t>Potential Demand - Actual Sales</t>
  </si>
  <si>
    <t>Unfulfilled demand</t>
  </si>
  <si>
    <t>Inventory Reconciliation</t>
  </si>
  <si>
    <t>Opening + Receipts - Sales + Adjustments - Transfers Out + Transfers In = Closing</t>
  </si>
  <si>
    <t>No random closing stock</t>
  </si>
  <si>
    <t>Stockout Rate</t>
  </si>
  <si>
    <t>Stockout SKU-days / active SKU-days</t>
  </si>
  <si>
    <t>Portfolio definition</t>
  </si>
  <si>
    <t>Fill Rate</t>
  </si>
  <si>
    <t>Units fulfilled / Units ordered</t>
  </si>
  <si>
    <t>Service KPI</t>
  </si>
  <si>
    <t>Inventory Turnover</t>
  </si>
  <si>
    <t>COGS / Average Inventory Value</t>
  </si>
  <si>
    <t>Annualized as appropriate</t>
  </si>
  <si>
    <t>DIO</t>
  </si>
  <si>
    <t>Average Inventory / COGS × 365</t>
  </si>
  <si>
    <t>Inventory holding KPI</t>
  </si>
  <si>
    <t>ROP</t>
  </si>
  <si>
    <t>Average Daily Demand × Lead Time + Safety Stock</t>
  </si>
  <si>
    <t>Replenishment trigger</t>
  </si>
  <si>
    <t>EOQ</t>
  </si>
  <si>
    <t>sqrt(2DS/H)</t>
  </si>
  <si>
    <t>Economic order quantity</t>
  </si>
  <si>
    <t>Supplier OTIF</t>
  </si>
  <si>
    <t>On-time AND in-full POs / total POs</t>
  </si>
  <si>
    <t>Derived from PO facts</t>
  </si>
  <si>
    <t>Forecast Accuracy</t>
  </si>
  <si>
    <t>MAPE / MAE / RMSE / WAPE + Bias</t>
  </si>
  <si>
    <t>Derived from forecast facts</t>
  </si>
  <si>
    <t>Promotions</t>
  </si>
  <si>
    <t>3,000–5,000 planned</t>
  </si>
  <si>
    <t>Discount, BOGO, bundle, trade, seasonal</t>
  </si>
  <si>
    <t>Expiry</t>
  </si>
  <si>
    <t>Batch-level tracking planned</t>
  </si>
  <si>
    <t>Needed for near-expiry/expired analysis</t>
  </si>
  <si>
    <t>ABC / XYZ</t>
  </si>
  <si>
    <t>Calculated later</t>
  </si>
  <si>
    <t>Not stored in master; derived analytically</t>
  </si>
  <si>
    <t>Check</t>
  </si>
  <si>
    <t>Result</t>
  </si>
  <si>
    <t>Expected</t>
  </si>
  <si>
    <t>DimProduct row count</t>
  </si>
  <si>
    <t>DimSupplier row count</t>
  </si>
  <si>
    <t>DimCustomer row count</t>
  </si>
  <si>
    <t>DimWarehouse row count</t>
  </si>
  <si>
    <t>DimChannel row count</t>
  </si>
  <si>
    <t>DimDate row count</t>
  </si>
  <si>
    <t>Unique SKU IDs</t>
  </si>
  <si>
    <t>Unique Supplier IDs</t>
  </si>
  <si>
    <t>Unique Customer IDs</t>
  </si>
  <si>
    <t>Product supplier orphans</t>
  </si>
  <si>
    <t>Products where price &lt;= cost</t>
  </si>
  <si>
    <t>Negative costs</t>
  </si>
  <si>
    <t>DateKey</t>
  </si>
  <si>
    <t>MonthKey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</si>
</sst>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9" formatCode="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4" fontId="0" fillId="0" borderId="0" xfId="0" applyNumberFormat="1"/>
    <xf numFmtId="14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95" customWidth="1"/>
  </cols>
  <sheetData>
    <row r="1" spans="1:2" x14ac:dyDescent="0.3">
      <c r="A1" s="1" t="s">
        <v>0</v>
      </c>
      <c r="B1" s="1"/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</sheetData>
  <autoFilter ref="A1:B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62"/>
  <sheetViews>
    <sheetView workbookViewId="0">
      <pane ySplit="1" topLeftCell="A2" activePane="bottomLeft" state="frozen"/>
      <selection pane="bottomLeft" activeCell="K14" sqref="K14"/>
    </sheetView>
  </sheetViews>
  <sheetFormatPr defaultRowHeight="14.4" x14ac:dyDescent="0.3"/>
  <cols>
    <col min="1" max="10" width="12" customWidth="1"/>
  </cols>
  <sheetData>
    <row r="1" spans="1:11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2677</v>
      </c>
    </row>
    <row r="2" spans="1:11" x14ac:dyDescent="0.3">
      <c r="A2" s="4">
        <f>DATE(2024,1,1)</f>
        <v>45292</v>
      </c>
      <c r="B2">
        <f>YEAR(A2)</f>
        <v>2024</v>
      </c>
      <c r="C2">
        <f>MONTH(A2)</f>
        <v>1</v>
      </c>
      <c r="D2" t="str">
        <f>TEXT(A2,"mmmm")</f>
        <v>January</v>
      </c>
      <c r="E2">
        <f>WEEKNUM(A2)</f>
        <v>1</v>
      </c>
      <c r="F2">
        <f>DAY(A2)</f>
        <v>1</v>
      </c>
      <c r="G2" t="str">
        <f>TEXT((A2),"dddd")</f>
        <v>Monday</v>
      </c>
      <c r="H2" t="b">
        <f>IF(OR(G2="Saturday",G2="Sunday"),TRUE,FALSE)</f>
        <v>0</v>
      </c>
      <c r="I2">
        <f>A2-A2+1</f>
        <v>1</v>
      </c>
      <c r="J2" t="s">
        <v>22</v>
      </c>
      <c r="K2">
        <v>20240101</v>
      </c>
    </row>
    <row r="3" spans="1:11" x14ac:dyDescent="0.3">
      <c r="A3" s="4">
        <v>45293</v>
      </c>
      <c r="B3">
        <f t="shared" ref="B3:B66" si="0">YEAR(A3)</f>
        <v>2024</v>
      </c>
      <c r="C3">
        <f t="shared" ref="C3:C66" si="1">MONTH(A3)</f>
        <v>1</v>
      </c>
      <c r="D3" t="str">
        <f t="shared" ref="D3:D66" si="2">TEXT(A3,"mmmm")</f>
        <v>January</v>
      </c>
      <c r="E3">
        <f t="shared" ref="E3:E66" si="3">WEEKNUM(A3)</f>
        <v>1</v>
      </c>
      <c r="F3">
        <f t="shared" ref="F3:F66" si="4">DAY(A3)</f>
        <v>2</v>
      </c>
      <c r="G3" t="str">
        <f t="shared" ref="G3:G66" si="5">TEXT((A3),"dddd")</f>
        <v>Tuesday</v>
      </c>
      <c r="H3" t="b">
        <f t="shared" ref="H3:H66" si="6">IF(OR(G3="Saturday",G3="Sunday"),TRUE,FALSE)</f>
        <v>0</v>
      </c>
      <c r="I3">
        <f t="shared" ref="I3:I66" si="7">A3-DATE(YEAR(A3),1,1)+1</f>
        <v>2</v>
      </c>
      <c r="J3" t="s">
        <v>22</v>
      </c>
      <c r="K3">
        <v>20240102</v>
      </c>
    </row>
    <row r="4" spans="1:11" x14ac:dyDescent="0.3">
      <c r="A4" s="4">
        <v>45294</v>
      </c>
      <c r="B4">
        <f t="shared" si="0"/>
        <v>2024</v>
      </c>
      <c r="C4">
        <f t="shared" si="1"/>
        <v>1</v>
      </c>
      <c r="D4" t="str">
        <f t="shared" si="2"/>
        <v>January</v>
      </c>
      <c r="E4">
        <f t="shared" si="3"/>
        <v>1</v>
      </c>
      <c r="F4">
        <f t="shared" si="4"/>
        <v>3</v>
      </c>
      <c r="G4" t="str">
        <f t="shared" si="5"/>
        <v>Wednesday</v>
      </c>
      <c r="H4" t="b">
        <f t="shared" si="6"/>
        <v>0</v>
      </c>
      <c r="I4">
        <f t="shared" si="7"/>
        <v>3</v>
      </c>
      <c r="J4" t="s">
        <v>22</v>
      </c>
      <c r="K4">
        <v>20240103</v>
      </c>
    </row>
    <row r="5" spans="1:11" x14ac:dyDescent="0.3">
      <c r="A5" s="4">
        <v>45295</v>
      </c>
      <c r="B5">
        <f t="shared" si="0"/>
        <v>2024</v>
      </c>
      <c r="C5">
        <f t="shared" si="1"/>
        <v>1</v>
      </c>
      <c r="D5" t="str">
        <f t="shared" si="2"/>
        <v>January</v>
      </c>
      <c r="E5">
        <f t="shared" si="3"/>
        <v>1</v>
      </c>
      <c r="F5">
        <f t="shared" si="4"/>
        <v>4</v>
      </c>
      <c r="G5" t="str">
        <f t="shared" si="5"/>
        <v>Thursday</v>
      </c>
      <c r="H5" t="b">
        <f t="shared" si="6"/>
        <v>0</v>
      </c>
      <c r="I5">
        <f t="shared" si="7"/>
        <v>4</v>
      </c>
      <c r="J5" t="s">
        <v>22</v>
      </c>
      <c r="K5">
        <v>20240104</v>
      </c>
    </row>
    <row r="6" spans="1:11" x14ac:dyDescent="0.3">
      <c r="A6" s="4">
        <v>45296</v>
      </c>
      <c r="B6">
        <f t="shared" si="0"/>
        <v>2024</v>
      </c>
      <c r="C6">
        <f t="shared" si="1"/>
        <v>1</v>
      </c>
      <c r="D6" t="str">
        <f t="shared" si="2"/>
        <v>January</v>
      </c>
      <c r="E6">
        <f t="shared" si="3"/>
        <v>1</v>
      </c>
      <c r="F6">
        <f t="shared" si="4"/>
        <v>5</v>
      </c>
      <c r="G6" t="str">
        <f t="shared" si="5"/>
        <v>Friday</v>
      </c>
      <c r="H6" t="b">
        <f t="shared" si="6"/>
        <v>0</v>
      </c>
      <c r="I6">
        <f t="shared" si="7"/>
        <v>5</v>
      </c>
      <c r="J6" t="s">
        <v>22</v>
      </c>
      <c r="K6">
        <v>20240105</v>
      </c>
    </row>
    <row r="7" spans="1:11" x14ac:dyDescent="0.3">
      <c r="A7" s="4">
        <v>45297</v>
      </c>
      <c r="B7">
        <f t="shared" si="0"/>
        <v>2024</v>
      </c>
      <c r="C7">
        <f t="shared" si="1"/>
        <v>1</v>
      </c>
      <c r="D7" t="str">
        <f t="shared" si="2"/>
        <v>January</v>
      </c>
      <c r="E7">
        <f t="shared" si="3"/>
        <v>1</v>
      </c>
      <c r="F7">
        <f t="shared" si="4"/>
        <v>6</v>
      </c>
      <c r="G7" t="str">
        <f t="shared" si="5"/>
        <v>Saturday</v>
      </c>
      <c r="H7" t="b">
        <f t="shared" si="6"/>
        <v>1</v>
      </c>
      <c r="I7">
        <f t="shared" si="7"/>
        <v>6</v>
      </c>
      <c r="J7" t="s">
        <v>22</v>
      </c>
      <c r="K7">
        <v>20240106</v>
      </c>
    </row>
    <row r="8" spans="1:11" x14ac:dyDescent="0.3">
      <c r="A8" s="4">
        <v>45298</v>
      </c>
      <c r="B8">
        <f t="shared" si="0"/>
        <v>2024</v>
      </c>
      <c r="C8">
        <f t="shared" si="1"/>
        <v>1</v>
      </c>
      <c r="D8" t="str">
        <f t="shared" si="2"/>
        <v>January</v>
      </c>
      <c r="E8">
        <f t="shared" si="3"/>
        <v>2</v>
      </c>
      <c r="F8">
        <f t="shared" si="4"/>
        <v>7</v>
      </c>
      <c r="G8" t="str">
        <f t="shared" si="5"/>
        <v>Sunday</v>
      </c>
      <c r="H8" t="b">
        <f t="shared" si="6"/>
        <v>1</v>
      </c>
      <c r="I8">
        <f t="shared" si="7"/>
        <v>7</v>
      </c>
      <c r="J8" t="s">
        <v>22</v>
      </c>
      <c r="K8">
        <v>20240107</v>
      </c>
    </row>
    <row r="9" spans="1:11" x14ac:dyDescent="0.3">
      <c r="A9" s="4">
        <v>45299</v>
      </c>
      <c r="B9">
        <f t="shared" si="0"/>
        <v>2024</v>
      </c>
      <c r="C9">
        <f t="shared" si="1"/>
        <v>1</v>
      </c>
      <c r="D9" t="str">
        <f t="shared" si="2"/>
        <v>January</v>
      </c>
      <c r="E9">
        <f t="shared" si="3"/>
        <v>2</v>
      </c>
      <c r="F9">
        <f t="shared" si="4"/>
        <v>8</v>
      </c>
      <c r="G9" t="str">
        <f t="shared" si="5"/>
        <v>Monday</v>
      </c>
      <c r="H9" t="b">
        <f t="shared" si="6"/>
        <v>0</v>
      </c>
      <c r="I9">
        <f t="shared" si="7"/>
        <v>8</v>
      </c>
      <c r="J9" t="s">
        <v>22</v>
      </c>
      <c r="K9">
        <v>20240108</v>
      </c>
    </row>
    <row r="10" spans="1:11" x14ac:dyDescent="0.3">
      <c r="A10" s="4">
        <v>45300</v>
      </c>
      <c r="B10">
        <f t="shared" si="0"/>
        <v>2024</v>
      </c>
      <c r="C10">
        <f t="shared" si="1"/>
        <v>1</v>
      </c>
      <c r="D10" t="str">
        <f t="shared" si="2"/>
        <v>January</v>
      </c>
      <c r="E10">
        <f t="shared" si="3"/>
        <v>2</v>
      </c>
      <c r="F10">
        <f t="shared" si="4"/>
        <v>9</v>
      </c>
      <c r="G10" t="str">
        <f t="shared" si="5"/>
        <v>Tuesday</v>
      </c>
      <c r="H10" t="b">
        <f t="shared" si="6"/>
        <v>0</v>
      </c>
      <c r="I10">
        <f t="shared" si="7"/>
        <v>9</v>
      </c>
      <c r="J10" t="s">
        <v>22</v>
      </c>
      <c r="K10">
        <v>20240109</v>
      </c>
    </row>
    <row r="11" spans="1:11" x14ac:dyDescent="0.3">
      <c r="A11" s="4">
        <v>45301</v>
      </c>
      <c r="B11">
        <f t="shared" si="0"/>
        <v>2024</v>
      </c>
      <c r="C11">
        <f t="shared" si="1"/>
        <v>1</v>
      </c>
      <c r="D11" t="str">
        <f t="shared" si="2"/>
        <v>January</v>
      </c>
      <c r="E11">
        <f t="shared" si="3"/>
        <v>2</v>
      </c>
      <c r="F11">
        <f t="shared" si="4"/>
        <v>10</v>
      </c>
      <c r="G11" t="str">
        <f t="shared" si="5"/>
        <v>Wednesday</v>
      </c>
      <c r="H11" t="b">
        <f t="shared" si="6"/>
        <v>0</v>
      </c>
      <c r="I11">
        <f t="shared" si="7"/>
        <v>10</v>
      </c>
      <c r="J11" t="s">
        <v>22</v>
      </c>
      <c r="K11">
        <v>20240110</v>
      </c>
    </row>
    <row r="12" spans="1:11" x14ac:dyDescent="0.3">
      <c r="A12" s="4">
        <v>45302</v>
      </c>
      <c r="B12">
        <f t="shared" si="0"/>
        <v>2024</v>
      </c>
      <c r="C12">
        <f t="shared" si="1"/>
        <v>1</v>
      </c>
      <c r="D12" t="str">
        <f t="shared" si="2"/>
        <v>January</v>
      </c>
      <c r="E12">
        <f t="shared" si="3"/>
        <v>2</v>
      </c>
      <c r="F12">
        <f t="shared" si="4"/>
        <v>11</v>
      </c>
      <c r="G12" t="str">
        <f t="shared" si="5"/>
        <v>Thursday</v>
      </c>
      <c r="H12" t="b">
        <f t="shared" si="6"/>
        <v>0</v>
      </c>
      <c r="I12">
        <f t="shared" si="7"/>
        <v>11</v>
      </c>
      <c r="J12" t="s">
        <v>22</v>
      </c>
      <c r="K12">
        <v>20240111</v>
      </c>
    </row>
    <row r="13" spans="1:11" x14ac:dyDescent="0.3">
      <c r="A13" s="4">
        <v>45303</v>
      </c>
      <c r="B13">
        <f t="shared" si="0"/>
        <v>2024</v>
      </c>
      <c r="C13">
        <f t="shared" si="1"/>
        <v>1</v>
      </c>
      <c r="D13" t="str">
        <f t="shared" si="2"/>
        <v>January</v>
      </c>
      <c r="E13">
        <f t="shared" si="3"/>
        <v>2</v>
      </c>
      <c r="F13">
        <f t="shared" si="4"/>
        <v>12</v>
      </c>
      <c r="G13" t="str">
        <f t="shared" si="5"/>
        <v>Friday</v>
      </c>
      <c r="H13" t="b">
        <f t="shared" si="6"/>
        <v>0</v>
      </c>
      <c r="I13">
        <f t="shared" si="7"/>
        <v>12</v>
      </c>
      <c r="J13" t="s">
        <v>22</v>
      </c>
      <c r="K13">
        <v>20240112</v>
      </c>
    </row>
    <row r="14" spans="1:11" x14ac:dyDescent="0.3">
      <c r="A14" s="4">
        <v>45304</v>
      </c>
      <c r="B14">
        <f t="shared" si="0"/>
        <v>2024</v>
      </c>
      <c r="C14">
        <f t="shared" si="1"/>
        <v>1</v>
      </c>
      <c r="D14" t="str">
        <f t="shared" si="2"/>
        <v>January</v>
      </c>
      <c r="E14">
        <f t="shared" si="3"/>
        <v>2</v>
      </c>
      <c r="F14">
        <f t="shared" si="4"/>
        <v>13</v>
      </c>
      <c r="G14" t="str">
        <f t="shared" si="5"/>
        <v>Saturday</v>
      </c>
      <c r="H14" t="b">
        <f t="shared" si="6"/>
        <v>1</v>
      </c>
      <c r="I14">
        <f t="shared" si="7"/>
        <v>13</v>
      </c>
      <c r="J14" t="s">
        <v>22</v>
      </c>
      <c r="K14">
        <v>20240113</v>
      </c>
    </row>
    <row r="15" spans="1:11" x14ac:dyDescent="0.3">
      <c r="A15" s="4">
        <v>45305</v>
      </c>
      <c r="B15">
        <f t="shared" si="0"/>
        <v>2024</v>
      </c>
      <c r="C15">
        <f t="shared" si="1"/>
        <v>1</v>
      </c>
      <c r="D15" t="str">
        <f t="shared" si="2"/>
        <v>January</v>
      </c>
      <c r="E15">
        <f t="shared" si="3"/>
        <v>3</v>
      </c>
      <c r="F15">
        <f t="shared" si="4"/>
        <v>14</v>
      </c>
      <c r="G15" t="str">
        <f t="shared" si="5"/>
        <v>Sunday</v>
      </c>
      <c r="H15" t="b">
        <f t="shared" si="6"/>
        <v>1</v>
      </c>
      <c r="I15">
        <f t="shared" si="7"/>
        <v>14</v>
      </c>
      <c r="J15" t="s">
        <v>22</v>
      </c>
      <c r="K15">
        <v>20240114</v>
      </c>
    </row>
    <row r="16" spans="1:11" x14ac:dyDescent="0.3">
      <c r="A16" s="4">
        <v>45306</v>
      </c>
      <c r="B16">
        <f t="shared" si="0"/>
        <v>2024</v>
      </c>
      <c r="C16">
        <f t="shared" si="1"/>
        <v>1</v>
      </c>
      <c r="D16" t="str">
        <f t="shared" si="2"/>
        <v>January</v>
      </c>
      <c r="E16">
        <f t="shared" si="3"/>
        <v>3</v>
      </c>
      <c r="F16">
        <f t="shared" si="4"/>
        <v>15</v>
      </c>
      <c r="G16" t="str">
        <f t="shared" si="5"/>
        <v>Monday</v>
      </c>
      <c r="H16" t="b">
        <f t="shared" si="6"/>
        <v>0</v>
      </c>
      <c r="I16">
        <f t="shared" si="7"/>
        <v>15</v>
      </c>
      <c r="J16" t="s">
        <v>22</v>
      </c>
      <c r="K16">
        <v>20240115</v>
      </c>
    </row>
    <row r="17" spans="1:11" x14ac:dyDescent="0.3">
      <c r="A17" s="4">
        <v>45307</v>
      </c>
      <c r="B17">
        <f t="shared" si="0"/>
        <v>2024</v>
      </c>
      <c r="C17">
        <f t="shared" si="1"/>
        <v>1</v>
      </c>
      <c r="D17" t="str">
        <f t="shared" si="2"/>
        <v>January</v>
      </c>
      <c r="E17">
        <f t="shared" si="3"/>
        <v>3</v>
      </c>
      <c r="F17">
        <f t="shared" si="4"/>
        <v>16</v>
      </c>
      <c r="G17" t="str">
        <f t="shared" si="5"/>
        <v>Tuesday</v>
      </c>
      <c r="H17" t="b">
        <f t="shared" si="6"/>
        <v>0</v>
      </c>
      <c r="I17">
        <f t="shared" si="7"/>
        <v>16</v>
      </c>
      <c r="J17" t="s">
        <v>22</v>
      </c>
      <c r="K17">
        <v>20240116</v>
      </c>
    </row>
    <row r="18" spans="1:11" x14ac:dyDescent="0.3">
      <c r="A18" s="4">
        <v>45308</v>
      </c>
      <c r="B18">
        <f t="shared" si="0"/>
        <v>2024</v>
      </c>
      <c r="C18">
        <f t="shared" si="1"/>
        <v>1</v>
      </c>
      <c r="D18" t="str">
        <f t="shared" si="2"/>
        <v>January</v>
      </c>
      <c r="E18">
        <f t="shared" si="3"/>
        <v>3</v>
      </c>
      <c r="F18">
        <f t="shared" si="4"/>
        <v>17</v>
      </c>
      <c r="G18" t="str">
        <f t="shared" si="5"/>
        <v>Wednesday</v>
      </c>
      <c r="H18" t="b">
        <f t="shared" si="6"/>
        <v>0</v>
      </c>
      <c r="I18">
        <f t="shared" si="7"/>
        <v>17</v>
      </c>
      <c r="J18" t="s">
        <v>22</v>
      </c>
      <c r="K18">
        <v>20240117</v>
      </c>
    </row>
    <row r="19" spans="1:11" x14ac:dyDescent="0.3">
      <c r="A19" s="4">
        <v>45309</v>
      </c>
      <c r="B19">
        <f t="shared" si="0"/>
        <v>2024</v>
      </c>
      <c r="C19">
        <f t="shared" si="1"/>
        <v>1</v>
      </c>
      <c r="D19" t="str">
        <f t="shared" si="2"/>
        <v>January</v>
      </c>
      <c r="E19">
        <f t="shared" si="3"/>
        <v>3</v>
      </c>
      <c r="F19">
        <f t="shared" si="4"/>
        <v>18</v>
      </c>
      <c r="G19" t="str">
        <f t="shared" si="5"/>
        <v>Thursday</v>
      </c>
      <c r="H19" t="b">
        <f t="shared" si="6"/>
        <v>0</v>
      </c>
      <c r="I19">
        <f t="shared" si="7"/>
        <v>18</v>
      </c>
      <c r="J19" t="s">
        <v>22</v>
      </c>
      <c r="K19">
        <v>20240118</v>
      </c>
    </row>
    <row r="20" spans="1:11" x14ac:dyDescent="0.3">
      <c r="A20" s="4">
        <v>45310</v>
      </c>
      <c r="B20">
        <f t="shared" si="0"/>
        <v>2024</v>
      </c>
      <c r="C20">
        <f t="shared" si="1"/>
        <v>1</v>
      </c>
      <c r="D20" t="str">
        <f t="shared" si="2"/>
        <v>January</v>
      </c>
      <c r="E20">
        <f t="shared" si="3"/>
        <v>3</v>
      </c>
      <c r="F20">
        <f t="shared" si="4"/>
        <v>19</v>
      </c>
      <c r="G20" t="str">
        <f t="shared" si="5"/>
        <v>Friday</v>
      </c>
      <c r="H20" t="b">
        <f t="shared" si="6"/>
        <v>0</v>
      </c>
      <c r="I20">
        <f t="shared" si="7"/>
        <v>19</v>
      </c>
      <c r="J20" t="s">
        <v>22</v>
      </c>
      <c r="K20">
        <v>20240119</v>
      </c>
    </row>
    <row r="21" spans="1:11" x14ac:dyDescent="0.3">
      <c r="A21" s="4">
        <v>45311</v>
      </c>
      <c r="B21">
        <f t="shared" si="0"/>
        <v>2024</v>
      </c>
      <c r="C21">
        <f t="shared" si="1"/>
        <v>1</v>
      </c>
      <c r="D21" t="str">
        <f t="shared" si="2"/>
        <v>January</v>
      </c>
      <c r="E21">
        <f t="shared" si="3"/>
        <v>3</v>
      </c>
      <c r="F21">
        <f t="shared" si="4"/>
        <v>20</v>
      </c>
      <c r="G21" t="str">
        <f t="shared" si="5"/>
        <v>Saturday</v>
      </c>
      <c r="H21" t="b">
        <f t="shared" si="6"/>
        <v>1</v>
      </c>
      <c r="I21">
        <f t="shared" si="7"/>
        <v>20</v>
      </c>
      <c r="J21" t="s">
        <v>22</v>
      </c>
      <c r="K21">
        <v>20240120</v>
      </c>
    </row>
    <row r="22" spans="1:11" x14ac:dyDescent="0.3">
      <c r="A22" s="4">
        <v>45312</v>
      </c>
      <c r="B22">
        <f t="shared" si="0"/>
        <v>2024</v>
      </c>
      <c r="C22">
        <f t="shared" si="1"/>
        <v>1</v>
      </c>
      <c r="D22" t="str">
        <f t="shared" si="2"/>
        <v>January</v>
      </c>
      <c r="E22">
        <f t="shared" si="3"/>
        <v>4</v>
      </c>
      <c r="F22">
        <f t="shared" si="4"/>
        <v>21</v>
      </c>
      <c r="G22" t="str">
        <f t="shared" si="5"/>
        <v>Sunday</v>
      </c>
      <c r="H22" t="b">
        <f t="shared" si="6"/>
        <v>1</v>
      </c>
      <c r="I22">
        <f t="shared" si="7"/>
        <v>21</v>
      </c>
      <c r="J22" t="s">
        <v>22</v>
      </c>
      <c r="K22">
        <v>20240121</v>
      </c>
    </row>
    <row r="23" spans="1:11" x14ac:dyDescent="0.3">
      <c r="A23" s="4">
        <v>45313</v>
      </c>
      <c r="B23">
        <f t="shared" si="0"/>
        <v>2024</v>
      </c>
      <c r="C23">
        <f t="shared" si="1"/>
        <v>1</v>
      </c>
      <c r="D23" t="str">
        <f t="shared" si="2"/>
        <v>January</v>
      </c>
      <c r="E23">
        <f t="shared" si="3"/>
        <v>4</v>
      </c>
      <c r="F23">
        <f t="shared" si="4"/>
        <v>22</v>
      </c>
      <c r="G23" t="str">
        <f t="shared" si="5"/>
        <v>Monday</v>
      </c>
      <c r="H23" t="b">
        <f t="shared" si="6"/>
        <v>0</v>
      </c>
      <c r="I23">
        <f t="shared" si="7"/>
        <v>22</v>
      </c>
      <c r="J23" t="s">
        <v>22</v>
      </c>
      <c r="K23">
        <v>20240122</v>
      </c>
    </row>
    <row r="24" spans="1:11" x14ac:dyDescent="0.3">
      <c r="A24" s="4">
        <v>45314</v>
      </c>
      <c r="B24">
        <f t="shared" si="0"/>
        <v>2024</v>
      </c>
      <c r="C24">
        <f t="shared" si="1"/>
        <v>1</v>
      </c>
      <c r="D24" t="str">
        <f t="shared" si="2"/>
        <v>January</v>
      </c>
      <c r="E24">
        <f t="shared" si="3"/>
        <v>4</v>
      </c>
      <c r="F24">
        <f t="shared" si="4"/>
        <v>23</v>
      </c>
      <c r="G24" t="str">
        <f t="shared" si="5"/>
        <v>Tuesday</v>
      </c>
      <c r="H24" t="b">
        <f t="shared" si="6"/>
        <v>0</v>
      </c>
      <c r="I24">
        <f t="shared" si="7"/>
        <v>23</v>
      </c>
      <c r="J24" t="s">
        <v>22</v>
      </c>
      <c r="K24">
        <v>20240123</v>
      </c>
    </row>
    <row r="25" spans="1:11" x14ac:dyDescent="0.3">
      <c r="A25" s="4">
        <v>45315</v>
      </c>
      <c r="B25">
        <f t="shared" si="0"/>
        <v>2024</v>
      </c>
      <c r="C25">
        <f t="shared" si="1"/>
        <v>1</v>
      </c>
      <c r="D25" t="str">
        <f t="shared" si="2"/>
        <v>January</v>
      </c>
      <c r="E25">
        <f t="shared" si="3"/>
        <v>4</v>
      </c>
      <c r="F25">
        <f t="shared" si="4"/>
        <v>24</v>
      </c>
      <c r="G25" t="str">
        <f t="shared" si="5"/>
        <v>Wednesday</v>
      </c>
      <c r="H25" t="b">
        <f t="shared" si="6"/>
        <v>0</v>
      </c>
      <c r="I25">
        <f t="shared" si="7"/>
        <v>24</v>
      </c>
      <c r="J25" t="s">
        <v>22</v>
      </c>
      <c r="K25">
        <v>20240124</v>
      </c>
    </row>
    <row r="26" spans="1:11" x14ac:dyDescent="0.3">
      <c r="A26" s="4">
        <v>45316</v>
      </c>
      <c r="B26">
        <f t="shared" si="0"/>
        <v>2024</v>
      </c>
      <c r="C26">
        <f t="shared" si="1"/>
        <v>1</v>
      </c>
      <c r="D26" t="str">
        <f t="shared" si="2"/>
        <v>January</v>
      </c>
      <c r="E26">
        <f t="shared" si="3"/>
        <v>4</v>
      </c>
      <c r="F26">
        <f t="shared" si="4"/>
        <v>25</v>
      </c>
      <c r="G26" t="str">
        <f t="shared" si="5"/>
        <v>Thursday</v>
      </c>
      <c r="H26" t="b">
        <f t="shared" si="6"/>
        <v>0</v>
      </c>
      <c r="I26">
        <f t="shared" si="7"/>
        <v>25</v>
      </c>
      <c r="J26" t="s">
        <v>22</v>
      </c>
      <c r="K26">
        <v>20240125</v>
      </c>
    </row>
    <row r="27" spans="1:11" x14ac:dyDescent="0.3">
      <c r="A27" s="4">
        <v>45317</v>
      </c>
      <c r="B27">
        <f t="shared" si="0"/>
        <v>2024</v>
      </c>
      <c r="C27">
        <f t="shared" si="1"/>
        <v>1</v>
      </c>
      <c r="D27" t="str">
        <f t="shared" si="2"/>
        <v>January</v>
      </c>
      <c r="E27">
        <f t="shared" si="3"/>
        <v>4</v>
      </c>
      <c r="F27">
        <f t="shared" si="4"/>
        <v>26</v>
      </c>
      <c r="G27" t="str">
        <f t="shared" si="5"/>
        <v>Friday</v>
      </c>
      <c r="H27" t="b">
        <f t="shared" si="6"/>
        <v>0</v>
      </c>
      <c r="I27">
        <f t="shared" si="7"/>
        <v>26</v>
      </c>
      <c r="J27" t="s">
        <v>22</v>
      </c>
      <c r="K27">
        <v>20240126</v>
      </c>
    </row>
    <row r="28" spans="1:11" x14ac:dyDescent="0.3">
      <c r="A28" s="4">
        <v>45318</v>
      </c>
      <c r="B28">
        <f t="shared" si="0"/>
        <v>2024</v>
      </c>
      <c r="C28">
        <f t="shared" si="1"/>
        <v>1</v>
      </c>
      <c r="D28" t="str">
        <f t="shared" si="2"/>
        <v>January</v>
      </c>
      <c r="E28">
        <f t="shared" si="3"/>
        <v>4</v>
      </c>
      <c r="F28">
        <f t="shared" si="4"/>
        <v>27</v>
      </c>
      <c r="G28" t="str">
        <f t="shared" si="5"/>
        <v>Saturday</v>
      </c>
      <c r="H28" t="b">
        <f t="shared" si="6"/>
        <v>1</v>
      </c>
      <c r="I28">
        <f t="shared" si="7"/>
        <v>27</v>
      </c>
      <c r="J28" t="s">
        <v>22</v>
      </c>
      <c r="K28">
        <v>20240127</v>
      </c>
    </row>
    <row r="29" spans="1:11" x14ac:dyDescent="0.3">
      <c r="A29" s="4">
        <v>45319</v>
      </c>
      <c r="B29">
        <f t="shared" si="0"/>
        <v>2024</v>
      </c>
      <c r="C29">
        <f t="shared" si="1"/>
        <v>1</v>
      </c>
      <c r="D29" t="str">
        <f t="shared" si="2"/>
        <v>January</v>
      </c>
      <c r="E29">
        <f t="shared" si="3"/>
        <v>5</v>
      </c>
      <c r="F29">
        <f t="shared" si="4"/>
        <v>28</v>
      </c>
      <c r="G29" t="str">
        <f t="shared" si="5"/>
        <v>Sunday</v>
      </c>
      <c r="H29" t="b">
        <f t="shared" si="6"/>
        <v>1</v>
      </c>
      <c r="I29">
        <f t="shared" si="7"/>
        <v>28</v>
      </c>
      <c r="J29" t="s">
        <v>22</v>
      </c>
      <c r="K29">
        <v>20240128</v>
      </c>
    </row>
    <row r="30" spans="1:11" x14ac:dyDescent="0.3">
      <c r="A30" s="4">
        <v>45320</v>
      </c>
      <c r="B30">
        <f t="shared" si="0"/>
        <v>2024</v>
      </c>
      <c r="C30">
        <f t="shared" si="1"/>
        <v>1</v>
      </c>
      <c r="D30" t="str">
        <f t="shared" si="2"/>
        <v>January</v>
      </c>
      <c r="E30">
        <f t="shared" si="3"/>
        <v>5</v>
      </c>
      <c r="F30">
        <f t="shared" si="4"/>
        <v>29</v>
      </c>
      <c r="G30" t="str">
        <f t="shared" si="5"/>
        <v>Monday</v>
      </c>
      <c r="H30" t="b">
        <f t="shared" si="6"/>
        <v>0</v>
      </c>
      <c r="I30">
        <f t="shared" si="7"/>
        <v>29</v>
      </c>
      <c r="J30" t="s">
        <v>22</v>
      </c>
      <c r="K30">
        <v>20240129</v>
      </c>
    </row>
    <row r="31" spans="1:11" x14ac:dyDescent="0.3">
      <c r="A31" s="4">
        <v>45321</v>
      </c>
      <c r="B31">
        <f t="shared" si="0"/>
        <v>2024</v>
      </c>
      <c r="C31">
        <f t="shared" si="1"/>
        <v>1</v>
      </c>
      <c r="D31" t="str">
        <f t="shared" si="2"/>
        <v>January</v>
      </c>
      <c r="E31">
        <f t="shared" si="3"/>
        <v>5</v>
      </c>
      <c r="F31">
        <f t="shared" si="4"/>
        <v>30</v>
      </c>
      <c r="G31" t="str">
        <f t="shared" si="5"/>
        <v>Tuesday</v>
      </c>
      <c r="H31" t="b">
        <f t="shared" si="6"/>
        <v>0</v>
      </c>
      <c r="I31">
        <f t="shared" si="7"/>
        <v>30</v>
      </c>
      <c r="J31" t="s">
        <v>22</v>
      </c>
      <c r="K31">
        <v>20240130</v>
      </c>
    </row>
    <row r="32" spans="1:11" x14ac:dyDescent="0.3">
      <c r="A32" s="4">
        <v>45322</v>
      </c>
      <c r="B32">
        <f t="shared" si="0"/>
        <v>2024</v>
      </c>
      <c r="C32">
        <f t="shared" si="1"/>
        <v>1</v>
      </c>
      <c r="D32" t="str">
        <f t="shared" si="2"/>
        <v>January</v>
      </c>
      <c r="E32">
        <f t="shared" si="3"/>
        <v>5</v>
      </c>
      <c r="F32">
        <f t="shared" si="4"/>
        <v>31</v>
      </c>
      <c r="G32" t="str">
        <f t="shared" si="5"/>
        <v>Wednesday</v>
      </c>
      <c r="H32" t="b">
        <f t="shared" si="6"/>
        <v>0</v>
      </c>
      <c r="I32">
        <f t="shared" si="7"/>
        <v>31</v>
      </c>
      <c r="J32" t="s">
        <v>22</v>
      </c>
      <c r="K32">
        <v>20240131</v>
      </c>
    </row>
    <row r="33" spans="1:11" x14ac:dyDescent="0.3">
      <c r="A33" s="4">
        <v>45323</v>
      </c>
      <c r="B33">
        <f t="shared" si="0"/>
        <v>2024</v>
      </c>
      <c r="C33">
        <f t="shared" si="1"/>
        <v>2</v>
      </c>
      <c r="D33" t="str">
        <f t="shared" si="2"/>
        <v>February</v>
      </c>
      <c r="E33">
        <f t="shared" si="3"/>
        <v>5</v>
      </c>
      <c r="F33">
        <f t="shared" si="4"/>
        <v>1</v>
      </c>
      <c r="G33" t="str">
        <f t="shared" si="5"/>
        <v>Thursday</v>
      </c>
      <c r="H33" t="b">
        <f t="shared" si="6"/>
        <v>0</v>
      </c>
      <c r="I33">
        <f t="shared" si="7"/>
        <v>32</v>
      </c>
      <c r="J33" t="s">
        <v>22</v>
      </c>
      <c r="K33">
        <v>20240201</v>
      </c>
    </row>
    <row r="34" spans="1:11" x14ac:dyDescent="0.3">
      <c r="A34" s="4">
        <v>45324</v>
      </c>
      <c r="B34">
        <f t="shared" si="0"/>
        <v>2024</v>
      </c>
      <c r="C34">
        <f t="shared" si="1"/>
        <v>2</v>
      </c>
      <c r="D34" t="str">
        <f t="shared" si="2"/>
        <v>February</v>
      </c>
      <c r="E34">
        <f t="shared" si="3"/>
        <v>5</v>
      </c>
      <c r="F34">
        <f t="shared" si="4"/>
        <v>2</v>
      </c>
      <c r="G34" t="str">
        <f t="shared" si="5"/>
        <v>Friday</v>
      </c>
      <c r="H34" t="b">
        <f t="shared" si="6"/>
        <v>0</v>
      </c>
      <c r="I34">
        <f t="shared" si="7"/>
        <v>33</v>
      </c>
      <c r="J34" t="s">
        <v>22</v>
      </c>
      <c r="K34">
        <v>20240202</v>
      </c>
    </row>
    <row r="35" spans="1:11" x14ac:dyDescent="0.3">
      <c r="A35" s="4">
        <v>45325</v>
      </c>
      <c r="B35">
        <f t="shared" si="0"/>
        <v>2024</v>
      </c>
      <c r="C35">
        <f t="shared" si="1"/>
        <v>2</v>
      </c>
      <c r="D35" t="str">
        <f t="shared" si="2"/>
        <v>February</v>
      </c>
      <c r="E35">
        <f t="shared" si="3"/>
        <v>5</v>
      </c>
      <c r="F35">
        <f t="shared" si="4"/>
        <v>3</v>
      </c>
      <c r="G35" t="str">
        <f t="shared" si="5"/>
        <v>Saturday</v>
      </c>
      <c r="H35" t="b">
        <f t="shared" si="6"/>
        <v>1</v>
      </c>
      <c r="I35">
        <f t="shared" si="7"/>
        <v>34</v>
      </c>
      <c r="J35" t="s">
        <v>22</v>
      </c>
      <c r="K35">
        <v>20240203</v>
      </c>
    </row>
    <row r="36" spans="1:11" x14ac:dyDescent="0.3">
      <c r="A36" s="4">
        <v>45326</v>
      </c>
      <c r="B36">
        <f t="shared" si="0"/>
        <v>2024</v>
      </c>
      <c r="C36">
        <f t="shared" si="1"/>
        <v>2</v>
      </c>
      <c r="D36" t="str">
        <f t="shared" si="2"/>
        <v>February</v>
      </c>
      <c r="E36">
        <f t="shared" si="3"/>
        <v>6</v>
      </c>
      <c r="F36">
        <f t="shared" si="4"/>
        <v>4</v>
      </c>
      <c r="G36" t="str">
        <f t="shared" si="5"/>
        <v>Sunday</v>
      </c>
      <c r="H36" t="b">
        <f t="shared" si="6"/>
        <v>1</v>
      </c>
      <c r="I36">
        <f t="shared" si="7"/>
        <v>35</v>
      </c>
      <c r="J36" t="s">
        <v>22</v>
      </c>
      <c r="K36">
        <v>20240204</v>
      </c>
    </row>
    <row r="37" spans="1:11" x14ac:dyDescent="0.3">
      <c r="A37" s="4">
        <v>45327</v>
      </c>
      <c r="B37">
        <f t="shared" si="0"/>
        <v>2024</v>
      </c>
      <c r="C37">
        <f t="shared" si="1"/>
        <v>2</v>
      </c>
      <c r="D37" t="str">
        <f t="shared" si="2"/>
        <v>February</v>
      </c>
      <c r="E37">
        <f t="shared" si="3"/>
        <v>6</v>
      </c>
      <c r="F37">
        <f t="shared" si="4"/>
        <v>5</v>
      </c>
      <c r="G37" t="str">
        <f t="shared" si="5"/>
        <v>Monday</v>
      </c>
      <c r="H37" t="b">
        <f t="shared" si="6"/>
        <v>0</v>
      </c>
      <c r="I37">
        <f t="shared" si="7"/>
        <v>36</v>
      </c>
      <c r="J37" t="s">
        <v>22</v>
      </c>
      <c r="K37">
        <v>20240205</v>
      </c>
    </row>
    <row r="38" spans="1:11" x14ac:dyDescent="0.3">
      <c r="A38" s="4">
        <v>45328</v>
      </c>
      <c r="B38">
        <f t="shared" si="0"/>
        <v>2024</v>
      </c>
      <c r="C38">
        <f t="shared" si="1"/>
        <v>2</v>
      </c>
      <c r="D38" t="str">
        <f t="shared" si="2"/>
        <v>February</v>
      </c>
      <c r="E38">
        <f t="shared" si="3"/>
        <v>6</v>
      </c>
      <c r="F38">
        <f t="shared" si="4"/>
        <v>6</v>
      </c>
      <c r="G38" t="str">
        <f t="shared" si="5"/>
        <v>Tuesday</v>
      </c>
      <c r="H38" t="b">
        <f t="shared" si="6"/>
        <v>0</v>
      </c>
      <c r="I38">
        <f t="shared" si="7"/>
        <v>37</v>
      </c>
      <c r="J38" t="s">
        <v>22</v>
      </c>
      <c r="K38">
        <v>20240206</v>
      </c>
    </row>
    <row r="39" spans="1:11" x14ac:dyDescent="0.3">
      <c r="A39" s="4">
        <v>45329</v>
      </c>
      <c r="B39">
        <f t="shared" si="0"/>
        <v>2024</v>
      </c>
      <c r="C39">
        <f t="shared" si="1"/>
        <v>2</v>
      </c>
      <c r="D39" t="str">
        <f t="shared" si="2"/>
        <v>February</v>
      </c>
      <c r="E39">
        <f t="shared" si="3"/>
        <v>6</v>
      </c>
      <c r="F39">
        <f t="shared" si="4"/>
        <v>7</v>
      </c>
      <c r="G39" t="str">
        <f t="shared" si="5"/>
        <v>Wednesday</v>
      </c>
      <c r="H39" t="b">
        <f t="shared" si="6"/>
        <v>0</v>
      </c>
      <c r="I39">
        <f t="shared" si="7"/>
        <v>38</v>
      </c>
      <c r="J39" t="s">
        <v>22</v>
      </c>
      <c r="K39">
        <v>20240207</v>
      </c>
    </row>
    <row r="40" spans="1:11" x14ac:dyDescent="0.3">
      <c r="A40" s="4">
        <v>45330</v>
      </c>
      <c r="B40">
        <f t="shared" si="0"/>
        <v>2024</v>
      </c>
      <c r="C40">
        <f t="shared" si="1"/>
        <v>2</v>
      </c>
      <c r="D40" t="str">
        <f t="shared" si="2"/>
        <v>February</v>
      </c>
      <c r="E40">
        <f t="shared" si="3"/>
        <v>6</v>
      </c>
      <c r="F40">
        <f t="shared" si="4"/>
        <v>8</v>
      </c>
      <c r="G40" t="str">
        <f t="shared" si="5"/>
        <v>Thursday</v>
      </c>
      <c r="H40" t="b">
        <f t="shared" si="6"/>
        <v>0</v>
      </c>
      <c r="I40">
        <f t="shared" si="7"/>
        <v>39</v>
      </c>
      <c r="J40" t="s">
        <v>22</v>
      </c>
      <c r="K40">
        <v>20240208</v>
      </c>
    </row>
    <row r="41" spans="1:11" x14ac:dyDescent="0.3">
      <c r="A41" s="4">
        <v>45331</v>
      </c>
      <c r="B41">
        <f t="shared" si="0"/>
        <v>2024</v>
      </c>
      <c r="C41">
        <f t="shared" si="1"/>
        <v>2</v>
      </c>
      <c r="D41" t="str">
        <f t="shared" si="2"/>
        <v>February</v>
      </c>
      <c r="E41">
        <f t="shared" si="3"/>
        <v>6</v>
      </c>
      <c r="F41">
        <f t="shared" si="4"/>
        <v>9</v>
      </c>
      <c r="G41" t="str">
        <f t="shared" si="5"/>
        <v>Friday</v>
      </c>
      <c r="H41" t="b">
        <f t="shared" si="6"/>
        <v>0</v>
      </c>
      <c r="I41">
        <f t="shared" si="7"/>
        <v>40</v>
      </c>
      <c r="J41" t="s">
        <v>22</v>
      </c>
      <c r="K41">
        <v>20240209</v>
      </c>
    </row>
    <row r="42" spans="1:11" x14ac:dyDescent="0.3">
      <c r="A42" s="4">
        <v>45332</v>
      </c>
      <c r="B42">
        <f t="shared" si="0"/>
        <v>2024</v>
      </c>
      <c r="C42">
        <f t="shared" si="1"/>
        <v>2</v>
      </c>
      <c r="D42" t="str">
        <f t="shared" si="2"/>
        <v>February</v>
      </c>
      <c r="E42">
        <f t="shared" si="3"/>
        <v>6</v>
      </c>
      <c r="F42">
        <f t="shared" si="4"/>
        <v>10</v>
      </c>
      <c r="G42" t="str">
        <f t="shared" si="5"/>
        <v>Saturday</v>
      </c>
      <c r="H42" t="b">
        <f t="shared" si="6"/>
        <v>1</v>
      </c>
      <c r="I42">
        <f t="shared" si="7"/>
        <v>41</v>
      </c>
      <c r="J42" t="s">
        <v>22</v>
      </c>
      <c r="K42">
        <v>20240210</v>
      </c>
    </row>
    <row r="43" spans="1:11" x14ac:dyDescent="0.3">
      <c r="A43" s="4">
        <v>45333</v>
      </c>
      <c r="B43">
        <f t="shared" si="0"/>
        <v>2024</v>
      </c>
      <c r="C43">
        <f t="shared" si="1"/>
        <v>2</v>
      </c>
      <c r="D43" t="str">
        <f t="shared" si="2"/>
        <v>February</v>
      </c>
      <c r="E43">
        <f t="shared" si="3"/>
        <v>7</v>
      </c>
      <c r="F43">
        <f t="shared" si="4"/>
        <v>11</v>
      </c>
      <c r="G43" t="str">
        <f t="shared" si="5"/>
        <v>Sunday</v>
      </c>
      <c r="H43" t="b">
        <f t="shared" si="6"/>
        <v>1</v>
      </c>
      <c r="I43">
        <f t="shared" si="7"/>
        <v>42</v>
      </c>
      <c r="J43" t="s">
        <v>22</v>
      </c>
      <c r="K43">
        <v>20240211</v>
      </c>
    </row>
    <row r="44" spans="1:11" x14ac:dyDescent="0.3">
      <c r="A44" s="4">
        <v>45334</v>
      </c>
      <c r="B44">
        <f t="shared" si="0"/>
        <v>2024</v>
      </c>
      <c r="C44">
        <f t="shared" si="1"/>
        <v>2</v>
      </c>
      <c r="D44" t="str">
        <f t="shared" si="2"/>
        <v>February</v>
      </c>
      <c r="E44">
        <f t="shared" si="3"/>
        <v>7</v>
      </c>
      <c r="F44">
        <f t="shared" si="4"/>
        <v>12</v>
      </c>
      <c r="G44" t="str">
        <f t="shared" si="5"/>
        <v>Monday</v>
      </c>
      <c r="H44" t="b">
        <f t="shared" si="6"/>
        <v>0</v>
      </c>
      <c r="I44">
        <f t="shared" si="7"/>
        <v>43</v>
      </c>
      <c r="J44" t="s">
        <v>22</v>
      </c>
      <c r="K44">
        <v>20240212</v>
      </c>
    </row>
    <row r="45" spans="1:11" x14ac:dyDescent="0.3">
      <c r="A45" s="4">
        <v>45335</v>
      </c>
      <c r="B45">
        <f t="shared" si="0"/>
        <v>2024</v>
      </c>
      <c r="C45">
        <f t="shared" si="1"/>
        <v>2</v>
      </c>
      <c r="D45" t="str">
        <f t="shared" si="2"/>
        <v>February</v>
      </c>
      <c r="E45">
        <f t="shared" si="3"/>
        <v>7</v>
      </c>
      <c r="F45">
        <f t="shared" si="4"/>
        <v>13</v>
      </c>
      <c r="G45" t="str">
        <f t="shared" si="5"/>
        <v>Tuesday</v>
      </c>
      <c r="H45" t="b">
        <f t="shared" si="6"/>
        <v>0</v>
      </c>
      <c r="I45">
        <f t="shared" si="7"/>
        <v>44</v>
      </c>
      <c r="J45" t="s">
        <v>22</v>
      </c>
      <c r="K45">
        <v>20240213</v>
      </c>
    </row>
    <row r="46" spans="1:11" x14ac:dyDescent="0.3">
      <c r="A46" s="4">
        <v>45336</v>
      </c>
      <c r="B46">
        <f t="shared" si="0"/>
        <v>2024</v>
      </c>
      <c r="C46">
        <f t="shared" si="1"/>
        <v>2</v>
      </c>
      <c r="D46" t="str">
        <f t="shared" si="2"/>
        <v>February</v>
      </c>
      <c r="E46">
        <f t="shared" si="3"/>
        <v>7</v>
      </c>
      <c r="F46">
        <f t="shared" si="4"/>
        <v>14</v>
      </c>
      <c r="G46" t="str">
        <f t="shared" si="5"/>
        <v>Wednesday</v>
      </c>
      <c r="H46" t="b">
        <f t="shared" si="6"/>
        <v>0</v>
      </c>
      <c r="I46">
        <f t="shared" si="7"/>
        <v>45</v>
      </c>
      <c r="J46" t="s">
        <v>22</v>
      </c>
      <c r="K46">
        <v>20240214</v>
      </c>
    </row>
    <row r="47" spans="1:11" x14ac:dyDescent="0.3">
      <c r="A47" s="4">
        <v>45337</v>
      </c>
      <c r="B47">
        <f t="shared" si="0"/>
        <v>2024</v>
      </c>
      <c r="C47">
        <f t="shared" si="1"/>
        <v>2</v>
      </c>
      <c r="D47" t="str">
        <f t="shared" si="2"/>
        <v>February</v>
      </c>
      <c r="E47">
        <f t="shared" si="3"/>
        <v>7</v>
      </c>
      <c r="F47">
        <f t="shared" si="4"/>
        <v>15</v>
      </c>
      <c r="G47" t="str">
        <f t="shared" si="5"/>
        <v>Thursday</v>
      </c>
      <c r="H47" t="b">
        <f t="shared" si="6"/>
        <v>0</v>
      </c>
      <c r="I47">
        <f t="shared" si="7"/>
        <v>46</v>
      </c>
      <c r="J47" t="s">
        <v>22</v>
      </c>
      <c r="K47">
        <v>20240215</v>
      </c>
    </row>
    <row r="48" spans="1:11" x14ac:dyDescent="0.3">
      <c r="A48" s="4">
        <v>45338</v>
      </c>
      <c r="B48">
        <f t="shared" si="0"/>
        <v>2024</v>
      </c>
      <c r="C48">
        <f t="shared" si="1"/>
        <v>2</v>
      </c>
      <c r="D48" t="str">
        <f t="shared" si="2"/>
        <v>February</v>
      </c>
      <c r="E48">
        <f t="shared" si="3"/>
        <v>7</v>
      </c>
      <c r="F48">
        <f t="shared" si="4"/>
        <v>16</v>
      </c>
      <c r="G48" t="str">
        <f t="shared" si="5"/>
        <v>Friday</v>
      </c>
      <c r="H48" t="b">
        <f t="shared" si="6"/>
        <v>0</v>
      </c>
      <c r="I48">
        <f t="shared" si="7"/>
        <v>47</v>
      </c>
      <c r="J48" t="s">
        <v>22</v>
      </c>
      <c r="K48">
        <v>20240216</v>
      </c>
    </row>
    <row r="49" spans="1:11" x14ac:dyDescent="0.3">
      <c r="A49" s="4">
        <v>45339</v>
      </c>
      <c r="B49">
        <f t="shared" si="0"/>
        <v>2024</v>
      </c>
      <c r="C49">
        <f t="shared" si="1"/>
        <v>2</v>
      </c>
      <c r="D49" t="str">
        <f t="shared" si="2"/>
        <v>February</v>
      </c>
      <c r="E49">
        <f t="shared" si="3"/>
        <v>7</v>
      </c>
      <c r="F49">
        <f t="shared" si="4"/>
        <v>17</v>
      </c>
      <c r="G49" t="str">
        <f t="shared" si="5"/>
        <v>Saturday</v>
      </c>
      <c r="H49" t="b">
        <f t="shared" si="6"/>
        <v>1</v>
      </c>
      <c r="I49">
        <f t="shared" si="7"/>
        <v>48</v>
      </c>
      <c r="J49" t="s">
        <v>22</v>
      </c>
      <c r="K49">
        <v>20240217</v>
      </c>
    </row>
    <row r="50" spans="1:11" x14ac:dyDescent="0.3">
      <c r="A50" s="4">
        <v>45340</v>
      </c>
      <c r="B50">
        <f t="shared" si="0"/>
        <v>2024</v>
      </c>
      <c r="C50">
        <f t="shared" si="1"/>
        <v>2</v>
      </c>
      <c r="D50" t="str">
        <f t="shared" si="2"/>
        <v>February</v>
      </c>
      <c r="E50">
        <f t="shared" si="3"/>
        <v>8</v>
      </c>
      <c r="F50">
        <f t="shared" si="4"/>
        <v>18</v>
      </c>
      <c r="G50" t="str">
        <f t="shared" si="5"/>
        <v>Sunday</v>
      </c>
      <c r="H50" t="b">
        <f t="shared" si="6"/>
        <v>1</v>
      </c>
      <c r="I50">
        <f t="shared" si="7"/>
        <v>49</v>
      </c>
      <c r="J50" t="s">
        <v>22</v>
      </c>
      <c r="K50">
        <v>20240218</v>
      </c>
    </row>
    <row r="51" spans="1:11" x14ac:dyDescent="0.3">
      <c r="A51" s="4">
        <v>45341</v>
      </c>
      <c r="B51">
        <f t="shared" si="0"/>
        <v>2024</v>
      </c>
      <c r="C51">
        <f t="shared" si="1"/>
        <v>2</v>
      </c>
      <c r="D51" t="str">
        <f t="shared" si="2"/>
        <v>February</v>
      </c>
      <c r="E51">
        <f t="shared" si="3"/>
        <v>8</v>
      </c>
      <c r="F51">
        <f t="shared" si="4"/>
        <v>19</v>
      </c>
      <c r="G51" t="str">
        <f t="shared" si="5"/>
        <v>Monday</v>
      </c>
      <c r="H51" t="b">
        <f t="shared" si="6"/>
        <v>0</v>
      </c>
      <c r="I51">
        <f t="shared" si="7"/>
        <v>50</v>
      </c>
      <c r="J51" t="s">
        <v>22</v>
      </c>
      <c r="K51">
        <v>20240219</v>
      </c>
    </row>
    <row r="52" spans="1:11" x14ac:dyDescent="0.3">
      <c r="A52" s="4">
        <v>45342</v>
      </c>
      <c r="B52">
        <f t="shared" si="0"/>
        <v>2024</v>
      </c>
      <c r="C52">
        <f t="shared" si="1"/>
        <v>2</v>
      </c>
      <c r="D52" t="str">
        <f t="shared" si="2"/>
        <v>February</v>
      </c>
      <c r="E52">
        <f t="shared" si="3"/>
        <v>8</v>
      </c>
      <c r="F52">
        <f t="shared" si="4"/>
        <v>20</v>
      </c>
      <c r="G52" t="str">
        <f t="shared" si="5"/>
        <v>Tuesday</v>
      </c>
      <c r="H52" t="b">
        <f t="shared" si="6"/>
        <v>0</v>
      </c>
      <c r="I52">
        <f t="shared" si="7"/>
        <v>51</v>
      </c>
      <c r="J52" t="s">
        <v>22</v>
      </c>
      <c r="K52">
        <v>20240220</v>
      </c>
    </row>
    <row r="53" spans="1:11" x14ac:dyDescent="0.3">
      <c r="A53" s="4">
        <v>45343</v>
      </c>
      <c r="B53">
        <f t="shared" si="0"/>
        <v>2024</v>
      </c>
      <c r="C53">
        <f t="shared" si="1"/>
        <v>2</v>
      </c>
      <c r="D53" t="str">
        <f t="shared" si="2"/>
        <v>February</v>
      </c>
      <c r="E53">
        <f t="shared" si="3"/>
        <v>8</v>
      </c>
      <c r="F53">
        <f t="shared" si="4"/>
        <v>21</v>
      </c>
      <c r="G53" t="str">
        <f t="shared" si="5"/>
        <v>Wednesday</v>
      </c>
      <c r="H53" t="b">
        <f t="shared" si="6"/>
        <v>0</v>
      </c>
      <c r="I53">
        <f t="shared" si="7"/>
        <v>52</v>
      </c>
      <c r="J53" t="s">
        <v>22</v>
      </c>
      <c r="K53">
        <v>20240221</v>
      </c>
    </row>
    <row r="54" spans="1:11" x14ac:dyDescent="0.3">
      <c r="A54" s="4">
        <v>45344</v>
      </c>
      <c r="B54">
        <f t="shared" si="0"/>
        <v>2024</v>
      </c>
      <c r="C54">
        <f t="shared" si="1"/>
        <v>2</v>
      </c>
      <c r="D54" t="str">
        <f t="shared" si="2"/>
        <v>February</v>
      </c>
      <c r="E54">
        <f t="shared" si="3"/>
        <v>8</v>
      </c>
      <c r="F54">
        <f t="shared" si="4"/>
        <v>22</v>
      </c>
      <c r="G54" t="str">
        <f t="shared" si="5"/>
        <v>Thursday</v>
      </c>
      <c r="H54" t="b">
        <f t="shared" si="6"/>
        <v>0</v>
      </c>
      <c r="I54">
        <f t="shared" si="7"/>
        <v>53</v>
      </c>
      <c r="J54" t="s">
        <v>22</v>
      </c>
      <c r="K54">
        <v>20240222</v>
      </c>
    </row>
    <row r="55" spans="1:11" x14ac:dyDescent="0.3">
      <c r="A55" s="4">
        <v>45345</v>
      </c>
      <c r="B55">
        <f t="shared" si="0"/>
        <v>2024</v>
      </c>
      <c r="C55">
        <f t="shared" si="1"/>
        <v>2</v>
      </c>
      <c r="D55" t="str">
        <f t="shared" si="2"/>
        <v>February</v>
      </c>
      <c r="E55">
        <f t="shared" si="3"/>
        <v>8</v>
      </c>
      <c r="F55">
        <f t="shared" si="4"/>
        <v>23</v>
      </c>
      <c r="G55" t="str">
        <f t="shared" si="5"/>
        <v>Friday</v>
      </c>
      <c r="H55" t="b">
        <f t="shared" si="6"/>
        <v>0</v>
      </c>
      <c r="I55">
        <f t="shared" si="7"/>
        <v>54</v>
      </c>
      <c r="J55" t="s">
        <v>22</v>
      </c>
      <c r="K55">
        <v>20240223</v>
      </c>
    </row>
    <row r="56" spans="1:11" x14ac:dyDescent="0.3">
      <c r="A56" s="4">
        <v>45346</v>
      </c>
      <c r="B56">
        <f t="shared" si="0"/>
        <v>2024</v>
      </c>
      <c r="C56">
        <f t="shared" si="1"/>
        <v>2</v>
      </c>
      <c r="D56" t="str">
        <f t="shared" si="2"/>
        <v>February</v>
      </c>
      <c r="E56">
        <f t="shared" si="3"/>
        <v>8</v>
      </c>
      <c r="F56">
        <f t="shared" si="4"/>
        <v>24</v>
      </c>
      <c r="G56" t="str">
        <f t="shared" si="5"/>
        <v>Saturday</v>
      </c>
      <c r="H56" t="b">
        <f t="shared" si="6"/>
        <v>1</v>
      </c>
      <c r="I56">
        <f t="shared" si="7"/>
        <v>55</v>
      </c>
      <c r="J56" t="s">
        <v>22</v>
      </c>
      <c r="K56">
        <v>20240224</v>
      </c>
    </row>
    <row r="57" spans="1:11" x14ac:dyDescent="0.3">
      <c r="A57" s="4">
        <v>45347</v>
      </c>
      <c r="B57">
        <f t="shared" si="0"/>
        <v>2024</v>
      </c>
      <c r="C57">
        <f t="shared" si="1"/>
        <v>2</v>
      </c>
      <c r="D57" t="str">
        <f t="shared" si="2"/>
        <v>February</v>
      </c>
      <c r="E57">
        <f t="shared" si="3"/>
        <v>9</v>
      </c>
      <c r="F57">
        <f t="shared" si="4"/>
        <v>25</v>
      </c>
      <c r="G57" t="str">
        <f t="shared" si="5"/>
        <v>Sunday</v>
      </c>
      <c r="H57" t="b">
        <f t="shared" si="6"/>
        <v>1</v>
      </c>
      <c r="I57">
        <f t="shared" si="7"/>
        <v>56</v>
      </c>
      <c r="J57" t="s">
        <v>22</v>
      </c>
      <c r="K57">
        <v>20240225</v>
      </c>
    </row>
    <row r="58" spans="1:11" x14ac:dyDescent="0.3">
      <c r="A58" s="4">
        <v>45348</v>
      </c>
      <c r="B58">
        <f t="shared" si="0"/>
        <v>2024</v>
      </c>
      <c r="C58">
        <f t="shared" si="1"/>
        <v>2</v>
      </c>
      <c r="D58" t="str">
        <f t="shared" si="2"/>
        <v>February</v>
      </c>
      <c r="E58">
        <f t="shared" si="3"/>
        <v>9</v>
      </c>
      <c r="F58">
        <f t="shared" si="4"/>
        <v>26</v>
      </c>
      <c r="G58" t="str">
        <f t="shared" si="5"/>
        <v>Monday</v>
      </c>
      <c r="H58" t="b">
        <f t="shared" si="6"/>
        <v>0</v>
      </c>
      <c r="I58">
        <f t="shared" si="7"/>
        <v>57</v>
      </c>
      <c r="J58" t="s">
        <v>22</v>
      </c>
      <c r="K58">
        <v>20240226</v>
      </c>
    </row>
    <row r="59" spans="1:11" x14ac:dyDescent="0.3">
      <c r="A59" s="4">
        <v>45349</v>
      </c>
      <c r="B59">
        <f t="shared" si="0"/>
        <v>2024</v>
      </c>
      <c r="C59">
        <f t="shared" si="1"/>
        <v>2</v>
      </c>
      <c r="D59" t="str">
        <f t="shared" si="2"/>
        <v>February</v>
      </c>
      <c r="E59">
        <f t="shared" si="3"/>
        <v>9</v>
      </c>
      <c r="F59">
        <f t="shared" si="4"/>
        <v>27</v>
      </c>
      <c r="G59" t="str">
        <f t="shared" si="5"/>
        <v>Tuesday</v>
      </c>
      <c r="H59" t="b">
        <f t="shared" si="6"/>
        <v>0</v>
      </c>
      <c r="I59">
        <f t="shared" si="7"/>
        <v>58</v>
      </c>
      <c r="J59" t="s">
        <v>22</v>
      </c>
      <c r="K59">
        <v>20240227</v>
      </c>
    </row>
    <row r="60" spans="1:11" x14ac:dyDescent="0.3">
      <c r="A60" s="4">
        <v>45350</v>
      </c>
      <c r="B60">
        <f t="shared" si="0"/>
        <v>2024</v>
      </c>
      <c r="C60">
        <f t="shared" si="1"/>
        <v>2</v>
      </c>
      <c r="D60" t="str">
        <f t="shared" si="2"/>
        <v>February</v>
      </c>
      <c r="E60">
        <f t="shared" si="3"/>
        <v>9</v>
      </c>
      <c r="F60">
        <f t="shared" si="4"/>
        <v>28</v>
      </c>
      <c r="G60" t="str">
        <f t="shared" si="5"/>
        <v>Wednesday</v>
      </c>
      <c r="H60" t="b">
        <f t="shared" si="6"/>
        <v>0</v>
      </c>
      <c r="I60">
        <f t="shared" si="7"/>
        <v>59</v>
      </c>
      <c r="J60" t="s">
        <v>22</v>
      </c>
      <c r="K60">
        <v>20240228</v>
      </c>
    </row>
    <row r="61" spans="1:11" x14ac:dyDescent="0.3">
      <c r="A61" s="4">
        <v>45351</v>
      </c>
      <c r="B61">
        <f t="shared" si="0"/>
        <v>2024</v>
      </c>
      <c r="C61">
        <f t="shared" si="1"/>
        <v>2</v>
      </c>
      <c r="D61" t="str">
        <f t="shared" si="2"/>
        <v>February</v>
      </c>
      <c r="E61">
        <f t="shared" si="3"/>
        <v>9</v>
      </c>
      <c r="F61">
        <f t="shared" si="4"/>
        <v>29</v>
      </c>
      <c r="G61" t="str">
        <f t="shared" si="5"/>
        <v>Thursday</v>
      </c>
      <c r="H61" t="b">
        <f t="shared" si="6"/>
        <v>0</v>
      </c>
      <c r="I61">
        <f t="shared" si="7"/>
        <v>60</v>
      </c>
      <c r="J61" t="s">
        <v>22</v>
      </c>
      <c r="K61">
        <v>20240229</v>
      </c>
    </row>
    <row r="62" spans="1:11" x14ac:dyDescent="0.3">
      <c r="A62" s="4">
        <v>45352</v>
      </c>
      <c r="B62">
        <f t="shared" si="0"/>
        <v>2024</v>
      </c>
      <c r="C62">
        <f t="shared" si="1"/>
        <v>3</v>
      </c>
      <c r="D62" t="str">
        <f t="shared" si="2"/>
        <v>March</v>
      </c>
      <c r="E62">
        <f t="shared" si="3"/>
        <v>9</v>
      </c>
      <c r="F62">
        <f t="shared" si="4"/>
        <v>1</v>
      </c>
      <c r="G62" t="str">
        <f t="shared" si="5"/>
        <v>Friday</v>
      </c>
      <c r="H62" t="b">
        <f t="shared" si="6"/>
        <v>0</v>
      </c>
      <c r="I62">
        <f t="shared" si="7"/>
        <v>61</v>
      </c>
      <c r="J62" t="s">
        <v>25</v>
      </c>
      <c r="K62">
        <v>20240301</v>
      </c>
    </row>
    <row r="63" spans="1:11" x14ac:dyDescent="0.3">
      <c r="A63" s="4">
        <v>45353</v>
      </c>
      <c r="B63">
        <f t="shared" si="0"/>
        <v>2024</v>
      </c>
      <c r="C63">
        <f t="shared" si="1"/>
        <v>3</v>
      </c>
      <c r="D63" t="str">
        <f t="shared" si="2"/>
        <v>March</v>
      </c>
      <c r="E63">
        <f t="shared" si="3"/>
        <v>9</v>
      </c>
      <c r="F63">
        <f t="shared" si="4"/>
        <v>2</v>
      </c>
      <c r="G63" t="str">
        <f t="shared" si="5"/>
        <v>Saturday</v>
      </c>
      <c r="H63" t="b">
        <f t="shared" si="6"/>
        <v>1</v>
      </c>
      <c r="I63">
        <f t="shared" si="7"/>
        <v>62</v>
      </c>
      <c r="J63" t="s">
        <v>25</v>
      </c>
      <c r="K63">
        <v>20240302</v>
      </c>
    </row>
    <row r="64" spans="1:11" x14ac:dyDescent="0.3">
      <c r="A64" s="4">
        <v>45354</v>
      </c>
      <c r="B64">
        <f t="shared" si="0"/>
        <v>2024</v>
      </c>
      <c r="C64">
        <f t="shared" si="1"/>
        <v>3</v>
      </c>
      <c r="D64" t="str">
        <f t="shared" si="2"/>
        <v>March</v>
      </c>
      <c r="E64">
        <f t="shared" si="3"/>
        <v>10</v>
      </c>
      <c r="F64">
        <f t="shared" si="4"/>
        <v>3</v>
      </c>
      <c r="G64" t="str">
        <f t="shared" si="5"/>
        <v>Sunday</v>
      </c>
      <c r="H64" t="b">
        <f t="shared" si="6"/>
        <v>1</v>
      </c>
      <c r="I64">
        <f t="shared" si="7"/>
        <v>63</v>
      </c>
      <c r="J64" t="s">
        <v>25</v>
      </c>
      <c r="K64">
        <v>20240303</v>
      </c>
    </row>
    <row r="65" spans="1:11" x14ac:dyDescent="0.3">
      <c r="A65" s="4">
        <v>45355</v>
      </c>
      <c r="B65">
        <f t="shared" si="0"/>
        <v>2024</v>
      </c>
      <c r="C65">
        <f t="shared" si="1"/>
        <v>3</v>
      </c>
      <c r="D65" t="str">
        <f t="shared" si="2"/>
        <v>March</v>
      </c>
      <c r="E65">
        <f t="shared" si="3"/>
        <v>10</v>
      </c>
      <c r="F65">
        <f t="shared" si="4"/>
        <v>4</v>
      </c>
      <c r="G65" t="str">
        <f t="shared" si="5"/>
        <v>Monday</v>
      </c>
      <c r="H65" t="b">
        <f t="shared" si="6"/>
        <v>0</v>
      </c>
      <c r="I65">
        <f t="shared" si="7"/>
        <v>64</v>
      </c>
      <c r="J65" t="s">
        <v>25</v>
      </c>
      <c r="K65">
        <v>20240304</v>
      </c>
    </row>
    <row r="66" spans="1:11" x14ac:dyDescent="0.3">
      <c r="A66" s="4">
        <v>45356</v>
      </c>
      <c r="B66">
        <f t="shared" si="0"/>
        <v>2024</v>
      </c>
      <c r="C66">
        <f t="shared" si="1"/>
        <v>3</v>
      </c>
      <c r="D66" t="str">
        <f t="shared" si="2"/>
        <v>March</v>
      </c>
      <c r="E66">
        <f t="shared" si="3"/>
        <v>10</v>
      </c>
      <c r="F66">
        <f t="shared" si="4"/>
        <v>5</v>
      </c>
      <c r="G66" t="str">
        <f t="shared" si="5"/>
        <v>Tuesday</v>
      </c>
      <c r="H66" t="b">
        <f t="shared" si="6"/>
        <v>0</v>
      </c>
      <c r="I66">
        <f t="shared" si="7"/>
        <v>65</v>
      </c>
      <c r="J66" t="s">
        <v>25</v>
      </c>
      <c r="K66">
        <v>20240305</v>
      </c>
    </row>
    <row r="67" spans="1:11" x14ac:dyDescent="0.3">
      <c r="A67" s="4">
        <v>45357</v>
      </c>
      <c r="B67">
        <f t="shared" ref="B67:B130" si="8">YEAR(A67)</f>
        <v>2024</v>
      </c>
      <c r="C67">
        <f t="shared" ref="C67:C130" si="9">MONTH(A67)</f>
        <v>3</v>
      </c>
      <c r="D67" t="str">
        <f t="shared" ref="D67:D130" si="10">TEXT(A67,"mmmm")</f>
        <v>March</v>
      </c>
      <c r="E67">
        <f t="shared" ref="E67:E130" si="11">WEEKNUM(A67)</f>
        <v>10</v>
      </c>
      <c r="F67">
        <f t="shared" ref="F67:F130" si="12">DAY(A67)</f>
        <v>6</v>
      </c>
      <c r="G67" t="str">
        <f t="shared" ref="G67:G130" si="13">TEXT((A67),"dddd")</f>
        <v>Wednesday</v>
      </c>
      <c r="H67" t="b">
        <f t="shared" ref="H67:H130" si="14">IF(OR(G67="Saturday",G67="Sunday"),TRUE,FALSE)</f>
        <v>0</v>
      </c>
      <c r="I67">
        <f t="shared" ref="I67:I130" si="15">A67-DATE(YEAR(A67),1,1)+1</f>
        <v>66</v>
      </c>
      <c r="J67" t="s">
        <v>25</v>
      </c>
      <c r="K67">
        <v>20240306</v>
      </c>
    </row>
    <row r="68" spans="1:11" x14ac:dyDescent="0.3">
      <c r="A68" s="4">
        <v>45358</v>
      </c>
      <c r="B68">
        <f t="shared" si="8"/>
        <v>2024</v>
      </c>
      <c r="C68">
        <f t="shared" si="9"/>
        <v>3</v>
      </c>
      <c r="D68" t="str">
        <f t="shared" si="10"/>
        <v>March</v>
      </c>
      <c r="E68">
        <f t="shared" si="11"/>
        <v>10</v>
      </c>
      <c r="F68">
        <f t="shared" si="12"/>
        <v>7</v>
      </c>
      <c r="G68" t="str">
        <f t="shared" si="13"/>
        <v>Thursday</v>
      </c>
      <c r="H68" t="b">
        <f t="shared" si="14"/>
        <v>0</v>
      </c>
      <c r="I68">
        <f t="shared" si="15"/>
        <v>67</v>
      </c>
      <c r="J68" t="s">
        <v>25</v>
      </c>
      <c r="K68">
        <v>20240307</v>
      </c>
    </row>
    <row r="69" spans="1:11" x14ac:dyDescent="0.3">
      <c r="A69" s="4">
        <v>45359</v>
      </c>
      <c r="B69">
        <f t="shared" si="8"/>
        <v>2024</v>
      </c>
      <c r="C69">
        <f t="shared" si="9"/>
        <v>3</v>
      </c>
      <c r="D69" t="str">
        <f t="shared" si="10"/>
        <v>March</v>
      </c>
      <c r="E69">
        <f t="shared" si="11"/>
        <v>10</v>
      </c>
      <c r="F69">
        <f t="shared" si="12"/>
        <v>8</v>
      </c>
      <c r="G69" t="str">
        <f t="shared" si="13"/>
        <v>Friday</v>
      </c>
      <c r="H69" t="b">
        <f t="shared" si="14"/>
        <v>0</v>
      </c>
      <c r="I69">
        <f t="shared" si="15"/>
        <v>68</v>
      </c>
      <c r="J69" t="s">
        <v>25</v>
      </c>
      <c r="K69">
        <v>20240308</v>
      </c>
    </row>
    <row r="70" spans="1:11" x14ac:dyDescent="0.3">
      <c r="A70" s="4">
        <v>45360</v>
      </c>
      <c r="B70">
        <f t="shared" si="8"/>
        <v>2024</v>
      </c>
      <c r="C70">
        <f t="shared" si="9"/>
        <v>3</v>
      </c>
      <c r="D70" t="str">
        <f t="shared" si="10"/>
        <v>March</v>
      </c>
      <c r="E70">
        <f t="shared" si="11"/>
        <v>10</v>
      </c>
      <c r="F70">
        <f t="shared" si="12"/>
        <v>9</v>
      </c>
      <c r="G70" t="str">
        <f t="shared" si="13"/>
        <v>Saturday</v>
      </c>
      <c r="H70" t="b">
        <f t="shared" si="14"/>
        <v>1</v>
      </c>
      <c r="I70">
        <f t="shared" si="15"/>
        <v>69</v>
      </c>
      <c r="J70" t="s">
        <v>25</v>
      </c>
      <c r="K70">
        <v>20240309</v>
      </c>
    </row>
    <row r="71" spans="1:11" x14ac:dyDescent="0.3">
      <c r="A71" s="4">
        <v>45361</v>
      </c>
      <c r="B71">
        <f t="shared" si="8"/>
        <v>2024</v>
      </c>
      <c r="C71">
        <f t="shared" si="9"/>
        <v>3</v>
      </c>
      <c r="D71" t="str">
        <f t="shared" si="10"/>
        <v>March</v>
      </c>
      <c r="E71">
        <f t="shared" si="11"/>
        <v>11</v>
      </c>
      <c r="F71">
        <f t="shared" si="12"/>
        <v>10</v>
      </c>
      <c r="G71" t="str">
        <f t="shared" si="13"/>
        <v>Sunday</v>
      </c>
      <c r="H71" t="b">
        <f t="shared" si="14"/>
        <v>1</v>
      </c>
      <c r="I71">
        <f t="shared" si="15"/>
        <v>70</v>
      </c>
      <c r="J71" t="s">
        <v>25</v>
      </c>
      <c r="K71">
        <v>20240310</v>
      </c>
    </row>
    <row r="72" spans="1:11" x14ac:dyDescent="0.3">
      <c r="A72" s="4">
        <v>45362</v>
      </c>
      <c r="B72">
        <f t="shared" si="8"/>
        <v>2024</v>
      </c>
      <c r="C72">
        <f t="shared" si="9"/>
        <v>3</v>
      </c>
      <c r="D72" t="str">
        <f t="shared" si="10"/>
        <v>March</v>
      </c>
      <c r="E72">
        <f t="shared" si="11"/>
        <v>11</v>
      </c>
      <c r="F72">
        <f t="shared" si="12"/>
        <v>11</v>
      </c>
      <c r="G72" t="str">
        <f t="shared" si="13"/>
        <v>Monday</v>
      </c>
      <c r="H72" t="b">
        <f t="shared" si="14"/>
        <v>0</v>
      </c>
      <c r="I72">
        <f t="shared" si="15"/>
        <v>71</v>
      </c>
      <c r="J72" t="s">
        <v>25</v>
      </c>
      <c r="K72">
        <v>20240311</v>
      </c>
    </row>
    <row r="73" spans="1:11" x14ac:dyDescent="0.3">
      <c r="A73" s="4">
        <v>45363</v>
      </c>
      <c r="B73">
        <f t="shared" si="8"/>
        <v>2024</v>
      </c>
      <c r="C73">
        <f t="shared" si="9"/>
        <v>3</v>
      </c>
      <c r="D73" t="str">
        <f t="shared" si="10"/>
        <v>March</v>
      </c>
      <c r="E73">
        <f t="shared" si="11"/>
        <v>11</v>
      </c>
      <c r="F73">
        <f t="shared" si="12"/>
        <v>12</v>
      </c>
      <c r="G73" t="str">
        <f t="shared" si="13"/>
        <v>Tuesday</v>
      </c>
      <c r="H73" t="b">
        <f t="shared" si="14"/>
        <v>0</v>
      </c>
      <c r="I73">
        <f t="shared" si="15"/>
        <v>72</v>
      </c>
      <c r="J73" t="s">
        <v>25</v>
      </c>
      <c r="K73">
        <v>20240312</v>
      </c>
    </row>
    <row r="74" spans="1:11" x14ac:dyDescent="0.3">
      <c r="A74" s="4">
        <v>45364</v>
      </c>
      <c r="B74">
        <f t="shared" si="8"/>
        <v>2024</v>
      </c>
      <c r="C74">
        <f t="shared" si="9"/>
        <v>3</v>
      </c>
      <c r="D74" t="str">
        <f t="shared" si="10"/>
        <v>March</v>
      </c>
      <c r="E74">
        <f t="shared" si="11"/>
        <v>11</v>
      </c>
      <c r="F74">
        <f t="shared" si="12"/>
        <v>13</v>
      </c>
      <c r="G74" t="str">
        <f t="shared" si="13"/>
        <v>Wednesday</v>
      </c>
      <c r="H74" t="b">
        <f t="shared" si="14"/>
        <v>0</v>
      </c>
      <c r="I74">
        <f t="shared" si="15"/>
        <v>73</v>
      </c>
      <c r="J74" t="s">
        <v>25</v>
      </c>
      <c r="K74">
        <v>20240313</v>
      </c>
    </row>
    <row r="75" spans="1:11" x14ac:dyDescent="0.3">
      <c r="A75" s="4">
        <v>45365</v>
      </c>
      <c r="B75">
        <f t="shared" si="8"/>
        <v>2024</v>
      </c>
      <c r="C75">
        <f t="shared" si="9"/>
        <v>3</v>
      </c>
      <c r="D75" t="str">
        <f t="shared" si="10"/>
        <v>March</v>
      </c>
      <c r="E75">
        <f t="shared" si="11"/>
        <v>11</v>
      </c>
      <c r="F75">
        <f t="shared" si="12"/>
        <v>14</v>
      </c>
      <c r="G75" t="str">
        <f t="shared" si="13"/>
        <v>Thursday</v>
      </c>
      <c r="H75" t="b">
        <f t="shared" si="14"/>
        <v>0</v>
      </c>
      <c r="I75">
        <f t="shared" si="15"/>
        <v>74</v>
      </c>
      <c r="J75" t="s">
        <v>25</v>
      </c>
      <c r="K75">
        <v>20240314</v>
      </c>
    </row>
    <row r="76" spans="1:11" x14ac:dyDescent="0.3">
      <c r="A76" s="4">
        <v>45366</v>
      </c>
      <c r="B76">
        <f t="shared" si="8"/>
        <v>2024</v>
      </c>
      <c r="C76">
        <f t="shared" si="9"/>
        <v>3</v>
      </c>
      <c r="D76" t="str">
        <f t="shared" si="10"/>
        <v>March</v>
      </c>
      <c r="E76">
        <f t="shared" si="11"/>
        <v>11</v>
      </c>
      <c r="F76">
        <f t="shared" si="12"/>
        <v>15</v>
      </c>
      <c r="G76" t="str">
        <f t="shared" si="13"/>
        <v>Friday</v>
      </c>
      <c r="H76" t="b">
        <f t="shared" si="14"/>
        <v>0</v>
      </c>
      <c r="I76">
        <f t="shared" si="15"/>
        <v>75</v>
      </c>
      <c r="J76" t="s">
        <v>25</v>
      </c>
      <c r="K76">
        <v>20240315</v>
      </c>
    </row>
    <row r="77" spans="1:11" x14ac:dyDescent="0.3">
      <c r="A77" s="4">
        <v>45367</v>
      </c>
      <c r="B77">
        <f t="shared" si="8"/>
        <v>2024</v>
      </c>
      <c r="C77">
        <f t="shared" si="9"/>
        <v>3</v>
      </c>
      <c r="D77" t="str">
        <f t="shared" si="10"/>
        <v>March</v>
      </c>
      <c r="E77">
        <f t="shared" si="11"/>
        <v>11</v>
      </c>
      <c r="F77">
        <f t="shared" si="12"/>
        <v>16</v>
      </c>
      <c r="G77" t="str">
        <f t="shared" si="13"/>
        <v>Saturday</v>
      </c>
      <c r="H77" t="b">
        <f t="shared" si="14"/>
        <v>1</v>
      </c>
      <c r="I77">
        <f t="shared" si="15"/>
        <v>76</v>
      </c>
      <c r="J77" t="s">
        <v>25</v>
      </c>
      <c r="K77">
        <v>20240316</v>
      </c>
    </row>
    <row r="78" spans="1:11" x14ac:dyDescent="0.3">
      <c r="A78" s="4">
        <v>45368</v>
      </c>
      <c r="B78">
        <f t="shared" si="8"/>
        <v>2024</v>
      </c>
      <c r="C78">
        <f t="shared" si="9"/>
        <v>3</v>
      </c>
      <c r="D78" t="str">
        <f t="shared" si="10"/>
        <v>March</v>
      </c>
      <c r="E78">
        <f t="shared" si="11"/>
        <v>12</v>
      </c>
      <c r="F78">
        <f t="shared" si="12"/>
        <v>17</v>
      </c>
      <c r="G78" t="str">
        <f t="shared" si="13"/>
        <v>Sunday</v>
      </c>
      <c r="H78" t="b">
        <f t="shared" si="14"/>
        <v>1</v>
      </c>
      <c r="I78">
        <f t="shared" si="15"/>
        <v>77</v>
      </c>
      <c r="J78" t="s">
        <v>25</v>
      </c>
      <c r="K78">
        <v>20240317</v>
      </c>
    </row>
    <row r="79" spans="1:11" x14ac:dyDescent="0.3">
      <c r="A79" s="4">
        <v>45369</v>
      </c>
      <c r="B79">
        <f t="shared" si="8"/>
        <v>2024</v>
      </c>
      <c r="C79">
        <f t="shared" si="9"/>
        <v>3</v>
      </c>
      <c r="D79" t="str">
        <f t="shared" si="10"/>
        <v>March</v>
      </c>
      <c r="E79">
        <f t="shared" si="11"/>
        <v>12</v>
      </c>
      <c r="F79">
        <f t="shared" si="12"/>
        <v>18</v>
      </c>
      <c r="G79" t="str">
        <f t="shared" si="13"/>
        <v>Monday</v>
      </c>
      <c r="H79" t="b">
        <f t="shared" si="14"/>
        <v>0</v>
      </c>
      <c r="I79">
        <f t="shared" si="15"/>
        <v>78</v>
      </c>
      <c r="J79" t="s">
        <v>25</v>
      </c>
      <c r="K79">
        <v>20240318</v>
      </c>
    </row>
    <row r="80" spans="1:11" x14ac:dyDescent="0.3">
      <c r="A80" s="4">
        <v>45370</v>
      </c>
      <c r="B80">
        <f t="shared" si="8"/>
        <v>2024</v>
      </c>
      <c r="C80">
        <f t="shared" si="9"/>
        <v>3</v>
      </c>
      <c r="D80" t="str">
        <f t="shared" si="10"/>
        <v>March</v>
      </c>
      <c r="E80">
        <f t="shared" si="11"/>
        <v>12</v>
      </c>
      <c r="F80">
        <f t="shared" si="12"/>
        <v>19</v>
      </c>
      <c r="G80" t="str">
        <f t="shared" si="13"/>
        <v>Tuesday</v>
      </c>
      <c r="H80" t="b">
        <f t="shared" si="14"/>
        <v>0</v>
      </c>
      <c r="I80">
        <f t="shared" si="15"/>
        <v>79</v>
      </c>
      <c r="J80" t="s">
        <v>25</v>
      </c>
      <c r="K80">
        <v>20240319</v>
      </c>
    </row>
    <row r="81" spans="1:11" x14ac:dyDescent="0.3">
      <c r="A81" s="4">
        <v>45371</v>
      </c>
      <c r="B81">
        <f t="shared" si="8"/>
        <v>2024</v>
      </c>
      <c r="C81">
        <f t="shared" si="9"/>
        <v>3</v>
      </c>
      <c r="D81" t="str">
        <f t="shared" si="10"/>
        <v>March</v>
      </c>
      <c r="E81">
        <f t="shared" si="11"/>
        <v>12</v>
      </c>
      <c r="F81">
        <f t="shared" si="12"/>
        <v>20</v>
      </c>
      <c r="G81" t="str">
        <f t="shared" si="13"/>
        <v>Wednesday</v>
      </c>
      <c r="H81" t="b">
        <f t="shared" si="14"/>
        <v>0</v>
      </c>
      <c r="I81">
        <f t="shared" si="15"/>
        <v>80</v>
      </c>
      <c r="J81" t="s">
        <v>25</v>
      </c>
      <c r="K81">
        <v>20240320</v>
      </c>
    </row>
    <row r="82" spans="1:11" x14ac:dyDescent="0.3">
      <c r="A82" s="4">
        <v>45372</v>
      </c>
      <c r="B82">
        <f t="shared" si="8"/>
        <v>2024</v>
      </c>
      <c r="C82">
        <f t="shared" si="9"/>
        <v>3</v>
      </c>
      <c r="D82" t="str">
        <f t="shared" si="10"/>
        <v>March</v>
      </c>
      <c r="E82">
        <f t="shared" si="11"/>
        <v>12</v>
      </c>
      <c r="F82">
        <f t="shared" si="12"/>
        <v>21</v>
      </c>
      <c r="G82" t="str">
        <f t="shared" si="13"/>
        <v>Thursday</v>
      </c>
      <c r="H82" t="b">
        <f t="shared" si="14"/>
        <v>0</v>
      </c>
      <c r="I82">
        <f t="shared" si="15"/>
        <v>81</v>
      </c>
      <c r="J82" t="s">
        <v>25</v>
      </c>
      <c r="K82">
        <v>20240321</v>
      </c>
    </row>
    <row r="83" spans="1:11" x14ac:dyDescent="0.3">
      <c r="A83" s="4">
        <v>45373</v>
      </c>
      <c r="B83">
        <f t="shared" si="8"/>
        <v>2024</v>
      </c>
      <c r="C83">
        <f t="shared" si="9"/>
        <v>3</v>
      </c>
      <c r="D83" t="str">
        <f t="shared" si="10"/>
        <v>March</v>
      </c>
      <c r="E83">
        <f t="shared" si="11"/>
        <v>12</v>
      </c>
      <c r="F83">
        <f t="shared" si="12"/>
        <v>22</v>
      </c>
      <c r="G83" t="str">
        <f t="shared" si="13"/>
        <v>Friday</v>
      </c>
      <c r="H83" t="b">
        <f t="shared" si="14"/>
        <v>0</v>
      </c>
      <c r="I83">
        <f t="shared" si="15"/>
        <v>82</v>
      </c>
      <c r="J83" t="s">
        <v>25</v>
      </c>
      <c r="K83">
        <v>20240322</v>
      </c>
    </row>
    <row r="84" spans="1:11" x14ac:dyDescent="0.3">
      <c r="A84" s="4">
        <v>45374</v>
      </c>
      <c r="B84">
        <f t="shared" si="8"/>
        <v>2024</v>
      </c>
      <c r="C84">
        <f t="shared" si="9"/>
        <v>3</v>
      </c>
      <c r="D84" t="str">
        <f t="shared" si="10"/>
        <v>March</v>
      </c>
      <c r="E84">
        <f t="shared" si="11"/>
        <v>12</v>
      </c>
      <c r="F84">
        <f t="shared" si="12"/>
        <v>23</v>
      </c>
      <c r="G84" t="str">
        <f t="shared" si="13"/>
        <v>Saturday</v>
      </c>
      <c r="H84" t="b">
        <f t="shared" si="14"/>
        <v>1</v>
      </c>
      <c r="I84">
        <f t="shared" si="15"/>
        <v>83</v>
      </c>
      <c r="J84" t="s">
        <v>25</v>
      </c>
      <c r="K84">
        <v>20240323</v>
      </c>
    </row>
    <row r="85" spans="1:11" x14ac:dyDescent="0.3">
      <c r="A85" s="4">
        <v>45375</v>
      </c>
      <c r="B85">
        <f t="shared" si="8"/>
        <v>2024</v>
      </c>
      <c r="C85">
        <f t="shared" si="9"/>
        <v>3</v>
      </c>
      <c r="D85" t="str">
        <f t="shared" si="10"/>
        <v>March</v>
      </c>
      <c r="E85">
        <f t="shared" si="11"/>
        <v>13</v>
      </c>
      <c r="F85">
        <f t="shared" si="12"/>
        <v>24</v>
      </c>
      <c r="G85" t="str">
        <f t="shared" si="13"/>
        <v>Sunday</v>
      </c>
      <c r="H85" t="b">
        <f t="shared" si="14"/>
        <v>1</v>
      </c>
      <c r="I85">
        <f t="shared" si="15"/>
        <v>84</v>
      </c>
      <c r="J85" t="s">
        <v>25</v>
      </c>
      <c r="K85">
        <v>20240324</v>
      </c>
    </row>
    <row r="86" spans="1:11" x14ac:dyDescent="0.3">
      <c r="A86" s="4">
        <v>45376</v>
      </c>
      <c r="B86">
        <f t="shared" si="8"/>
        <v>2024</v>
      </c>
      <c r="C86">
        <f t="shared" si="9"/>
        <v>3</v>
      </c>
      <c r="D86" t="str">
        <f t="shared" si="10"/>
        <v>March</v>
      </c>
      <c r="E86">
        <f t="shared" si="11"/>
        <v>13</v>
      </c>
      <c r="F86">
        <f t="shared" si="12"/>
        <v>25</v>
      </c>
      <c r="G86" t="str">
        <f t="shared" si="13"/>
        <v>Monday</v>
      </c>
      <c r="H86" t="b">
        <f t="shared" si="14"/>
        <v>0</v>
      </c>
      <c r="I86">
        <f t="shared" si="15"/>
        <v>85</v>
      </c>
      <c r="J86" t="s">
        <v>25</v>
      </c>
      <c r="K86">
        <v>20240325</v>
      </c>
    </row>
    <row r="87" spans="1:11" x14ac:dyDescent="0.3">
      <c r="A87" s="4">
        <v>45377</v>
      </c>
      <c r="B87">
        <f t="shared" si="8"/>
        <v>2024</v>
      </c>
      <c r="C87">
        <f t="shared" si="9"/>
        <v>3</v>
      </c>
      <c r="D87" t="str">
        <f t="shared" si="10"/>
        <v>March</v>
      </c>
      <c r="E87">
        <f t="shared" si="11"/>
        <v>13</v>
      </c>
      <c r="F87">
        <f t="shared" si="12"/>
        <v>26</v>
      </c>
      <c r="G87" t="str">
        <f t="shared" si="13"/>
        <v>Tuesday</v>
      </c>
      <c r="H87" t="b">
        <f t="shared" si="14"/>
        <v>0</v>
      </c>
      <c r="I87">
        <f t="shared" si="15"/>
        <v>86</v>
      </c>
      <c r="J87" t="s">
        <v>25</v>
      </c>
      <c r="K87">
        <v>20240326</v>
      </c>
    </row>
    <row r="88" spans="1:11" x14ac:dyDescent="0.3">
      <c r="A88" s="4">
        <v>45378</v>
      </c>
      <c r="B88">
        <f t="shared" si="8"/>
        <v>2024</v>
      </c>
      <c r="C88">
        <f t="shared" si="9"/>
        <v>3</v>
      </c>
      <c r="D88" t="str">
        <f t="shared" si="10"/>
        <v>March</v>
      </c>
      <c r="E88">
        <f t="shared" si="11"/>
        <v>13</v>
      </c>
      <c r="F88">
        <f t="shared" si="12"/>
        <v>27</v>
      </c>
      <c r="G88" t="str">
        <f t="shared" si="13"/>
        <v>Wednesday</v>
      </c>
      <c r="H88" t="b">
        <f t="shared" si="14"/>
        <v>0</v>
      </c>
      <c r="I88">
        <f t="shared" si="15"/>
        <v>87</v>
      </c>
      <c r="J88" t="s">
        <v>25</v>
      </c>
      <c r="K88">
        <v>20240327</v>
      </c>
    </row>
    <row r="89" spans="1:11" x14ac:dyDescent="0.3">
      <c r="A89" s="4">
        <v>45379</v>
      </c>
      <c r="B89">
        <f t="shared" si="8"/>
        <v>2024</v>
      </c>
      <c r="C89">
        <f t="shared" si="9"/>
        <v>3</v>
      </c>
      <c r="D89" t="str">
        <f t="shared" si="10"/>
        <v>March</v>
      </c>
      <c r="E89">
        <f t="shared" si="11"/>
        <v>13</v>
      </c>
      <c r="F89">
        <f t="shared" si="12"/>
        <v>28</v>
      </c>
      <c r="G89" t="str">
        <f t="shared" si="13"/>
        <v>Thursday</v>
      </c>
      <c r="H89" t="b">
        <f t="shared" si="14"/>
        <v>0</v>
      </c>
      <c r="I89">
        <f t="shared" si="15"/>
        <v>88</v>
      </c>
      <c r="J89" t="s">
        <v>25</v>
      </c>
      <c r="K89">
        <v>20240328</v>
      </c>
    </row>
    <row r="90" spans="1:11" x14ac:dyDescent="0.3">
      <c r="A90" s="4">
        <v>45380</v>
      </c>
      <c r="B90">
        <f t="shared" si="8"/>
        <v>2024</v>
      </c>
      <c r="C90">
        <f t="shared" si="9"/>
        <v>3</v>
      </c>
      <c r="D90" t="str">
        <f t="shared" si="10"/>
        <v>March</v>
      </c>
      <c r="E90">
        <f t="shared" si="11"/>
        <v>13</v>
      </c>
      <c r="F90">
        <f t="shared" si="12"/>
        <v>29</v>
      </c>
      <c r="G90" t="str">
        <f t="shared" si="13"/>
        <v>Friday</v>
      </c>
      <c r="H90" t="b">
        <f t="shared" si="14"/>
        <v>0</v>
      </c>
      <c r="I90">
        <f t="shared" si="15"/>
        <v>89</v>
      </c>
      <c r="J90" t="s">
        <v>25</v>
      </c>
      <c r="K90">
        <v>20240329</v>
      </c>
    </row>
    <row r="91" spans="1:11" x14ac:dyDescent="0.3">
      <c r="A91" s="4">
        <v>45381</v>
      </c>
      <c r="B91">
        <f t="shared" si="8"/>
        <v>2024</v>
      </c>
      <c r="C91">
        <f t="shared" si="9"/>
        <v>3</v>
      </c>
      <c r="D91" t="str">
        <f t="shared" si="10"/>
        <v>March</v>
      </c>
      <c r="E91">
        <f t="shared" si="11"/>
        <v>13</v>
      </c>
      <c r="F91">
        <f t="shared" si="12"/>
        <v>30</v>
      </c>
      <c r="G91" t="str">
        <f t="shared" si="13"/>
        <v>Saturday</v>
      </c>
      <c r="H91" t="b">
        <f t="shared" si="14"/>
        <v>1</v>
      </c>
      <c r="I91">
        <f t="shared" si="15"/>
        <v>90</v>
      </c>
      <c r="J91" t="s">
        <v>25</v>
      </c>
      <c r="K91">
        <v>20240330</v>
      </c>
    </row>
    <row r="92" spans="1:11" x14ac:dyDescent="0.3">
      <c r="A92" s="4">
        <v>45382</v>
      </c>
      <c r="B92">
        <f t="shared" si="8"/>
        <v>2024</v>
      </c>
      <c r="C92">
        <f t="shared" si="9"/>
        <v>3</v>
      </c>
      <c r="D92" t="str">
        <f t="shared" si="10"/>
        <v>March</v>
      </c>
      <c r="E92">
        <f t="shared" si="11"/>
        <v>14</v>
      </c>
      <c r="F92">
        <f t="shared" si="12"/>
        <v>31</v>
      </c>
      <c r="G92" t="str">
        <f t="shared" si="13"/>
        <v>Sunday</v>
      </c>
      <c r="H92" t="b">
        <f t="shared" si="14"/>
        <v>1</v>
      </c>
      <c r="I92">
        <f t="shared" si="15"/>
        <v>91</v>
      </c>
      <c r="J92" t="s">
        <v>25</v>
      </c>
      <c r="K92">
        <v>20240331</v>
      </c>
    </row>
    <row r="93" spans="1:11" x14ac:dyDescent="0.3">
      <c r="A93" s="4">
        <v>45383</v>
      </c>
      <c r="B93">
        <f t="shared" si="8"/>
        <v>2024</v>
      </c>
      <c r="C93">
        <f t="shared" si="9"/>
        <v>4</v>
      </c>
      <c r="D93" t="str">
        <f t="shared" si="10"/>
        <v>April</v>
      </c>
      <c r="E93">
        <f t="shared" si="11"/>
        <v>14</v>
      </c>
      <c r="F93">
        <f t="shared" si="12"/>
        <v>1</v>
      </c>
      <c r="G93" t="str">
        <f t="shared" si="13"/>
        <v>Monday</v>
      </c>
      <c r="H93" t="b">
        <f t="shared" si="14"/>
        <v>0</v>
      </c>
      <c r="I93">
        <f t="shared" si="15"/>
        <v>92</v>
      </c>
      <c r="J93" t="s">
        <v>25</v>
      </c>
      <c r="K93">
        <v>20240401</v>
      </c>
    </row>
    <row r="94" spans="1:11" x14ac:dyDescent="0.3">
      <c r="A94" s="4">
        <v>45384</v>
      </c>
      <c r="B94">
        <f t="shared" si="8"/>
        <v>2024</v>
      </c>
      <c r="C94">
        <f t="shared" si="9"/>
        <v>4</v>
      </c>
      <c r="D94" t="str">
        <f t="shared" si="10"/>
        <v>April</v>
      </c>
      <c r="E94">
        <f t="shared" si="11"/>
        <v>14</v>
      </c>
      <c r="F94">
        <f t="shared" si="12"/>
        <v>2</v>
      </c>
      <c r="G94" t="str">
        <f t="shared" si="13"/>
        <v>Tuesday</v>
      </c>
      <c r="H94" t="b">
        <f t="shared" si="14"/>
        <v>0</v>
      </c>
      <c r="I94">
        <f t="shared" si="15"/>
        <v>93</v>
      </c>
      <c r="J94" t="s">
        <v>25</v>
      </c>
      <c r="K94">
        <v>20240402</v>
      </c>
    </row>
    <row r="95" spans="1:11" x14ac:dyDescent="0.3">
      <c r="A95" s="4">
        <v>45385</v>
      </c>
      <c r="B95">
        <f t="shared" si="8"/>
        <v>2024</v>
      </c>
      <c r="C95">
        <f t="shared" si="9"/>
        <v>4</v>
      </c>
      <c r="D95" t="str">
        <f t="shared" si="10"/>
        <v>April</v>
      </c>
      <c r="E95">
        <f t="shared" si="11"/>
        <v>14</v>
      </c>
      <c r="F95">
        <f t="shared" si="12"/>
        <v>3</v>
      </c>
      <c r="G95" t="str">
        <f t="shared" si="13"/>
        <v>Wednesday</v>
      </c>
      <c r="H95" t="b">
        <f t="shared" si="14"/>
        <v>0</v>
      </c>
      <c r="I95">
        <f t="shared" si="15"/>
        <v>94</v>
      </c>
      <c r="J95" t="s">
        <v>25</v>
      </c>
      <c r="K95">
        <v>20240403</v>
      </c>
    </row>
    <row r="96" spans="1:11" x14ac:dyDescent="0.3">
      <c r="A96" s="4">
        <v>45386</v>
      </c>
      <c r="B96">
        <f t="shared" si="8"/>
        <v>2024</v>
      </c>
      <c r="C96">
        <f t="shared" si="9"/>
        <v>4</v>
      </c>
      <c r="D96" t="str">
        <f t="shared" si="10"/>
        <v>April</v>
      </c>
      <c r="E96">
        <f t="shared" si="11"/>
        <v>14</v>
      </c>
      <c r="F96">
        <f t="shared" si="12"/>
        <v>4</v>
      </c>
      <c r="G96" t="str">
        <f t="shared" si="13"/>
        <v>Thursday</v>
      </c>
      <c r="H96" t="b">
        <f t="shared" si="14"/>
        <v>0</v>
      </c>
      <c r="I96">
        <f t="shared" si="15"/>
        <v>95</v>
      </c>
      <c r="J96" t="s">
        <v>25</v>
      </c>
      <c r="K96">
        <v>20240404</v>
      </c>
    </row>
    <row r="97" spans="1:11" x14ac:dyDescent="0.3">
      <c r="A97" s="4">
        <v>45387</v>
      </c>
      <c r="B97">
        <f t="shared" si="8"/>
        <v>2024</v>
      </c>
      <c r="C97">
        <f t="shared" si="9"/>
        <v>4</v>
      </c>
      <c r="D97" t="str">
        <f t="shared" si="10"/>
        <v>April</v>
      </c>
      <c r="E97">
        <f t="shared" si="11"/>
        <v>14</v>
      </c>
      <c r="F97">
        <f t="shared" si="12"/>
        <v>5</v>
      </c>
      <c r="G97" t="str">
        <f t="shared" si="13"/>
        <v>Friday</v>
      </c>
      <c r="H97" t="b">
        <f t="shared" si="14"/>
        <v>0</v>
      </c>
      <c r="I97">
        <f t="shared" si="15"/>
        <v>96</v>
      </c>
      <c r="J97" t="s">
        <v>25</v>
      </c>
      <c r="K97">
        <v>20240405</v>
      </c>
    </row>
    <row r="98" spans="1:11" x14ac:dyDescent="0.3">
      <c r="A98" s="4">
        <v>45388</v>
      </c>
      <c r="B98">
        <f t="shared" si="8"/>
        <v>2024</v>
      </c>
      <c r="C98">
        <f t="shared" si="9"/>
        <v>4</v>
      </c>
      <c r="D98" t="str">
        <f t="shared" si="10"/>
        <v>April</v>
      </c>
      <c r="E98">
        <f t="shared" si="11"/>
        <v>14</v>
      </c>
      <c r="F98">
        <f t="shared" si="12"/>
        <v>6</v>
      </c>
      <c r="G98" t="str">
        <f t="shared" si="13"/>
        <v>Saturday</v>
      </c>
      <c r="H98" t="b">
        <f t="shared" si="14"/>
        <v>1</v>
      </c>
      <c r="I98">
        <f t="shared" si="15"/>
        <v>97</v>
      </c>
      <c r="J98" t="s">
        <v>25</v>
      </c>
      <c r="K98">
        <v>20240406</v>
      </c>
    </row>
    <row r="99" spans="1:11" x14ac:dyDescent="0.3">
      <c r="A99" s="4">
        <v>45389</v>
      </c>
      <c r="B99">
        <f t="shared" si="8"/>
        <v>2024</v>
      </c>
      <c r="C99">
        <f t="shared" si="9"/>
        <v>4</v>
      </c>
      <c r="D99" t="str">
        <f t="shared" si="10"/>
        <v>April</v>
      </c>
      <c r="E99">
        <f t="shared" si="11"/>
        <v>15</v>
      </c>
      <c r="F99">
        <f t="shared" si="12"/>
        <v>7</v>
      </c>
      <c r="G99" t="str">
        <f t="shared" si="13"/>
        <v>Sunday</v>
      </c>
      <c r="H99" t="b">
        <f t="shared" si="14"/>
        <v>1</v>
      </c>
      <c r="I99">
        <f t="shared" si="15"/>
        <v>98</v>
      </c>
      <c r="J99" t="s">
        <v>25</v>
      </c>
      <c r="K99">
        <v>20240407</v>
      </c>
    </row>
    <row r="100" spans="1:11" x14ac:dyDescent="0.3">
      <c r="A100" s="4">
        <v>45390</v>
      </c>
      <c r="B100">
        <f t="shared" si="8"/>
        <v>2024</v>
      </c>
      <c r="C100">
        <f t="shared" si="9"/>
        <v>4</v>
      </c>
      <c r="D100" t="str">
        <f t="shared" si="10"/>
        <v>April</v>
      </c>
      <c r="E100">
        <f t="shared" si="11"/>
        <v>15</v>
      </c>
      <c r="F100">
        <f t="shared" si="12"/>
        <v>8</v>
      </c>
      <c r="G100" t="str">
        <f t="shared" si="13"/>
        <v>Monday</v>
      </c>
      <c r="H100" t="b">
        <f t="shared" si="14"/>
        <v>0</v>
      </c>
      <c r="I100">
        <f t="shared" si="15"/>
        <v>99</v>
      </c>
      <c r="J100" t="s">
        <v>25</v>
      </c>
      <c r="K100">
        <v>20240408</v>
      </c>
    </row>
    <row r="101" spans="1:11" x14ac:dyDescent="0.3">
      <c r="A101" s="4">
        <v>45391</v>
      </c>
      <c r="B101">
        <f t="shared" si="8"/>
        <v>2024</v>
      </c>
      <c r="C101">
        <f t="shared" si="9"/>
        <v>4</v>
      </c>
      <c r="D101" t="str">
        <f t="shared" si="10"/>
        <v>April</v>
      </c>
      <c r="E101">
        <f t="shared" si="11"/>
        <v>15</v>
      </c>
      <c r="F101">
        <f t="shared" si="12"/>
        <v>9</v>
      </c>
      <c r="G101" t="str">
        <f t="shared" si="13"/>
        <v>Tuesday</v>
      </c>
      <c r="H101" t="b">
        <f t="shared" si="14"/>
        <v>0</v>
      </c>
      <c r="I101">
        <f t="shared" si="15"/>
        <v>100</v>
      </c>
      <c r="J101" t="s">
        <v>25</v>
      </c>
      <c r="K101">
        <v>20240409</v>
      </c>
    </row>
    <row r="102" spans="1:11" x14ac:dyDescent="0.3">
      <c r="A102" s="4">
        <v>45392</v>
      </c>
      <c r="B102">
        <f t="shared" si="8"/>
        <v>2024</v>
      </c>
      <c r="C102">
        <f t="shared" si="9"/>
        <v>4</v>
      </c>
      <c r="D102" t="str">
        <f t="shared" si="10"/>
        <v>April</v>
      </c>
      <c r="E102">
        <f t="shared" si="11"/>
        <v>15</v>
      </c>
      <c r="F102">
        <f t="shared" si="12"/>
        <v>10</v>
      </c>
      <c r="G102" t="str">
        <f t="shared" si="13"/>
        <v>Wednesday</v>
      </c>
      <c r="H102" t="b">
        <f t="shared" si="14"/>
        <v>0</v>
      </c>
      <c r="I102">
        <f t="shared" si="15"/>
        <v>101</v>
      </c>
      <c r="J102" t="s">
        <v>25</v>
      </c>
      <c r="K102">
        <v>20240410</v>
      </c>
    </row>
    <row r="103" spans="1:11" x14ac:dyDescent="0.3">
      <c r="A103" s="4">
        <v>45393</v>
      </c>
      <c r="B103">
        <f t="shared" si="8"/>
        <v>2024</v>
      </c>
      <c r="C103">
        <f t="shared" si="9"/>
        <v>4</v>
      </c>
      <c r="D103" t="str">
        <f t="shared" si="10"/>
        <v>April</v>
      </c>
      <c r="E103">
        <f t="shared" si="11"/>
        <v>15</v>
      </c>
      <c r="F103">
        <f t="shared" si="12"/>
        <v>11</v>
      </c>
      <c r="G103" t="str">
        <f t="shared" si="13"/>
        <v>Thursday</v>
      </c>
      <c r="H103" t="b">
        <f t="shared" si="14"/>
        <v>0</v>
      </c>
      <c r="I103">
        <f t="shared" si="15"/>
        <v>102</v>
      </c>
      <c r="J103" t="s">
        <v>25</v>
      </c>
      <c r="K103">
        <v>20240411</v>
      </c>
    </row>
    <row r="104" spans="1:11" x14ac:dyDescent="0.3">
      <c r="A104" s="4">
        <v>45394</v>
      </c>
      <c r="B104">
        <f t="shared" si="8"/>
        <v>2024</v>
      </c>
      <c r="C104">
        <f t="shared" si="9"/>
        <v>4</v>
      </c>
      <c r="D104" t="str">
        <f t="shared" si="10"/>
        <v>April</v>
      </c>
      <c r="E104">
        <f t="shared" si="11"/>
        <v>15</v>
      </c>
      <c r="F104">
        <f t="shared" si="12"/>
        <v>12</v>
      </c>
      <c r="G104" t="str">
        <f t="shared" si="13"/>
        <v>Friday</v>
      </c>
      <c r="H104" t="b">
        <f t="shared" si="14"/>
        <v>0</v>
      </c>
      <c r="I104">
        <f t="shared" si="15"/>
        <v>103</v>
      </c>
      <c r="J104" t="s">
        <v>25</v>
      </c>
      <c r="K104">
        <v>20240412</v>
      </c>
    </row>
    <row r="105" spans="1:11" x14ac:dyDescent="0.3">
      <c r="A105" s="4">
        <v>45395</v>
      </c>
      <c r="B105">
        <f t="shared" si="8"/>
        <v>2024</v>
      </c>
      <c r="C105">
        <f t="shared" si="9"/>
        <v>4</v>
      </c>
      <c r="D105" t="str">
        <f t="shared" si="10"/>
        <v>April</v>
      </c>
      <c r="E105">
        <f t="shared" si="11"/>
        <v>15</v>
      </c>
      <c r="F105">
        <f t="shared" si="12"/>
        <v>13</v>
      </c>
      <c r="G105" t="str">
        <f t="shared" si="13"/>
        <v>Saturday</v>
      </c>
      <c r="H105" t="b">
        <f t="shared" si="14"/>
        <v>1</v>
      </c>
      <c r="I105">
        <f t="shared" si="15"/>
        <v>104</v>
      </c>
      <c r="J105" t="s">
        <v>25</v>
      </c>
      <c r="K105">
        <v>20240413</v>
      </c>
    </row>
    <row r="106" spans="1:11" x14ac:dyDescent="0.3">
      <c r="A106" s="4">
        <v>45396</v>
      </c>
      <c r="B106">
        <f t="shared" si="8"/>
        <v>2024</v>
      </c>
      <c r="C106">
        <f t="shared" si="9"/>
        <v>4</v>
      </c>
      <c r="D106" t="str">
        <f t="shared" si="10"/>
        <v>April</v>
      </c>
      <c r="E106">
        <f t="shared" si="11"/>
        <v>16</v>
      </c>
      <c r="F106">
        <f t="shared" si="12"/>
        <v>14</v>
      </c>
      <c r="G106" t="str">
        <f t="shared" si="13"/>
        <v>Sunday</v>
      </c>
      <c r="H106" t="b">
        <f t="shared" si="14"/>
        <v>1</v>
      </c>
      <c r="I106">
        <f t="shared" si="15"/>
        <v>105</v>
      </c>
      <c r="J106" t="s">
        <v>25</v>
      </c>
      <c r="K106">
        <v>20240414</v>
      </c>
    </row>
    <row r="107" spans="1:11" x14ac:dyDescent="0.3">
      <c r="A107" s="4">
        <v>45397</v>
      </c>
      <c r="B107">
        <f t="shared" si="8"/>
        <v>2024</v>
      </c>
      <c r="C107">
        <f t="shared" si="9"/>
        <v>4</v>
      </c>
      <c r="D107" t="str">
        <f t="shared" si="10"/>
        <v>April</v>
      </c>
      <c r="E107">
        <f t="shared" si="11"/>
        <v>16</v>
      </c>
      <c r="F107">
        <f t="shared" si="12"/>
        <v>15</v>
      </c>
      <c r="G107" t="str">
        <f t="shared" si="13"/>
        <v>Monday</v>
      </c>
      <c r="H107" t="b">
        <f t="shared" si="14"/>
        <v>0</v>
      </c>
      <c r="I107">
        <f t="shared" si="15"/>
        <v>106</v>
      </c>
      <c r="J107" t="s">
        <v>25</v>
      </c>
      <c r="K107">
        <v>20240415</v>
      </c>
    </row>
    <row r="108" spans="1:11" x14ac:dyDescent="0.3">
      <c r="A108" s="4">
        <v>45398</v>
      </c>
      <c r="B108">
        <f t="shared" si="8"/>
        <v>2024</v>
      </c>
      <c r="C108">
        <f t="shared" si="9"/>
        <v>4</v>
      </c>
      <c r="D108" t="str">
        <f t="shared" si="10"/>
        <v>April</v>
      </c>
      <c r="E108">
        <f t="shared" si="11"/>
        <v>16</v>
      </c>
      <c r="F108">
        <f t="shared" si="12"/>
        <v>16</v>
      </c>
      <c r="G108" t="str">
        <f t="shared" si="13"/>
        <v>Tuesday</v>
      </c>
      <c r="H108" t="b">
        <f t="shared" si="14"/>
        <v>0</v>
      </c>
      <c r="I108">
        <f t="shared" si="15"/>
        <v>107</v>
      </c>
      <c r="J108" t="s">
        <v>25</v>
      </c>
      <c r="K108">
        <v>20240416</v>
      </c>
    </row>
    <row r="109" spans="1:11" x14ac:dyDescent="0.3">
      <c r="A109" s="4">
        <v>45399</v>
      </c>
      <c r="B109">
        <f t="shared" si="8"/>
        <v>2024</v>
      </c>
      <c r="C109">
        <f t="shared" si="9"/>
        <v>4</v>
      </c>
      <c r="D109" t="str">
        <f t="shared" si="10"/>
        <v>April</v>
      </c>
      <c r="E109">
        <f t="shared" si="11"/>
        <v>16</v>
      </c>
      <c r="F109">
        <f t="shared" si="12"/>
        <v>17</v>
      </c>
      <c r="G109" t="str">
        <f t="shared" si="13"/>
        <v>Wednesday</v>
      </c>
      <c r="H109" t="b">
        <f t="shared" si="14"/>
        <v>0</v>
      </c>
      <c r="I109">
        <f t="shared" si="15"/>
        <v>108</v>
      </c>
      <c r="J109" t="s">
        <v>25</v>
      </c>
      <c r="K109">
        <v>20240417</v>
      </c>
    </row>
    <row r="110" spans="1:11" x14ac:dyDescent="0.3">
      <c r="A110" s="4">
        <v>45400</v>
      </c>
      <c r="B110">
        <f t="shared" si="8"/>
        <v>2024</v>
      </c>
      <c r="C110">
        <f t="shared" si="9"/>
        <v>4</v>
      </c>
      <c r="D110" t="str">
        <f t="shared" si="10"/>
        <v>April</v>
      </c>
      <c r="E110">
        <f t="shared" si="11"/>
        <v>16</v>
      </c>
      <c r="F110">
        <f t="shared" si="12"/>
        <v>18</v>
      </c>
      <c r="G110" t="str">
        <f t="shared" si="13"/>
        <v>Thursday</v>
      </c>
      <c r="H110" t="b">
        <f t="shared" si="14"/>
        <v>0</v>
      </c>
      <c r="I110">
        <f t="shared" si="15"/>
        <v>109</v>
      </c>
      <c r="J110" t="s">
        <v>25</v>
      </c>
      <c r="K110">
        <v>20240418</v>
      </c>
    </row>
    <row r="111" spans="1:11" x14ac:dyDescent="0.3">
      <c r="A111" s="4">
        <v>45401</v>
      </c>
      <c r="B111">
        <f t="shared" si="8"/>
        <v>2024</v>
      </c>
      <c r="C111">
        <f t="shared" si="9"/>
        <v>4</v>
      </c>
      <c r="D111" t="str">
        <f t="shared" si="10"/>
        <v>April</v>
      </c>
      <c r="E111">
        <f t="shared" si="11"/>
        <v>16</v>
      </c>
      <c r="F111">
        <f t="shared" si="12"/>
        <v>19</v>
      </c>
      <c r="G111" t="str">
        <f t="shared" si="13"/>
        <v>Friday</v>
      </c>
      <c r="H111" t="b">
        <f t="shared" si="14"/>
        <v>0</v>
      </c>
      <c r="I111">
        <f t="shared" si="15"/>
        <v>110</v>
      </c>
      <c r="J111" t="s">
        <v>25</v>
      </c>
      <c r="K111">
        <v>20240419</v>
      </c>
    </row>
    <row r="112" spans="1:11" x14ac:dyDescent="0.3">
      <c r="A112" s="4">
        <v>45402</v>
      </c>
      <c r="B112">
        <f t="shared" si="8"/>
        <v>2024</v>
      </c>
      <c r="C112">
        <f t="shared" si="9"/>
        <v>4</v>
      </c>
      <c r="D112" t="str">
        <f t="shared" si="10"/>
        <v>April</v>
      </c>
      <c r="E112">
        <f t="shared" si="11"/>
        <v>16</v>
      </c>
      <c r="F112">
        <f t="shared" si="12"/>
        <v>20</v>
      </c>
      <c r="G112" t="str">
        <f t="shared" si="13"/>
        <v>Saturday</v>
      </c>
      <c r="H112" t="b">
        <f t="shared" si="14"/>
        <v>1</v>
      </c>
      <c r="I112">
        <f t="shared" si="15"/>
        <v>111</v>
      </c>
      <c r="J112" t="s">
        <v>25</v>
      </c>
      <c r="K112">
        <v>20240420</v>
      </c>
    </row>
    <row r="113" spans="1:11" x14ac:dyDescent="0.3">
      <c r="A113" s="4">
        <v>45403</v>
      </c>
      <c r="B113">
        <f t="shared" si="8"/>
        <v>2024</v>
      </c>
      <c r="C113">
        <f t="shared" si="9"/>
        <v>4</v>
      </c>
      <c r="D113" t="str">
        <f t="shared" si="10"/>
        <v>April</v>
      </c>
      <c r="E113">
        <f t="shared" si="11"/>
        <v>17</v>
      </c>
      <c r="F113">
        <f t="shared" si="12"/>
        <v>21</v>
      </c>
      <c r="G113" t="str">
        <f t="shared" si="13"/>
        <v>Sunday</v>
      </c>
      <c r="H113" t="b">
        <f t="shared" si="14"/>
        <v>1</v>
      </c>
      <c r="I113">
        <f t="shared" si="15"/>
        <v>112</v>
      </c>
      <c r="J113" t="s">
        <v>25</v>
      </c>
      <c r="K113">
        <v>20240421</v>
      </c>
    </row>
    <row r="114" spans="1:11" x14ac:dyDescent="0.3">
      <c r="A114" s="4">
        <v>45404</v>
      </c>
      <c r="B114">
        <f t="shared" si="8"/>
        <v>2024</v>
      </c>
      <c r="C114">
        <f t="shared" si="9"/>
        <v>4</v>
      </c>
      <c r="D114" t="str">
        <f t="shared" si="10"/>
        <v>April</v>
      </c>
      <c r="E114">
        <f t="shared" si="11"/>
        <v>17</v>
      </c>
      <c r="F114">
        <f t="shared" si="12"/>
        <v>22</v>
      </c>
      <c r="G114" t="str">
        <f t="shared" si="13"/>
        <v>Monday</v>
      </c>
      <c r="H114" t="b">
        <f t="shared" si="14"/>
        <v>0</v>
      </c>
      <c r="I114">
        <f t="shared" si="15"/>
        <v>113</v>
      </c>
      <c r="J114" t="s">
        <v>25</v>
      </c>
      <c r="K114">
        <v>20240422</v>
      </c>
    </row>
    <row r="115" spans="1:11" x14ac:dyDescent="0.3">
      <c r="A115" s="4">
        <v>45405</v>
      </c>
      <c r="B115">
        <f t="shared" si="8"/>
        <v>2024</v>
      </c>
      <c r="C115">
        <f t="shared" si="9"/>
        <v>4</v>
      </c>
      <c r="D115" t="str">
        <f t="shared" si="10"/>
        <v>April</v>
      </c>
      <c r="E115">
        <f t="shared" si="11"/>
        <v>17</v>
      </c>
      <c r="F115">
        <f t="shared" si="12"/>
        <v>23</v>
      </c>
      <c r="G115" t="str">
        <f t="shared" si="13"/>
        <v>Tuesday</v>
      </c>
      <c r="H115" t="b">
        <f t="shared" si="14"/>
        <v>0</v>
      </c>
      <c r="I115">
        <f t="shared" si="15"/>
        <v>114</v>
      </c>
      <c r="J115" t="s">
        <v>25</v>
      </c>
      <c r="K115">
        <v>20240423</v>
      </c>
    </row>
    <row r="116" spans="1:11" x14ac:dyDescent="0.3">
      <c r="A116" s="4">
        <v>45406</v>
      </c>
      <c r="B116">
        <f t="shared" si="8"/>
        <v>2024</v>
      </c>
      <c r="C116">
        <f t="shared" si="9"/>
        <v>4</v>
      </c>
      <c r="D116" t="str">
        <f t="shared" si="10"/>
        <v>April</v>
      </c>
      <c r="E116">
        <f t="shared" si="11"/>
        <v>17</v>
      </c>
      <c r="F116">
        <f t="shared" si="12"/>
        <v>24</v>
      </c>
      <c r="G116" t="str">
        <f t="shared" si="13"/>
        <v>Wednesday</v>
      </c>
      <c r="H116" t="b">
        <f t="shared" si="14"/>
        <v>0</v>
      </c>
      <c r="I116">
        <f t="shared" si="15"/>
        <v>115</v>
      </c>
      <c r="J116" t="s">
        <v>25</v>
      </c>
      <c r="K116">
        <v>20240424</v>
      </c>
    </row>
    <row r="117" spans="1:11" x14ac:dyDescent="0.3">
      <c r="A117" s="4">
        <v>45407</v>
      </c>
      <c r="B117">
        <f t="shared" si="8"/>
        <v>2024</v>
      </c>
      <c r="C117">
        <f t="shared" si="9"/>
        <v>4</v>
      </c>
      <c r="D117" t="str">
        <f t="shared" si="10"/>
        <v>April</v>
      </c>
      <c r="E117">
        <f t="shared" si="11"/>
        <v>17</v>
      </c>
      <c r="F117">
        <f t="shared" si="12"/>
        <v>25</v>
      </c>
      <c r="G117" t="str">
        <f t="shared" si="13"/>
        <v>Thursday</v>
      </c>
      <c r="H117" t="b">
        <f t="shared" si="14"/>
        <v>0</v>
      </c>
      <c r="I117">
        <f t="shared" si="15"/>
        <v>116</v>
      </c>
      <c r="J117" t="s">
        <v>25</v>
      </c>
      <c r="K117">
        <v>20240425</v>
      </c>
    </row>
    <row r="118" spans="1:11" x14ac:dyDescent="0.3">
      <c r="A118" s="4">
        <v>45408</v>
      </c>
      <c r="B118">
        <f t="shared" si="8"/>
        <v>2024</v>
      </c>
      <c r="C118">
        <f t="shared" si="9"/>
        <v>4</v>
      </c>
      <c r="D118" t="str">
        <f t="shared" si="10"/>
        <v>April</v>
      </c>
      <c r="E118">
        <f t="shared" si="11"/>
        <v>17</v>
      </c>
      <c r="F118">
        <f t="shared" si="12"/>
        <v>26</v>
      </c>
      <c r="G118" t="str">
        <f t="shared" si="13"/>
        <v>Friday</v>
      </c>
      <c r="H118" t="b">
        <f t="shared" si="14"/>
        <v>0</v>
      </c>
      <c r="I118">
        <f t="shared" si="15"/>
        <v>117</v>
      </c>
      <c r="J118" t="s">
        <v>25</v>
      </c>
      <c r="K118">
        <v>20240426</v>
      </c>
    </row>
    <row r="119" spans="1:11" x14ac:dyDescent="0.3">
      <c r="A119" s="4">
        <v>45409</v>
      </c>
      <c r="B119">
        <f t="shared" si="8"/>
        <v>2024</v>
      </c>
      <c r="C119">
        <f t="shared" si="9"/>
        <v>4</v>
      </c>
      <c r="D119" t="str">
        <f t="shared" si="10"/>
        <v>April</v>
      </c>
      <c r="E119">
        <f t="shared" si="11"/>
        <v>17</v>
      </c>
      <c r="F119">
        <f t="shared" si="12"/>
        <v>27</v>
      </c>
      <c r="G119" t="str">
        <f t="shared" si="13"/>
        <v>Saturday</v>
      </c>
      <c r="H119" t="b">
        <f t="shared" si="14"/>
        <v>1</v>
      </c>
      <c r="I119">
        <f t="shared" si="15"/>
        <v>118</v>
      </c>
      <c r="J119" t="s">
        <v>25</v>
      </c>
      <c r="K119">
        <v>20240427</v>
      </c>
    </row>
    <row r="120" spans="1:11" x14ac:dyDescent="0.3">
      <c r="A120" s="4">
        <v>45410</v>
      </c>
      <c r="B120">
        <f t="shared" si="8"/>
        <v>2024</v>
      </c>
      <c r="C120">
        <f t="shared" si="9"/>
        <v>4</v>
      </c>
      <c r="D120" t="str">
        <f t="shared" si="10"/>
        <v>April</v>
      </c>
      <c r="E120">
        <f t="shared" si="11"/>
        <v>18</v>
      </c>
      <c r="F120">
        <f t="shared" si="12"/>
        <v>28</v>
      </c>
      <c r="G120" t="str">
        <f t="shared" si="13"/>
        <v>Sunday</v>
      </c>
      <c r="H120" t="b">
        <f t="shared" si="14"/>
        <v>1</v>
      </c>
      <c r="I120">
        <f t="shared" si="15"/>
        <v>119</v>
      </c>
      <c r="J120" t="s">
        <v>25</v>
      </c>
      <c r="K120">
        <v>20240428</v>
      </c>
    </row>
    <row r="121" spans="1:11" x14ac:dyDescent="0.3">
      <c r="A121" s="4">
        <v>45411</v>
      </c>
      <c r="B121">
        <f t="shared" si="8"/>
        <v>2024</v>
      </c>
      <c r="C121">
        <f t="shared" si="9"/>
        <v>4</v>
      </c>
      <c r="D121" t="str">
        <f t="shared" si="10"/>
        <v>April</v>
      </c>
      <c r="E121">
        <f t="shared" si="11"/>
        <v>18</v>
      </c>
      <c r="F121">
        <f t="shared" si="12"/>
        <v>29</v>
      </c>
      <c r="G121" t="str">
        <f t="shared" si="13"/>
        <v>Monday</v>
      </c>
      <c r="H121" t="b">
        <f t="shared" si="14"/>
        <v>0</v>
      </c>
      <c r="I121">
        <f t="shared" si="15"/>
        <v>120</v>
      </c>
      <c r="J121" t="s">
        <v>25</v>
      </c>
      <c r="K121">
        <v>20240429</v>
      </c>
    </row>
    <row r="122" spans="1:11" x14ac:dyDescent="0.3">
      <c r="A122" s="4">
        <v>45412</v>
      </c>
      <c r="B122">
        <f t="shared" si="8"/>
        <v>2024</v>
      </c>
      <c r="C122">
        <f t="shared" si="9"/>
        <v>4</v>
      </c>
      <c r="D122" t="str">
        <f t="shared" si="10"/>
        <v>April</v>
      </c>
      <c r="E122">
        <f t="shared" si="11"/>
        <v>18</v>
      </c>
      <c r="F122">
        <f t="shared" si="12"/>
        <v>30</v>
      </c>
      <c r="G122" t="str">
        <f t="shared" si="13"/>
        <v>Tuesday</v>
      </c>
      <c r="H122" t="b">
        <f t="shared" si="14"/>
        <v>0</v>
      </c>
      <c r="I122">
        <f t="shared" si="15"/>
        <v>121</v>
      </c>
      <c r="J122" t="s">
        <v>25</v>
      </c>
      <c r="K122">
        <v>20240430</v>
      </c>
    </row>
    <row r="123" spans="1:11" x14ac:dyDescent="0.3">
      <c r="A123" s="4">
        <v>45413</v>
      </c>
      <c r="B123">
        <f t="shared" si="8"/>
        <v>2024</v>
      </c>
      <c r="C123">
        <f t="shared" si="9"/>
        <v>5</v>
      </c>
      <c r="D123" t="str">
        <f t="shared" si="10"/>
        <v>May</v>
      </c>
      <c r="E123">
        <f t="shared" si="11"/>
        <v>18</v>
      </c>
      <c r="F123">
        <f t="shared" si="12"/>
        <v>1</v>
      </c>
      <c r="G123" t="str">
        <f t="shared" si="13"/>
        <v>Wednesday</v>
      </c>
      <c r="H123" t="b">
        <f t="shared" si="14"/>
        <v>0</v>
      </c>
      <c r="I123">
        <f t="shared" si="15"/>
        <v>122</v>
      </c>
      <c r="J123" t="s">
        <v>28</v>
      </c>
      <c r="K123">
        <v>20240501</v>
      </c>
    </row>
    <row r="124" spans="1:11" x14ac:dyDescent="0.3">
      <c r="A124" s="4">
        <v>45414</v>
      </c>
      <c r="B124">
        <f t="shared" si="8"/>
        <v>2024</v>
      </c>
      <c r="C124">
        <f t="shared" si="9"/>
        <v>5</v>
      </c>
      <c r="D124" t="str">
        <f t="shared" si="10"/>
        <v>May</v>
      </c>
      <c r="E124">
        <f t="shared" si="11"/>
        <v>18</v>
      </c>
      <c r="F124">
        <f t="shared" si="12"/>
        <v>2</v>
      </c>
      <c r="G124" t="str">
        <f t="shared" si="13"/>
        <v>Thursday</v>
      </c>
      <c r="H124" t="b">
        <f t="shared" si="14"/>
        <v>0</v>
      </c>
      <c r="I124">
        <f t="shared" si="15"/>
        <v>123</v>
      </c>
      <c r="J124" t="s">
        <v>28</v>
      </c>
      <c r="K124">
        <v>20240502</v>
      </c>
    </row>
    <row r="125" spans="1:11" x14ac:dyDescent="0.3">
      <c r="A125" s="4">
        <v>45415</v>
      </c>
      <c r="B125">
        <f t="shared" si="8"/>
        <v>2024</v>
      </c>
      <c r="C125">
        <f t="shared" si="9"/>
        <v>5</v>
      </c>
      <c r="D125" t="str">
        <f t="shared" si="10"/>
        <v>May</v>
      </c>
      <c r="E125">
        <f t="shared" si="11"/>
        <v>18</v>
      </c>
      <c r="F125">
        <f t="shared" si="12"/>
        <v>3</v>
      </c>
      <c r="G125" t="str">
        <f t="shared" si="13"/>
        <v>Friday</v>
      </c>
      <c r="H125" t="b">
        <f t="shared" si="14"/>
        <v>0</v>
      </c>
      <c r="I125">
        <f t="shared" si="15"/>
        <v>124</v>
      </c>
      <c r="J125" t="s">
        <v>28</v>
      </c>
      <c r="K125">
        <v>20240503</v>
      </c>
    </row>
    <row r="126" spans="1:11" x14ac:dyDescent="0.3">
      <c r="A126" s="4">
        <v>45416</v>
      </c>
      <c r="B126">
        <f t="shared" si="8"/>
        <v>2024</v>
      </c>
      <c r="C126">
        <f t="shared" si="9"/>
        <v>5</v>
      </c>
      <c r="D126" t="str">
        <f t="shared" si="10"/>
        <v>May</v>
      </c>
      <c r="E126">
        <f t="shared" si="11"/>
        <v>18</v>
      </c>
      <c r="F126">
        <f t="shared" si="12"/>
        <v>4</v>
      </c>
      <c r="G126" t="str">
        <f t="shared" si="13"/>
        <v>Saturday</v>
      </c>
      <c r="H126" t="b">
        <f t="shared" si="14"/>
        <v>1</v>
      </c>
      <c r="I126">
        <f t="shared" si="15"/>
        <v>125</v>
      </c>
      <c r="J126" t="s">
        <v>28</v>
      </c>
      <c r="K126">
        <v>20240504</v>
      </c>
    </row>
    <row r="127" spans="1:11" x14ac:dyDescent="0.3">
      <c r="A127" s="4">
        <v>45417</v>
      </c>
      <c r="B127">
        <f t="shared" si="8"/>
        <v>2024</v>
      </c>
      <c r="C127">
        <f t="shared" si="9"/>
        <v>5</v>
      </c>
      <c r="D127" t="str">
        <f t="shared" si="10"/>
        <v>May</v>
      </c>
      <c r="E127">
        <f t="shared" si="11"/>
        <v>19</v>
      </c>
      <c r="F127">
        <f t="shared" si="12"/>
        <v>5</v>
      </c>
      <c r="G127" t="str">
        <f t="shared" si="13"/>
        <v>Sunday</v>
      </c>
      <c r="H127" t="b">
        <f t="shared" si="14"/>
        <v>1</v>
      </c>
      <c r="I127">
        <f t="shared" si="15"/>
        <v>126</v>
      </c>
      <c r="J127" t="s">
        <v>28</v>
      </c>
      <c r="K127">
        <v>20240505</v>
      </c>
    </row>
    <row r="128" spans="1:11" x14ac:dyDescent="0.3">
      <c r="A128" s="4">
        <v>45418</v>
      </c>
      <c r="B128">
        <f t="shared" si="8"/>
        <v>2024</v>
      </c>
      <c r="C128">
        <f t="shared" si="9"/>
        <v>5</v>
      </c>
      <c r="D128" t="str">
        <f t="shared" si="10"/>
        <v>May</v>
      </c>
      <c r="E128">
        <f t="shared" si="11"/>
        <v>19</v>
      </c>
      <c r="F128">
        <f t="shared" si="12"/>
        <v>6</v>
      </c>
      <c r="G128" t="str">
        <f t="shared" si="13"/>
        <v>Monday</v>
      </c>
      <c r="H128" t="b">
        <f t="shared" si="14"/>
        <v>0</v>
      </c>
      <c r="I128">
        <f t="shared" si="15"/>
        <v>127</v>
      </c>
      <c r="J128" t="s">
        <v>28</v>
      </c>
      <c r="K128">
        <v>20240506</v>
      </c>
    </row>
    <row r="129" spans="1:11" x14ac:dyDescent="0.3">
      <c r="A129" s="4">
        <v>45419</v>
      </c>
      <c r="B129">
        <f t="shared" si="8"/>
        <v>2024</v>
      </c>
      <c r="C129">
        <f t="shared" si="9"/>
        <v>5</v>
      </c>
      <c r="D129" t="str">
        <f t="shared" si="10"/>
        <v>May</v>
      </c>
      <c r="E129">
        <f t="shared" si="11"/>
        <v>19</v>
      </c>
      <c r="F129">
        <f t="shared" si="12"/>
        <v>7</v>
      </c>
      <c r="G129" t="str">
        <f t="shared" si="13"/>
        <v>Tuesday</v>
      </c>
      <c r="H129" t="b">
        <f t="shared" si="14"/>
        <v>0</v>
      </c>
      <c r="I129">
        <f t="shared" si="15"/>
        <v>128</v>
      </c>
      <c r="J129" t="s">
        <v>28</v>
      </c>
      <c r="K129">
        <v>20240507</v>
      </c>
    </row>
    <row r="130" spans="1:11" x14ac:dyDescent="0.3">
      <c r="A130" s="4">
        <v>45420</v>
      </c>
      <c r="B130">
        <f t="shared" si="8"/>
        <v>2024</v>
      </c>
      <c r="C130">
        <f t="shared" si="9"/>
        <v>5</v>
      </c>
      <c r="D130" t="str">
        <f t="shared" si="10"/>
        <v>May</v>
      </c>
      <c r="E130">
        <f t="shared" si="11"/>
        <v>19</v>
      </c>
      <c r="F130">
        <f t="shared" si="12"/>
        <v>8</v>
      </c>
      <c r="G130" t="str">
        <f t="shared" si="13"/>
        <v>Wednesday</v>
      </c>
      <c r="H130" t="b">
        <f t="shared" si="14"/>
        <v>0</v>
      </c>
      <c r="I130">
        <f t="shared" si="15"/>
        <v>129</v>
      </c>
      <c r="J130" t="s">
        <v>28</v>
      </c>
      <c r="K130">
        <v>20240508</v>
      </c>
    </row>
    <row r="131" spans="1:11" x14ac:dyDescent="0.3">
      <c r="A131" s="4">
        <v>45421</v>
      </c>
      <c r="B131">
        <f t="shared" ref="B131:B194" si="16">YEAR(A131)</f>
        <v>2024</v>
      </c>
      <c r="C131">
        <f t="shared" ref="C131:C194" si="17">MONTH(A131)</f>
        <v>5</v>
      </c>
      <c r="D131" t="str">
        <f t="shared" ref="D131:D194" si="18">TEXT(A131,"mmmm")</f>
        <v>May</v>
      </c>
      <c r="E131">
        <f t="shared" ref="E131:E194" si="19">WEEKNUM(A131)</f>
        <v>19</v>
      </c>
      <c r="F131">
        <f t="shared" ref="F131:F194" si="20">DAY(A131)</f>
        <v>9</v>
      </c>
      <c r="G131" t="str">
        <f t="shared" ref="G131:G194" si="21">TEXT((A131),"dddd")</f>
        <v>Thursday</v>
      </c>
      <c r="H131" t="b">
        <f t="shared" ref="H131:H194" si="22">IF(OR(G131="Saturday",G131="Sunday"),TRUE,FALSE)</f>
        <v>0</v>
      </c>
      <c r="I131">
        <f t="shared" ref="I131:I194" si="23">A131-DATE(YEAR(A131),1,1)+1</f>
        <v>130</v>
      </c>
      <c r="J131" t="s">
        <v>28</v>
      </c>
      <c r="K131">
        <v>20240509</v>
      </c>
    </row>
    <row r="132" spans="1:11" x14ac:dyDescent="0.3">
      <c r="A132" s="4">
        <v>45422</v>
      </c>
      <c r="B132">
        <f t="shared" si="16"/>
        <v>2024</v>
      </c>
      <c r="C132">
        <f t="shared" si="17"/>
        <v>5</v>
      </c>
      <c r="D132" t="str">
        <f t="shared" si="18"/>
        <v>May</v>
      </c>
      <c r="E132">
        <f t="shared" si="19"/>
        <v>19</v>
      </c>
      <c r="F132">
        <f t="shared" si="20"/>
        <v>10</v>
      </c>
      <c r="G132" t="str">
        <f t="shared" si="21"/>
        <v>Friday</v>
      </c>
      <c r="H132" t="b">
        <f t="shared" si="22"/>
        <v>0</v>
      </c>
      <c r="I132">
        <f t="shared" si="23"/>
        <v>131</v>
      </c>
      <c r="J132" t="s">
        <v>28</v>
      </c>
      <c r="K132">
        <v>20240510</v>
      </c>
    </row>
    <row r="133" spans="1:11" x14ac:dyDescent="0.3">
      <c r="A133" s="4">
        <v>45423</v>
      </c>
      <c r="B133">
        <f t="shared" si="16"/>
        <v>2024</v>
      </c>
      <c r="C133">
        <f t="shared" si="17"/>
        <v>5</v>
      </c>
      <c r="D133" t="str">
        <f t="shared" si="18"/>
        <v>May</v>
      </c>
      <c r="E133">
        <f t="shared" si="19"/>
        <v>19</v>
      </c>
      <c r="F133">
        <f t="shared" si="20"/>
        <v>11</v>
      </c>
      <c r="G133" t="str">
        <f t="shared" si="21"/>
        <v>Saturday</v>
      </c>
      <c r="H133" t="b">
        <f t="shared" si="22"/>
        <v>1</v>
      </c>
      <c r="I133">
        <f t="shared" si="23"/>
        <v>132</v>
      </c>
      <c r="J133" t="s">
        <v>28</v>
      </c>
      <c r="K133">
        <v>20240511</v>
      </c>
    </row>
    <row r="134" spans="1:11" x14ac:dyDescent="0.3">
      <c r="A134" s="4">
        <v>45424</v>
      </c>
      <c r="B134">
        <f t="shared" si="16"/>
        <v>2024</v>
      </c>
      <c r="C134">
        <f t="shared" si="17"/>
        <v>5</v>
      </c>
      <c r="D134" t="str">
        <f t="shared" si="18"/>
        <v>May</v>
      </c>
      <c r="E134">
        <f t="shared" si="19"/>
        <v>20</v>
      </c>
      <c r="F134">
        <f t="shared" si="20"/>
        <v>12</v>
      </c>
      <c r="G134" t="str">
        <f t="shared" si="21"/>
        <v>Sunday</v>
      </c>
      <c r="H134" t="b">
        <f t="shared" si="22"/>
        <v>1</v>
      </c>
      <c r="I134">
        <f t="shared" si="23"/>
        <v>133</v>
      </c>
      <c r="J134" t="s">
        <v>28</v>
      </c>
      <c r="K134">
        <v>20240512</v>
      </c>
    </row>
    <row r="135" spans="1:11" x14ac:dyDescent="0.3">
      <c r="A135" s="4">
        <v>45425</v>
      </c>
      <c r="B135">
        <f t="shared" si="16"/>
        <v>2024</v>
      </c>
      <c r="C135">
        <f t="shared" si="17"/>
        <v>5</v>
      </c>
      <c r="D135" t="str">
        <f t="shared" si="18"/>
        <v>May</v>
      </c>
      <c r="E135">
        <f t="shared" si="19"/>
        <v>20</v>
      </c>
      <c r="F135">
        <f t="shared" si="20"/>
        <v>13</v>
      </c>
      <c r="G135" t="str">
        <f t="shared" si="21"/>
        <v>Monday</v>
      </c>
      <c r="H135" t="b">
        <f t="shared" si="22"/>
        <v>0</v>
      </c>
      <c r="I135">
        <f t="shared" si="23"/>
        <v>134</v>
      </c>
      <c r="J135" t="s">
        <v>28</v>
      </c>
      <c r="K135">
        <v>20240513</v>
      </c>
    </row>
    <row r="136" spans="1:11" x14ac:dyDescent="0.3">
      <c r="A136" s="4">
        <v>45426</v>
      </c>
      <c r="B136">
        <f t="shared" si="16"/>
        <v>2024</v>
      </c>
      <c r="C136">
        <f t="shared" si="17"/>
        <v>5</v>
      </c>
      <c r="D136" t="str">
        <f t="shared" si="18"/>
        <v>May</v>
      </c>
      <c r="E136">
        <f t="shared" si="19"/>
        <v>20</v>
      </c>
      <c r="F136">
        <f t="shared" si="20"/>
        <v>14</v>
      </c>
      <c r="G136" t="str">
        <f t="shared" si="21"/>
        <v>Tuesday</v>
      </c>
      <c r="H136" t="b">
        <f t="shared" si="22"/>
        <v>0</v>
      </c>
      <c r="I136">
        <f t="shared" si="23"/>
        <v>135</v>
      </c>
      <c r="J136" t="s">
        <v>28</v>
      </c>
      <c r="K136">
        <v>20240514</v>
      </c>
    </row>
    <row r="137" spans="1:11" x14ac:dyDescent="0.3">
      <c r="A137" s="4">
        <v>45427</v>
      </c>
      <c r="B137">
        <f t="shared" si="16"/>
        <v>2024</v>
      </c>
      <c r="C137">
        <f t="shared" si="17"/>
        <v>5</v>
      </c>
      <c r="D137" t="str">
        <f t="shared" si="18"/>
        <v>May</v>
      </c>
      <c r="E137">
        <f t="shared" si="19"/>
        <v>20</v>
      </c>
      <c r="F137">
        <f t="shared" si="20"/>
        <v>15</v>
      </c>
      <c r="G137" t="str">
        <f t="shared" si="21"/>
        <v>Wednesday</v>
      </c>
      <c r="H137" t="b">
        <f t="shared" si="22"/>
        <v>0</v>
      </c>
      <c r="I137">
        <f t="shared" si="23"/>
        <v>136</v>
      </c>
      <c r="J137" t="s">
        <v>28</v>
      </c>
      <c r="K137">
        <v>20240515</v>
      </c>
    </row>
    <row r="138" spans="1:11" x14ac:dyDescent="0.3">
      <c r="A138" s="4">
        <v>45428</v>
      </c>
      <c r="B138">
        <f t="shared" si="16"/>
        <v>2024</v>
      </c>
      <c r="C138">
        <f t="shared" si="17"/>
        <v>5</v>
      </c>
      <c r="D138" t="str">
        <f t="shared" si="18"/>
        <v>May</v>
      </c>
      <c r="E138">
        <f t="shared" si="19"/>
        <v>20</v>
      </c>
      <c r="F138">
        <f t="shared" si="20"/>
        <v>16</v>
      </c>
      <c r="G138" t="str">
        <f t="shared" si="21"/>
        <v>Thursday</v>
      </c>
      <c r="H138" t="b">
        <f t="shared" si="22"/>
        <v>0</v>
      </c>
      <c r="I138">
        <f t="shared" si="23"/>
        <v>137</v>
      </c>
      <c r="J138" t="s">
        <v>28</v>
      </c>
      <c r="K138">
        <v>20240516</v>
      </c>
    </row>
    <row r="139" spans="1:11" x14ac:dyDescent="0.3">
      <c r="A139" s="4">
        <v>45429</v>
      </c>
      <c r="B139">
        <f t="shared" si="16"/>
        <v>2024</v>
      </c>
      <c r="C139">
        <f t="shared" si="17"/>
        <v>5</v>
      </c>
      <c r="D139" t="str">
        <f t="shared" si="18"/>
        <v>May</v>
      </c>
      <c r="E139">
        <f t="shared" si="19"/>
        <v>20</v>
      </c>
      <c r="F139">
        <f t="shared" si="20"/>
        <v>17</v>
      </c>
      <c r="G139" t="str">
        <f t="shared" si="21"/>
        <v>Friday</v>
      </c>
      <c r="H139" t="b">
        <f t="shared" si="22"/>
        <v>0</v>
      </c>
      <c r="I139">
        <f t="shared" si="23"/>
        <v>138</v>
      </c>
      <c r="J139" t="s">
        <v>28</v>
      </c>
      <c r="K139">
        <v>20240517</v>
      </c>
    </row>
    <row r="140" spans="1:11" x14ac:dyDescent="0.3">
      <c r="A140" s="4">
        <v>45430</v>
      </c>
      <c r="B140">
        <f t="shared" si="16"/>
        <v>2024</v>
      </c>
      <c r="C140">
        <f t="shared" si="17"/>
        <v>5</v>
      </c>
      <c r="D140" t="str">
        <f t="shared" si="18"/>
        <v>May</v>
      </c>
      <c r="E140">
        <f t="shared" si="19"/>
        <v>20</v>
      </c>
      <c r="F140">
        <f t="shared" si="20"/>
        <v>18</v>
      </c>
      <c r="G140" t="str">
        <f t="shared" si="21"/>
        <v>Saturday</v>
      </c>
      <c r="H140" t="b">
        <f t="shared" si="22"/>
        <v>1</v>
      </c>
      <c r="I140">
        <f t="shared" si="23"/>
        <v>139</v>
      </c>
      <c r="J140" t="s">
        <v>28</v>
      </c>
      <c r="K140">
        <v>20240518</v>
      </c>
    </row>
    <row r="141" spans="1:11" x14ac:dyDescent="0.3">
      <c r="A141" s="4">
        <v>45431</v>
      </c>
      <c r="B141">
        <f t="shared" si="16"/>
        <v>2024</v>
      </c>
      <c r="C141">
        <f t="shared" si="17"/>
        <v>5</v>
      </c>
      <c r="D141" t="str">
        <f t="shared" si="18"/>
        <v>May</v>
      </c>
      <c r="E141">
        <f t="shared" si="19"/>
        <v>21</v>
      </c>
      <c r="F141">
        <f t="shared" si="20"/>
        <v>19</v>
      </c>
      <c r="G141" t="str">
        <f t="shared" si="21"/>
        <v>Sunday</v>
      </c>
      <c r="H141" t="b">
        <f t="shared" si="22"/>
        <v>1</v>
      </c>
      <c r="I141">
        <f t="shared" si="23"/>
        <v>140</v>
      </c>
      <c r="J141" t="s">
        <v>28</v>
      </c>
      <c r="K141">
        <v>20240519</v>
      </c>
    </row>
    <row r="142" spans="1:11" x14ac:dyDescent="0.3">
      <c r="A142" s="4">
        <v>45432</v>
      </c>
      <c r="B142">
        <f t="shared" si="16"/>
        <v>2024</v>
      </c>
      <c r="C142">
        <f t="shared" si="17"/>
        <v>5</v>
      </c>
      <c r="D142" t="str">
        <f t="shared" si="18"/>
        <v>May</v>
      </c>
      <c r="E142">
        <f t="shared" si="19"/>
        <v>21</v>
      </c>
      <c r="F142">
        <f t="shared" si="20"/>
        <v>20</v>
      </c>
      <c r="G142" t="str">
        <f t="shared" si="21"/>
        <v>Monday</v>
      </c>
      <c r="H142" t="b">
        <f t="shared" si="22"/>
        <v>0</v>
      </c>
      <c r="I142">
        <f t="shared" si="23"/>
        <v>141</v>
      </c>
      <c r="J142" t="s">
        <v>28</v>
      </c>
      <c r="K142">
        <v>20240520</v>
      </c>
    </row>
    <row r="143" spans="1:11" x14ac:dyDescent="0.3">
      <c r="A143" s="4">
        <v>45433</v>
      </c>
      <c r="B143">
        <f t="shared" si="16"/>
        <v>2024</v>
      </c>
      <c r="C143">
        <f t="shared" si="17"/>
        <v>5</v>
      </c>
      <c r="D143" t="str">
        <f t="shared" si="18"/>
        <v>May</v>
      </c>
      <c r="E143">
        <f t="shared" si="19"/>
        <v>21</v>
      </c>
      <c r="F143">
        <f t="shared" si="20"/>
        <v>21</v>
      </c>
      <c r="G143" t="str">
        <f t="shared" si="21"/>
        <v>Tuesday</v>
      </c>
      <c r="H143" t="b">
        <f t="shared" si="22"/>
        <v>0</v>
      </c>
      <c r="I143">
        <f t="shared" si="23"/>
        <v>142</v>
      </c>
      <c r="J143" t="s">
        <v>28</v>
      </c>
      <c r="K143">
        <v>20240521</v>
      </c>
    </row>
    <row r="144" spans="1:11" x14ac:dyDescent="0.3">
      <c r="A144" s="4">
        <v>45434</v>
      </c>
      <c r="B144">
        <f t="shared" si="16"/>
        <v>2024</v>
      </c>
      <c r="C144">
        <f t="shared" si="17"/>
        <v>5</v>
      </c>
      <c r="D144" t="str">
        <f t="shared" si="18"/>
        <v>May</v>
      </c>
      <c r="E144">
        <f t="shared" si="19"/>
        <v>21</v>
      </c>
      <c r="F144">
        <f t="shared" si="20"/>
        <v>22</v>
      </c>
      <c r="G144" t="str">
        <f t="shared" si="21"/>
        <v>Wednesday</v>
      </c>
      <c r="H144" t="b">
        <f t="shared" si="22"/>
        <v>0</v>
      </c>
      <c r="I144">
        <f t="shared" si="23"/>
        <v>143</v>
      </c>
      <c r="J144" t="s">
        <v>28</v>
      </c>
      <c r="K144">
        <v>20240522</v>
      </c>
    </row>
    <row r="145" spans="1:11" x14ac:dyDescent="0.3">
      <c r="A145" s="4">
        <v>45435</v>
      </c>
      <c r="B145">
        <f t="shared" si="16"/>
        <v>2024</v>
      </c>
      <c r="C145">
        <f t="shared" si="17"/>
        <v>5</v>
      </c>
      <c r="D145" t="str">
        <f t="shared" si="18"/>
        <v>May</v>
      </c>
      <c r="E145">
        <f t="shared" si="19"/>
        <v>21</v>
      </c>
      <c r="F145">
        <f t="shared" si="20"/>
        <v>23</v>
      </c>
      <c r="G145" t="str">
        <f t="shared" si="21"/>
        <v>Thursday</v>
      </c>
      <c r="H145" t="b">
        <f t="shared" si="22"/>
        <v>0</v>
      </c>
      <c r="I145">
        <f t="shared" si="23"/>
        <v>144</v>
      </c>
      <c r="J145" t="s">
        <v>28</v>
      </c>
      <c r="K145">
        <v>20240523</v>
      </c>
    </row>
    <row r="146" spans="1:11" x14ac:dyDescent="0.3">
      <c r="A146" s="4">
        <v>45436</v>
      </c>
      <c r="B146">
        <f t="shared" si="16"/>
        <v>2024</v>
      </c>
      <c r="C146">
        <f t="shared" si="17"/>
        <v>5</v>
      </c>
      <c r="D146" t="str">
        <f t="shared" si="18"/>
        <v>May</v>
      </c>
      <c r="E146">
        <f t="shared" si="19"/>
        <v>21</v>
      </c>
      <c r="F146">
        <f t="shared" si="20"/>
        <v>24</v>
      </c>
      <c r="G146" t="str">
        <f t="shared" si="21"/>
        <v>Friday</v>
      </c>
      <c r="H146" t="b">
        <f t="shared" si="22"/>
        <v>0</v>
      </c>
      <c r="I146">
        <f t="shared" si="23"/>
        <v>145</v>
      </c>
      <c r="J146" t="s">
        <v>28</v>
      </c>
      <c r="K146">
        <v>20240524</v>
      </c>
    </row>
    <row r="147" spans="1:11" x14ac:dyDescent="0.3">
      <c r="A147" s="4">
        <v>45437</v>
      </c>
      <c r="B147">
        <f t="shared" si="16"/>
        <v>2024</v>
      </c>
      <c r="C147">
        <f t="shared" si="17"/>
        <v>5</v>
      </c>
      <c r="D147" t="str">
        <f t="shared" si="18"/>
        <v>May</v>
      </c>
      <c r="E147">
        <f t="shared" si="19"/>
        <v>21</v>
      </c>
      <c r="F147">
        <f t="shared" si="20"/>
        <v>25</v>
      </c>
      <c r="G147" t="str">
        <f t="shared" si="21"/>
        <v>Saturday</v>
      </c>
      <c r="H147" t="b">
        <f t="shared" si="22"/>
        <v>1</v>
      </c>
      <c r="I147">
        <f t="shared" si="23"/>
        <v>146</v>
      </c>
      <c r="J147" t="s">
        <v>28</v>
      </c>
      <c r="K147">
        <v>20240525</v>
      </c>
    </row>
    <row r="148" spans="1:11" x14ac:dyDescent="0.3">
      <c r="A148" s="4">
        <v>45438</v>
      </c>
      <c r="B148">
        <f t="shared" si="16"/>
        <v>2024</v>
      </c>
      <c r="C148">
        <f t="shared" si="17"/>
        <v>5</v>
      </c>
      <c r="D148" t="str">
        <f t="shared" si="18"/>
        <v>May</v>
      </c>
      <c r="E148">
        <f t="shared" si="19"/>
        <v>22</v>
      </c>
      <c r="F148">
        <f t="shared" si="20"/>
        <v>26</v>
      </c>
      <c r="G148" t="str">
        <f t="shared" si="21"/>
        <v>Sunday</v>
      </c>
      <c r="H148" t="b">
        <f t="shared" si="22"/>
        <v>1</v>
      </c>
      <c r="I148">
        <f t="shared" si="23"/>
        <v>147</v>
      </c>
      <c r="J148" t="s">
        <v>28</v>
      </c>
      <c r="K148">
        <v>20240526</v>
      </c>
    </row>
    <row r="149" spans="1:11" x14ac:dyDescent="0.3">
      <c r="A149" s="4">
        <v>45439</v>
      </c>
      <c r="B149">
        <f t="shared" si="16"/>
        <v>2024</v>
      </c>
      <c r="C149">
        <f t="shared" si="17"/>
        <v>5</v>
      </c>
      <c r="D149" t="str">
        <f t="shared" si="18"/>
        <v>May</v>
      </c>
      <c r="E149">
        <f t="shared" si="19"/>
        <v>22</v>
      </c>
      <c r="F149">
        <f t="shared" si="20"/>
        <v>27</v>
      </c>
      <c r="G149" t="str">
        <f t="shared" si="21"/>
        <v>Monday</v>
      </c>
      <c r="H149" t="b">
        <f t="shared" si="22"/>
        <v>0</v>
      </c>
      <c r="I149">
        <f t="shared" si="23"/>
        <v>148</v>
      </c>
      <c r="J149" t="s">
        <v>28</v>
      </c>
      <c r="K149">
        <v>20240527</v>
      </c>
    </row>
    <row r="150" spans="1:11" x14ac:dyDescent="0.3">
      <c r="A150" s="4">
        <v>45440</v>
      </c>
      <c r="B150">
        <f t="shared" si="16"/>
        <v>2024</v>
      </c>
      <c r="C150">
        <f t="shared" si="17"/>
        <v>5</v>
      </c>
      <c r="D150" t="str">
        <f t="shared" si="18"/>
        <v>May</v>
      </c>
      <c r="E150">
        <f t="shared" si="19"/>
        <v>22</v>
      </c>
      <c r="F150">
        <f t="shared" si="20"/>
        <v>28</v>
      </c>
      <c r="G150" t="str">
        <f t="shared" si="21"/>
        <v>Tuesday</v>
      </c>
      <c r="H150" t="b">
        <f t="shared" si="22"/>
        <v>0</v>
      </c>
      <c r="I150">
        <f t="shared" si="23"/>
        <v>149</v>
      </c>
      <c r="J150" t="s">
        <v>28</v>
      </c>
      <c r="K150">
        <v>20240528</v>
      </c>
    </row>
    <row r="151" spans="1:11" x14ac:dyDescent="0.3">
      <c r="A151" s="4">
        <v>45441</v>
      </c>
      <c r="B151">
        <f t="shared" si="16"/>
        <v>2024</v>
      </c>
      <c r="C151">
        <f t="shared" si="17"/>
        <v>5</v>
      </c>
      <c r="D151" t="str">
        <f t="shared" si="18"/>
        <v>May</v>
      </c>
      <c r="E151">
        <f t="shared" si="19"/>
        <v>22</v>
      </c>
      <c r="F151">
        <f t="shared" si="20"/>
        <v>29</v>
      </c>
      <c r="G151" t="str">
        <f t="shared" si="21"/>
        <v>Wednesday</v>
      </c>
      <c r="H151" t="b">
        <f t="shared" si="22"/>
        <v>0</v>
      </c>
      <c r="I151">
        <f t="shared" si="23"/>
        <v>150</v>
      </c>
      <c r="J151" t="s">
        <v>28</v>
      </c>
      <c r="K151">
        <v>20240529</v>
      </c>
    </row>
    <row r="152" spans="1:11" x14ac:dyDescent="0.3">
      <c r="A152" s="4">
        <v>45442</v>
      </c>
      <c r="B152">
        <f t="shared" si="16"/>
        <v>2024</v>
      </c>
      <c r="C152">
        <f t="shared" si="17"/>
        <v>5</v>
      </c>
      <c r="D152" t="str">
        <f t="shared" si="18"/>
        <v>May</v>
      </c>
      <c r="E152">
        <f t="shared" si="19"/>
        <v>22</v>
      </c>
      <c r="F152">
        <f t="shared" si="20"/>
        <v>30</v>
      </c>
      <c r="G152" t="str">
        <f t="shared" si="21"/>
        <v>Thursday</v>
      </c>
      <c r="H152" t="b">
        <f t="shared" si="22"/>
        <v>0</v>
      </c>
      <c r="I152">
        <f t="shared" si="23"/>
        <v>151</v>
      </c>
      <c r="J152" t="s">
        <v>28</v>
      </c>
      <c r="K152">
        <v>20240530</v>
      </c>
    </row>
    <row r="153" spans="1:11" x14ac:dyDescent="0.3">
      <c r="A153" s="4">
        <v>45443</v>
      </c>
      <c r="B153">
        <f t="shared" si="16"/>
        <v>2024</v>
      </c>
      <c r="C153">
        <f t="shared" si="17"/>
        <v>5</v>
      </c>
      <c r="D153" t="str">
        <f t="shared" si="18"/>
        <v>May</v>
      </c>
      <c r="E153">
        <f t="shared" si="19"/>
        <v>22</v>
      </c>
      <c r="F153">
        <f t="shared" si="20"/>
        <v>31</v>
      </c>
      <c r="G153" t="str">
        <f t="shared" si="21"/>
        <v>Friday</v>
      </c>
      <c r="H153" t="b">
        <f t="shared" si="22"/>
        <v>0</v>
      </c>
      <c r="I153">
        <f t="shared" si="23"/>
        <v>152</v>
      </c>
      <c r="J153" t="s">
        <v>28</v>
      </c>
      <c r="K153">
        <v>20240531</v>
      </c>
    </row>
    <row r="154" spans="1:11" x14ac:dyDescent="0.3">
      <c r="A154" s="4">
        <v>45444</v>
      </c>
      <c r="B154">
        <f t="shared" si="16"/>
        <v>2024</v>
      </c>
      <c r="C154">
        <f t="shared" si="17"/>
        <v>6</v>
      </c>
      <c r="D154" t="str">
        <f t="shared" si="18"/>
        <v>June</v>
      </c>
      <c r="E154">
        <f t="shared" si="19"/>
        <v>22</v>
      </c>
      <c r="F154">
        <f t="shared" si="20"/>
        <v>1</v>
      </c>
      <c r="G154" t="str">
        <f t="shared" si="21"/>
        <v>Saturday</v>
      </c>
      <c r="H154" t="b">
        <f t="shared" si="22"/>
        <v>1</v>
      </c>
      <c r="I154">
        <f t="shared" si="23"/>
        <v>153</v>
      </c>
      <c r="J154" t="s">
        <v>28</v>
      </c>
      <c r="K154">
        <v>20240601</v>
      </c>
    </row>
    <row r="155" spans="1:11" x14ac:dyDescent="0.3">
      <c r="A155" s="4">
        <v>45445</v>
      </c>
      <c r="B155">
        <f t="shared" si="16"/>
        <v>2024</v>
      </c>
      <c r="C155">
        <f t="shared" si="17"/>
        <v>6</v>
      </c>
      <c r="D155" t="str">
        <f t="shared" si="18"/>
        <v>June</v>
      </c>
      <c r="E155">
        <f t="shared" si="19"/>
        <v>23</v>
      </c>
      <c r="F155">
        <f t="shared" si="20"/>
        <v>2</v>
      </c>
      <c r="G155" t="str">
        <f t="shared" si="21"/>
        <v>Sunday</v>
      </c>
      <c r="H155" t="b">
        <f t="shared" si="22"/>
        <v>1</v>
      </c>
      <c r="I155">
        <f t="shared" si="23"/>
        <v>154</v>
      </c>
      <c r="J155" t="s">
        <v>28</v>
      </c>
      <c r="K155">
        <v>20240602</v>
      </c>
    </row>
    <row r="156" spans="1:11" x14ac:dyDescent="0.3">
      <c r="A156" s="4">
        <v>45446</v>
      </c>
      <c r="B156">
        <f t="shared" si="16"/>
        <v>2024</v>
      </c>
      <c r="C156">
        <f t="shared" si="17"/>
        <v>6</v>
      </c>
      <c r="D156" t="str">
        <f t="shared" si="18"/>
        <v>June</v>
      </c>
      <c r="E156">
        <f t="shared" si="19"/>
        <v>23</v>
      </c>
      <c r="F156">
        <f t="shared" si="20"/>
        <v>3</v>
      </c>
      <c r="G156" t="str">
        <f t="shared" si="21"/>
        <v>Monday</v>
      </c>
      <c r="H156" t="b">
        <f t="shared" si="22"/>
        <v>0</v>
      </c>
      <c r="I156">
        <f t="shared" si="23"/>
        <v>155</v>
      </c>
      <c r="J156" t="s">
        <v>28</v>
      </c>
      <c r="K156">
        <v>20240603</v>
      </c>
    </row>
    <row r="157" spans="1:11" x14ac:dyDescent="0.3">
      <c r="A157" s="4">
        <v>45447</v>
      </c>
      <c r="B157">
        <f t="shared" si="16"/>
        <v>2024</v>
      </c>
      <c r="C157">
        <f t="shared" si="17"/>
        <v>6</v>
      </c>
      <c r="D157" t="str">
        <f t="shared" si="18"/>
        <v>June</v>
      </c>
      <c r="E157">
        <f t="shared" si="19"/>
        <v>23</v>
      </c>
      <c r="F157">
        <f t="shared" si="20"/>
        <v>4</v>
      </c>
      <c r="G157" t="str">
        <f t="shared" si="21"/>
        <v>Tuesday</v>
      </c>
      <c r="H157" t="b">
        <f t="shared" si="22"/>
        <v>0</v>
      </c>
      <c r="I157">
        <f t="shared" si="23"/>
        <v>156</v>
      </c>
      <c r="J157" t="s">
        <v>28</v>
      </c>
      <c r="K157">
        <v>20240604</v>
      </c>
    </row>
    <row r="158" spans="1:11" x14ac:dyDescent="0.3">
      <c r="A158" s="4">
        <v>45448</v>
      </c>
      <c r="B158">
        <f t="shared" si="16"/>
        <v>2024</v>
      </c>
      <c r="C158">
        <f t="shared" si="17"/>
        <v>6</v>
      </c>
      <c r="D158" t="str">
        <f t="shared" si="18"/>
        <v>June</v>
      </c>
      <c r="E158">
        <f t="shared" si="19"/>
        <v>23</v>
      </c>
      <c r="F158">
        <f t="shared" si="20"/>
        <v>5</v>
      </c>
      <c r="G158" t="str">
        <f t="shared" si="21"/>
        <v>Wednesday</v>
      </c>
      <c r="H158" t="b">
        <f t="shared" si="22"/>
        <v>0</v>
      </c>
      <c r="I158">
        <f t="shared" si="23"/>
        <v>157</v>
      </c>
      <c r="J158" t="s">
        <v>28</v>
      </c>
      <c r="K158">
        <v>20240605</v>
      </c>
    </row>
    <row r="159" spans="1:11" x14ac:dyDescent="0.3">
      <c r="A159" s="4">
        <v>45449</v>
      </c>
      <c r="B159">
        <f t="shared" si="16"/>
        <v>2024</v>
      </c>
      <c r="C159">
        <f t="shared" si="17"/>
        <v>6</v>
      </c>
      <c r="D159" t="str">
        <f t="shared" si="18"/>
        <v>June</v>
      </c>
      <c r="E159">
        <f t="shared" si="19"/>
        <v>23</v>
      </c>
      <c r="F159">
        <f t="shared" si="20"/>
        <v>6</v>
      </c>
      <c r="G159" t="str">
        <f t="shared" si="21"/>
        <v>Thursday</v>
      </c>
      <c r="H159" t="b">
        <f t="shared" si="22"/>
        <v>0</v>
      </c>
      <c r="I159">
        <f t="shared" si="23"/>
        <v>158</v>
      </c>
      <c r="J159" t="s">
        <v>28</v>
      </c>
      <c r="K159">
        <v>20240606</v>
      </c>
    </row>
    <row r="160" spans="1:11" x14ac:dyDescent="0.3">
      <c r="A160" s="4">
        <v>45450</v>
      </c>
      <c r="B160">
        <f t="shared" si="16"/>
        <v>2024</v>
      </c>
      <c r="C160">
        <f t="shared" si="17"/>
        <v>6</v>
      </c>
      <c r="D160" t="str">
        <f t="shared" si="18"/>
        <v>June</v>
      </c>
      <c r="E160">
        <f t="shared" si="19"/>
        <v>23</v>
      </c>
      <c r="F160">
        <f t="shared" si="20"/>
        <v>7</v>
      </c>
      <c r="G160" t="str">
        <f t="shared" si="21"/>
        <v>Friday</v>
      </c>
      <c r="H160" t="b">
        <f t="shared" si="22"/>
        <v>0</v>
      </c>
      <c r="I160">
        <f t="shared" si="23"/>
        <v>159</v>
      </c>
      <c r="J160" t="s">
        <v>28</v>
      </c>
      <c r="K160">
        <v>20240607</v>
      </c>
    </row>
    <row r="161" spans="1:11" x14ac:dyDescent="0.3">
      <c r="A161" s="4">
        <v>45451</v>
      </c>
      <c r="B161">
        <f t="shared" si="16"/>
        <v>2024</v>
      </c>
      <c r="C161">
        <f t="shared" si="17"/>
        <v>6</v>
      </c>
      <c r="D161" t="str">
        <f t="shared" si="18"/>
        <v>June</v>
      </c>
      <c r="E161">
        <f t="shared" si="19"/>
        <v>23</v>
      </c>
      <c r="F161">
        <f t="shared" si="20"/>
        <v>8</v>
      </c>
      <c r="G161" t="str">
        <f t="shared" si="21"/>
        <v>Saturday</v>
      </c>
      <c r="H161" t="b">
        <f t="shared" si="22"/>
        <v>1</v>
      </c>
      <c r="I161">
        <f t="shared" si="23"/>
        <v>160</v>
      </c>
      <c r="J161" t="s">
        <v>28</v>
      </c>
      <c r="K161">
        <v>20240608</v>
      </c>
    </row>
    <row r="162" spans="1:11" x14ac:dyDescent="0.3">
      <c r="A162" s="4">
        <v>45452</v>
      </c>
      <c r="B162">
        <f t="shared" si="16"/>
        <v>2024</v>
      </c>
      <c r="C162">
        <f t="shared" si="17"/>
        <v>6</v>
      </c>
      <c r="D162" t="str">
        <f t="shared" si="18"/>
        <v>June</v>
      </c>
      <c r="E162">
        <f t="shared" si="19"/>
        <v>24</v>
      </c>
      <c r="F162">
        <f t="shared" si="20"/>
        <v>9</v>
      </c>
      <c r="G162" t="str">
        <f t="shared" si="21"/>
        <v>Sunday</v>
      </c>
      <c r="H162" t="b">
        <f t="shared" si="22"/>
        <v>1</v>
      </c>
      <c r="I162">
        <f t="shared" si="23"/>
        <v>161</v>
      </c>
      <c r="J162" t="s">
        <v>28</v>
      </c>
      <c r="K162">
        <v>20240609</v>
      </c>
    </row>
    <row r="163" spans="1:11" x14ac:dyDescent="0.3">
      <c r="A163" s="4">
        <v>45453</v>
      </c>
      <c r="B163">
        <f t="shared" si="16"/>
        <v>2024</v>
      </c>
      <c r="C163">
        <f t="shared" si="17"/>
        <v>6</v>
      </c>
      <c r="D163" t="str">
        <f t="shared" si="18"/>
        <v>June</v>
      </c>
      <c r="E163">
        <f t="shared" si="19"/>
        <v>24</v>
      </c>
      <c r="F163">
        <f t="shared" si="20"/>
        <v>10</v>
      </c>
      <c r="G163" t="str">
        <f t="shared" si="21"/>
        <v>Monday</v>
      </c>
      <c r="H163" t="b">
        <f t="shared" si="22"/>
        <v>0</v>
      </c>
      <c r="I163">
        <f t="shared" si="23"/>
        <v>162</v>
      </c>
      <c r="J163" t="s">
        <v>28</v>
      </c>
      <c r="K163">
        <v>20240610</v>
      </c>
    </row>
    <row r="164" spans="1:11" x14ac:dyDescent="0.3">
      <c r="A164" s="4">
        <v>45454</v>
      </c>
      <c r="B164">
        <f t="shared" si="16"/>
        <v>2024</v>
      </c>
      <c r="C164">
        <f t="shared" si="17"/>
        <v>6</v>
      </c>
      <c r="D164" t="str">
        <f t="shared" si="18"/>
        <v>June</v>
      </c>
      <c r="E164">
        <f t="shared" si="19"/>
        <v>24</v>
      </c>
      <c r="F164">
        <f t="shared" si="20"/>
        <v>11</v>
      </c>
      <c r="G164" t="str">
        <f t="shared" si="21"/>
        <v>Tuesday</v>
      </c>
      <c r="H164" t="b">
        <f t="shared" si="22"/>
        <v>0</v>
      </c>
      <c r="I164">
        <f t="shared" si="23"/>
        <v>163</v>
      </c>
      <c r="J164" t="s">
        <v>28</v>
      </c>
      <c r="K164">
        <v>20240611</v>
      </c>
    </row>
    <row r="165" spans="1:11" x14ac:dyDescent="0.3">
      <c r="A165" s="4">
        <v>45455</v>
      </c>
      <c r="B165">
        <f t="shared" si="16"/>
        <v>2024</v>
      </c>
      <c r="C165">
        <f t="shared" si="17"/>
        <v>6</v>
      </c>
      <c r="D165" t="str">
        <f t="shared" si="18"/>
        <v>June</v>
      </c>
      <c r="E165">
        <f t="shared" si="19"/>
        <v>24</v>
      </c>
      <c r="F165">
        <f t="shared" si="20"/>
        <v>12</v>
      </c>
      <c r="G165" t="str">
        <f t="shared" si="21"/>
        <v>Wednesday</v>
      </c>
      <c r="H165" t="b">
        <f t="shared" si="22"/>
        <v>0</v>
      </c>
      <c r="I165">
        <f t="shared" si="23"/>
        <v>164</v>
      </c>
      <c r="J165" t="s">
        <v>28</v>
      </c>
      <c r="K165">
        <v>20240612</v>
      </c>
    </row>
    <row r="166" spans="1:11" x14ac:dyDescent="0.3">
      <c r="A166" s="4">
        <v>45456</v>
      </c>
      <c r="B166">
        <f t="shared" si="16"/>
        <v>2024</v>
      </c>
      <c r="C166">
        <f t="shared" si="17"/>
        <v>6</v>
      </c>
      <c r="D166" t="str">
        <f t="shared" si="18"/>
        <v>June</v>
      </c>
      <c r="E166">
        <f t="shared" si="19"/>
        <v>24</v>
      </c>
      <c r="F166">
        <f t="shared" si="20"/>
        <v>13</v>
      </c>
      <c r="G166" t="str">
        <f t="shared" si="21"/>
        <v>Thursday</v>
      </c>
      <c r="H166" t="b">
        <f t="shared" si="22"/>
        <v>0</v>
      </c>
      <c r="I166">
        <f t="shared" si="23"/>
        <v>165</v>
      </c>
      <c r="J166" t="s">
        <v>28</v>
      </c>
      <c r="K166">
        <v>20240613</v>
      </c>
    </row>
    <row r="167" spans="1:11" x14ac:dyDescent="0.3">
      <c r="A167" s="4">
        <v>45457</v>
      </c>
      <c r="B167">
        <f t="shared" si="16"/>
        <v>2024</v>
      </c>
      <c r="C167">
        <f t="shared" si="17"/>
        <v>6</v>
      </c>
      <c r="D167" t="str">
        <f t="shared" si="18"/>
        <v>June</v>
      </c>
      <c r="E167">
        <f t="shared" si="19"/>
        <v>24</v>
      </c>
      <c r="F167">
        <f t="shared" si="20"/>
        <v>14</v>
      </c>
      <c r="G167" t="str">
        <f t="shared" si="21"/>
        <v>Friday</v>
      </c>
      <c r="H167" t="b">
        <f t="shared" si="22"/>
        <v>0</v>
      </c>
      <c r="I167">
        <f t="shared" si="23"/>
        <v>166</v>
      </c>
      <c r="J167" t="s">
        <v>28</v>
      </c>
      <c r="K167">
        <v>20240614</v>
      </c>
    </row>
    <row r="168" spans="1:11" x14ac:dyDescent="0.3">
      <c r="A168" s="4">
        <v>45458</v>
      </c>
      <c r="B168">
        <f t="shared" si="16"/>
        <v>2024</v>
      </c>
      <c r="C168">
        <f t="shared" si="17"/>
        <v>6</v>
      </c>
      <c r="D168" t="str">
        <f t="shared" si="18"/>
        <v>June</v>
      </c>
      <c r="E168">
        <f t="shared" si="19"/>
        <v>24</v>
      </c>
      <c r="F168">
        <f t="shared" si="20"/>
        <v>15</v>
      </c>
      <c r="G168" t="str">
        <f t="shared" si="21"/>
        <v>Saturday</v>
      </c>
      <c r="H168" t="b">
        <f t="shared" si="22"/>
        <v>1</v>
      </c>
      <c r="I168">
        <f t="shared" si="23"/>
        <v>167</v>
      </c>
      <c r="J168" t="s">
        <v>28</v>
      </c>
      <c r="K168">
        <v>20240615</v>
      </c>
    </row>
    <row r="169" spans="1:11" x14ac:dyDescent="0.3">
      <c r="A169" s="4">
        <v>45459</v>
      </c>
      <c r="B169">
        <f t="shared" si="16"/>
        <v>2024</v>
      </c>
      <c r="C169">
        <f t="shared" si="17"/>
        <v>6</v>
      </c>
      <c r="D169" t="str">
        <f t="shared" si="18"/>
        <v>June</v>
      </c>
      <c r="E169">
        <f t="shared" si="19"/>
        <v>25</v>
      </c>
      <c r="F169">
        <f t="shared" si="20"/>
        <v>16</v>
      </c>
      <c r="G169" t="str">
        <f t="shared" si="21"/>
        <v>Sunday</v>
      </c>
      <c r="H169" t="b">
        <f t="shared" si="22"/>
        <v>1</v>
      </c>
      <c r="I169">
        <f t="shared" si="23"/>
        <v>168</v>
      </c>
      <c r="J169" t="s">
        <v>28</v>
      </c>
      <c r="K169">
        <v>20240616</v>
      </c>
    </row>
    <row r="170" spans="1:11" x14ac:dyDescent="0.3">
      <c r="A170" s="4">
        <v>45460</v>
      </c>
      <c r="B170">
        <f t="shared" si="16"/>
        <v>2024</v>
      </c>
      <c r="C170">
        <f t="shared" si="17"/>
        <v>6</v>
      </c>
      <c r="D170" t="str">
        <f t="shared" si="18"/>
        <v>June</v>
      </c>
      <c r="E170">
        <f t="shared" si="19"/>
        <v>25</v>
      </c>
      <c r="F170">
        <f t="shared" si="20"/>
        <v>17</v>
      </c>
      <c r="G170" t="str">
        <f t="shared" si="21"/>
        <v>Monday</v>
      </c>
      <c r="H170" t="b">
        <f t="shared" si="22"/>
        <v>0</v>
      </c>
      <c r="I170">
        <f t="shared" si="23"/>
        <v>169</v>
      </c>
      <c r="J170" t="s">
        <v>28</v>
      </c>
      <c r="K170">
        <v>20240617</v>
      </c>
    </row>
    <row r="171" spans="1:11" x14ac:dyDescent="0.3">
      <c r="A171" s="4">
        <v>45461</v>
      </c>
      <c r="B171">
        <f t="shared" si="16"/>
        <v>2024</v>
      </c>
      <c r="C171">
        <f t="shared" si="17"/>
        <v>6</v>
      </c>
      <c r="D171" t="str">
        <f t="shared" si="18"/>
        <v>June</v>
      </c>
      <c r="E171">
        <f t="shared" si="19"/>
        <v>25</v>
      </c>
      <c r="F171">
        <f t="shared" si="20"/>
        <v>18</v>
      </c>
      <c r="G171" t="str">
        <f t="shared" si="21"/>
        <v>Tuesday</v>
      </c>
      <c r="H171" t="b">
        <f t="shared" si="22"/>
        <v>0</v>
      </c>
      <c r="I171">
        <f t="shared" si="23"/>
        <v>170</v>
      </c>
      <c r="J171" t="s">
        <v>28</v>
      </c>
      <c r="K171">
        <v>20240618</v>
      </c>
    </row>
    <row r="172" spans="1:11" x14ac:dyDescent="0.3">
      <c r="A172" s="4">
        <v>45462</v>
      </c>
      <c r="B172">
        <f t="shared" si="16"/>
        <v>2024</v>
      </c>
      <c r="C172">
        <f t="shared" si="17"/>
        <v>6</v>
      </c>
      <c r="D172" t="str">
        <f t="shared" si="18"/>
        <v>June</v>
      </c>
      <c r="E172">
        <f t="shared" si="19"/>
        <v>25</v>
      </c>
      <c r="F172">
        <f t="shared" si="20"/>
        <v>19</v>
      </c>
      <c r="G172" t="str">
        <f t="shared" si="21"/>
        <v>Wednesday</v>
      </c>
      <c r="H172" t="b">
        <f t="shared" si="22"/>
        <v>0</v>
      </c>
      <c r="I172">
        <f t="shared" si="23"/>
        <v>171</v>
      </c>
      <c r="J172" t="s">
        <v>28</v>
      </c>
      <c r="K172">
        <v>20240619</v>
      </c>
    </row>
    <row r="173" spans="1:11" x14ac:dyDescent="0.3">
      <c r="A173" s="4">
        <v>45463</v>
      </c>
      <c r="B173">
        <f t="shared" si="16"/>
        <v>2024</v>
      </c>
      <c r="C173">
        <f t="shared" si="17"/>
        <v>6</v>
      </c>
      <c r="D173" t="str">
        <f t="shared" si="18"/>
        <v>June</v>
      </c>
      <c r="E173">
        <f t="shared" si="19"/>
        <v>25</v>
      </c>
      <c r="F173">
        <f t="shared" si="20"/>
        <v>20</v>
      </c>
      <c r="G173" t="str">
        <f t="shared" si="21"/>
        <v>Thursday</v>
      </c>
      <c r="H173" t="b">
        <f t="shared" si="22"/>
        <v>0</v>
      </c>
      <c r="I173">
        <f t="shared" si="23"/>
        <v>172</v>
      </c>
      <c r="J173" t="s">
        <v>28</v>
      </c>
      <c r="K173">
        <v>20240620</v>
      </c>
    </row>
    <row r="174" spans="1:11" x14ac:dyDescent="0.3">
      <c r="A174" s="4">
        <v>45464</v>
      </c>
      <c r="B174">
        <f t="shared" si="16"/>
        <v>2024</v>
      </c>
      <c r="C174">
        <f t="shared" si="17"/>
        <v>6</v>
      </c>
      <c r="D174" t="str">
        <f t="shared" si="18"/>
        <v>June</v>
      </c>
      <c r="E174">
        <f t="shared" si="19"/>
        <v>25</v>
      </c>
      <c r="F174">
        <f t="shared" si="20"/>
        <v>21</v>
      </c>
      <c r="G174" t="str">
        <f t="shared" si="21"/>
        <v>Friday</v>
      </c>
      <c r="H174" t="b">
        <f t="shared" si="22"/>
        <v>0</v>
      </c>
      <c r="I174">
        <f t="shared" si="23"/>
        <v>173</v>
      </c>
      <c r="J174" t="s">
        <v>28</v>
      </c>
      <c r="K174">
        <v>20240621</v>
      </c>
    </row>
    <row r="175" spans="1:11" x14ac:dyDescent="0.3">
      <c r="A175" s="4">
        <v>45465</v>
      </c>
      <c r="B175">
        <f t="shared" si="16"/>
        <v>2024</v>
      </c>
      <c r="C175">
        <f t="shared" si="17"/>
        <v>6</v>
      </c>
      <c r="D175" t="str">
        <f t="shared" si="18"/>
        <v>June</v>
      </c>
      <c r="E175">
        <f t="shared" si="19"/>
        <v>25</v>
      </c>
      <c r="F175">
        <f t="shared" si="20"/>
        <v>22</v>
      </c>
      <c r="G175" t="str">
        <f t="shared" si="21"/>
        <v>Saturday</v>
      </c>
      <c r="H175" t="b">
        <f t="shared" si="22"/>
        <v>1</v>
      </c>
      <c r="I175">
        <f t="shared" si="23"/>
        <v>174</v>
      </c>
      <c r="J175" t="s">
        <v>28</v>
      </c>
      <c r="K175">
        <v>20240622</v>
      </c>
    </row>
    <row r="176" spans="1:11" x14ac:dyDescent="0.3">
      <c r="A176" s="4">
        <v>45466</v>
      </c>
      <c r="B176">
        <f t="shared" si="16"/>
        <v>2024</v>
      </c>
      <c r="C176">
        <f t="shared" si="17"/>
        <v>6</v>
      </c>
      <c r="D176" t="str">
        <f t="shared" si="18"/>
        <v>June</v>
      </c>
      <c r="E176">
        <f t="shared" si="19"/>
        <v>26</v>
      </c>
      <c r="F176">
        <f t="shared" si="20"/>
        <v>23</v>
      </c>
      <c r="G176" t="str">
        <f t="shared" si="21"/>
        <v>Sunday</v>
      </c>
      <c r="H176" t="b">
        <f t="shared" si="22"/>
        <v>1</v>
      </c>
      <c r="I176">
        <f t="shared" si="23"/>
        <v>175</v>
      </c>
      <c r="J176" t="s">
        <v>28</v>
      </c>
      <c r="K176">
        <v>20240623</v>
      </c>
    </row>
    <row r="177" spans="1:11" x14ac:dyDescent="0.3">
      <c r="A177" s="4">
        <v>45467</v>
      </c>
      <c r="B177">
        <f t="shared" si="16"/>
        <v>2024</v>
      </c>
      <c r="C177">
        <f t="shared" si="17"/>
        <v>6</v>
      </c>
      <c r="D177" t="str">
        <f t="shared" si="18"/>
        <v>June</v>
      </c>
      <c r="E177">
        <f t="shared" si="19"/>
        <v>26</v>
      </c>
      <c r="F177">
        <f t="shared" si="20"/>
        <v>24</v>
      </c>
      <c r="G177" t="str">
        <f t="shared" si="21"/>
        <v>Monday</v>
      </c>
      <c r="H177" t="b">
        <f t="shared" si="22"/>
        <v>0</v>
      </c>
      <c r="I177">
        <f t="shared" si="23"/>
        <v>176</v>
      </c>
      <c r="J177" t="s">
        <v>28</v>
      </c>
      <c r="K177">
        <v>20240624</v>
      </c>
    </row>
    <row r="178" spans="1:11" x14ac:dyDescent="0.3">
      <c r="A178" s="4">
        <v>45468</v>
      </c>
      <c r="B178">
        <f t="shared" si="16"/>
        <v>2024</v>
      </c>
      <c r="C178">
        <f t="shared" si="17"/>
        <v>6</v>
      </c>
      <c r="D178" t="str">
        <f t="shared" si="18"/>
        <v>June</v>
      </c>
      <c r="E178">
        <f t="shared" si="19"/>
        <v>26</v>
      </c>
      <c r="F178">
        <f t="shared" si="20"/>
        <v>25</v>
      </c>
      <c r="G178" t="str">
        <f t="shared" si="21"/>
        <v>Tuesday</v>
      </c>
      <c r="H178" t="b">
        <f t="shared" si="22"/>
        <v>0</v>
      </c>
      <c r="I178">
        <f t="shared" si="23"/>
        <v>177</v>
      </c>
      <c r="J178" t="s">
        <v>28</v>
      </c>
      <c r="K178">
        <v>20240625</v>
      </c>
    </row>
    <row r="179" spans="1:11" x14ac:dyDescent="0.3">
      <c r="A179" s="4">
        <v>45469</v>
      </c>
      <c r="B179">
        <f t="shared" si="16"/>
        <v>2024</v>
      </c>
      <c r="C179">
        <f t="shared" si="17"/>
        <v>6</v>
      </c>
      <c r="D179" t="str">
        <f t="shared" si="18"/>
        <v>June</v>
      </c>
      <c r="E179">
        <f t="shared" si="19"/>
        <v>26</v>
      </c>
      <c r="F179">
        <f t="shared" si="20"/>
        <v>26</v>
      </c>
      <c r="G179" t="str">
        <f t="shared" si="21"/>
        <v>Wednesday</v>
      </c>
      <c r="H179" t="b">
        <f t="shared" si="22"/>
        <v>0</v>
      </c>
      <c r="I179">
        <f t="shared" si="23"/>
        <v>178</v>
      </c>
      <c r="J179" t="s">
        <v>28</v>
      </c>
      <c r="K179">
        <v>20240626</v>
      </c>
    </row>
    <row r="180" spans="1:11" x14ac:dyDescent="0.3">
      <c r="A180" s="4">
        <v>45470</v>
      </c>
      <c r="B180">
        <f t="shared" si="16"/>
        <v>2024</v>
      </c>
      <c r="C180">
        <f t="shared" si="17"/>
        <v>6</v>
      </c>
      <c r="D180" t="str">
        <f t="shared" si="18"/>
        <v>June</v>
      </c>
      <c r="E180">
        <f t="shared" si="19"/>
        <v>26</v>
      </c>
      <c r="F180">
        <f t="shared" si="20"/>
        <v>27</v>
      </c>
      <c r="G180" t="str">
        <f t="shared" si="21"/>
        <v>Thursday</v>
      </c>
      <c r="H180" t="b">
        <f t="shared" si="22"/>
        <v>0</v>
      </c>
      <c r="I180">
        <f t="shared" si="23"/>
        <v>179</v>
      </c>
      <c r="J180" t="s">
        <v>28</v>
      </c>
      <c r="K180">
        <v>20240627</v>
      </c>
    </row>
    <row r="181" spans="1:11" x14ac:dyDescent="0.3">
      <c r="A181" s="4">
        <v>45471</v>
      </c>
      <c r="B181">
        <f t="shared" si="16"/>
        <v>2024</v>
      </c>
      <c r="C181">
        <f t="shared" si="17"/>
        <v>6</v>
      </c>
      <c r="D181" t="str">
        <f t="shared" si="18"/>
        <v>June</v>
      </c>
      <c r="E181">
        <f t="shared" si="19"/>
        <v>26</v>
      </c>
      <c r="F181">
        <f t="shared" si="20"/>
        <v>28</v>
      </c>
      <c r="G181" t="str">
        <f t="shared" si="21"/>
        <v>Friday</v>
      </c>
      <c r="H181" t="b">
        <f t="shared" si="22"/>
        <v>0</v>
      </c>
      <c r="I181">
        <f t="shared" si="23"/>
        <v>180</v>
      </c>
      <c r="J181" t="s">
        <v>28</v>
      </c>
      <c r="K181">
        <v>20240628</v>
      </c>
    </row>
    <row r="182" spans="1:11" x14ac:dyDescent="0.3">
      <c r="A182" s="4">
        <v>45472</v>
      </c>
      <c r="B182">
        <f t="shared" si="16"/>
        <v>2024</v>
      </c>
      <c r="C182">
        <f t="shared" si="17"/>
        <v>6</v>
      </c>
      <c r="D182" t="str">
        <f t="shared" si="18"/>
        <v>June</v>
      </c>
      <c r="E182">
        <f t="shared" si="19"/>
        <v>26</v>
      </c>
      <c r="F182">
        <f t="shared" si="20"/>
        <v>29</v>
      </c>
      <c r="G182" t="str">
        <f t="shared" si="21"/>
        <v>Saturday</v>
      </c>
      <c r="H182" t="b">
        <f t="shared" si="22"/>
        <v>1</v>
      </c>
      <c r="I182">
        <f t="shared" si="23"/>
        <v>181</v>
      </c>
      <c r="J182" t="s">
        <v>28</v>
      </c>
      <c r="K182">
        <v>20240629</v>
      </c>
    </row>
    <row r="183" spans="1:11" x14ac:dyDescent="0.3">
      <c r="A183" s="4">
        <v>45473</v>
      </c>
      <c r="B183">
        <f t="shared" si="16"/>
        <v>2024</v>
      </c>
      <c r="C183">
        <f t="shared" si="17"/>
        <v>6</v>
      </c>
      <c r="D183" t="str">
        <f t="shared" si="18"/>
        <v>June</v>
      </c>
      <c r="E183">
        <f t="shared" si="19"/>
        <v>27</v>
      </c>
      <c r="F183">
        <f t="shared" si="20"/>
        <v>30</v>
      </c>
      <c r="G183" t="str">
        <f t="shared" si="21"/>
        <v>Sunday</v>
      </c>
      <c r="H183" t="b">
        <f t="shared" si="22"/>
        <v>1</v>
      </c>
      <c r="I183">
        <f t="shared" si="23"/>
        <v>182</v>
      </c>
      <c r="J183" t="s">
        <v>28</v>
      </c>
      <c r="K183">
        <v>20240630</v>
      </c>
    </row>
    <row r="184" spans="1:11" x14ac:dyDescent="0.3">
      <c r="A184" s="4">
        <v>45474</v>
      </c>
      <c r="B184">
        <f t="shared" si="16"/>
        <v>2024</v>
      </c>
      <c r="C184">
        <f t="shared" si="17"/>
        <v>7</v>
      </c>
      <c r="D184" t="str">
        <f t="shared" si="18"/>
        <v>July</v>
      </c>
      <c r="E184">
        <f t="shared" si="19"/>
        <v>27</v>
      </c>
      <c r="F184">
        <f t="shared" si="20"/>
        <v>1</v>
      </c>
      <c r="G184" t="str">
        <f t="shared" si="21"/>
        <v>Monday</v>
      </c>
      <c r="H184" t="b">
        <f t="shared" si="22"/>
        <v>0</v>
      </c>
      <c r="I184">
        <f t="shared" si="23"/>
        <v>183</v>
      </c>
      <c r="J184" t="s">
        <v>28</v>
      </c>
      <c r="K184">
        <v>20240701</v>
      </c>
    </row>
    <row r="185" spans="1:11" x14ac:dyDescent="0.3">
      <c r="A185" s="4">
        <v>45475</v>
      </c>
      <c r="B185">
        <f t="shared" si="16"/>
        <v>2024</v>
      </c>
      <c r="C185">
        <f t="shared" si="17"/>
        <v>7</v>
      </c>
      <c r="D185" t="str">
        <f t="shared" si="18"/>
        <v>July</v>
      </c>
      <c r="E185">
        <f t="shared" si="19"/>
        <v>27</v>
      </c>
      <c r="F185">
        <f t="shared" si="20"/>
        <v>2</v>
      </c>
      <c r="G185" t="str">
        <f t="shared" si="21"/>
        <v>Tuesday</v>
      </c>
      <c r="H185" t="b">
        <f t="shared" si="22"/>
        <v>0</v>
      </c>
      <c r="I185">
        <f t="shared" si="23"/>
        <v>184</v>
      </c>
      <c r="J185" t="s">
        <v>28</v>
      </c>
      <c r="K185">
        <v>20240702</v>
      </c>
    </row>
    <row r="186" spans="1:11" x14ac:dyDescent="0.3">
      <c r="A186" s="4">
        <v>45476</v>
      </c>
      <c r="B186">
        <f t="shared" si="16"/>
        <v>2024</v>
      </c>
      <c r="C186">
        <f t="shared" si="17"/>
        <v>7</v>
      </c>
      <c r="D186" t="str">
        <f t="shared" si="18"/>
        <v>July</v>
      </c>
      <c r="E186">
        <f t="shared" si="19"/>
        <v>27</v>
      </c>
      <c r="F186">
        <f t="shared" si="20"/>
        <v>3</v>
      </c>
      <c r="G186" t="str">
        <f t="shared" si="21"/>
        <v>Wednesday</v>
      </c>
      <c r="H186" t="b">
        <f t="shared" si="22"/>
        <v>0</v>
      </c>
      <c r="I186">
        <f t="shared" si="23"/>
        <v>185</v>
      </c>
      <c r="J186" t="s">
        <v>28</v>
      </c>
      <c r="K186">
        <v>20240703</v>
      </c>
    </row>
    <row r="187" spans="1:11" x14ac:dyDescent="0.3">
      <c r="A187" s="4">
        <v>45477</v>
      </c>
      <c r="B187">
        <f t="shared" si="16"/>
        <v>2024</v>
      </c>
      <c r="C187">
        <f t="shared" si="17"/>
        <v>7</v>
      </c>
      <c r="D187" t="str">
        <f t="shared" si="18"/>
        <v>July</v>
      </c>
      <c r="E187">
        <f t="shared" si="19"/>
        <v>27</v>
      </c>
      <c r="F187">
        <f t="shared" si="20"/>
        <v>4</v>
      </c>
      <c r="G187" t="str">
        <f t="shared" si="21"/>
        <v>Thursday</v>
      </c>
      <c r="H187" t="b">
        <f t="shared" si="22"/>
        <v>0</v>
      </c>
      <c r="I187">
        <f t="shared" si="23"/>
        <v>186</v>
      </c>
      <c r="J187" t="s">
        <v>28</v>
      </c>
      <c r="K187">
        <v>20240704</v>
      </c>
    </row>
    <row r="188" spans="1:11" x14ac:dyDescent="0.3">
      <c r="A188" s="4">
        <v>45478</v>
      </c>
      <c r="B188">
        <f t="shared" si="16"/>
        <v>2024</v>
      </c>
      <c r="C188">
        <f t="shared" si="17"/>
        <v>7</v>
      </c>
      <c r="D188" t="str">
        <f t="shared" si="18"/>
        <v>July</v>
      </c>
      <c r="E188">
        <f t="shared" si="19"/>
        <v>27</v>
      </c>
      <c r="F188">
        <f t="shared" si="20"/>
        <v>5</v>
      </c>
      <c r="G188" t="str">
        <f t="shared" si="21"/>
        <v>Friday</v>
      </c>
      <c r="H188" t="b">
        <f t="shared" si="22"/>
        <v>0</v>
      </c>
      <c r="I188">
        <f t="shared" si="23"/>
        <v>187</v>
      </c>
      <c r="J188" t="s">
        <v>28</v>
      </c>
      <c r="K188">
        <v>20240705</v>
      </c>
    </row>
    <row r="189" spans="1:11" x14ac:dyDescent="0.3">
      <c r="A189" s="4">
        <v>45479</v>
      </c>
      <c r="B189">
        <f t="shared" si="16"/>
        <v>2024</v>
      </c>
      <c r="C189">
        <f t="shared" si="17"/>
        <v>7</v>
      </c>
      <c r="D189" t="str">
        <f t="shared" si="18"/>
        <v>July</v>
      </c>
      <c r="E189">
        <f t="shared" si="19"/>
        <v>27</v>
      </c>
      <c r="F189">
        <f t="shared" si="20"/>
        <v>6</v>
      </c>
      <c r="G189" t="str">
        <f t="shared" si="21"/>
        <v>Saturday</v>
      </c>
      <c r="H189" t="b">
        <f t="shared" si="22"/>
        <v>1</v>
      </c>
      <c r="I189">
        <f t="shared" si="23"/>
        <v>188</v>
      </c>
      <c r="J189" t="s">
        <v>28</v>
      </c>
      <c r="K189">
        <v>20240706</v>
      </c>
    </row>
    <row r="190" spans="1:11" x14ac:dyDescent="0.3">
      <c r="A190" s="4">
        <v>45480</v>
      </c>
      <c r="B190">
        <f t="shared" si="16"/>
        <v>2024</v>
      </c>
      <c r="C190">
        <f t="shared" si="17"/>
        <v>7</v>
      </c>
      <c r="D190" t="str">
        <f t="shared" si="18"/>
        <v>July</v>
      </c>
      <c r="E190">
        <f t="shared" si="19"/>
        <v>28</v>
      </c>
      <c r="F190">
        <f t="shared" si="20"/>
        <v>7</v>
      </c>
      <c r="G190" t="str">
        <f t="shared" si="21"/>
        <v>Sunday</v>
      </c>
      <c r="H190" t="b">
        <f t="shared" si="22"/>
        <v>1</v>
      </c>
      <c r="I190">
        <f t="shared" si="23"/>
        <v>189</v>
      </c>
      <c r="J190" t="s">
        <v>28</v>
      </c>
      <c r="K190">
        <v>20240707</v>
      </c>
    </row>
    <row r="191" spans="1:11" x14ac:dyDescent="0.3">
      <c r="A191" s="4">
        <v>45481</v>
      </c>
      <c r="B191">
        <f t="shared" si="16"/>
        <v>2024</v>
      </c>
      <c r="C191">
        <f t="shared" si="17"/>
        <v>7</v>
      </c>
      <c r="D191" t="str">
        <f t="shared" si="18"/>
        <v>July</v>
      </c>
      <c r="E191">
        <f t="shared" si="19"/>
        <v>28</v>
      </c>
      <c r="F191">
        <f t="shared" si="20"/>
        <v>8</v>
      </c>
      <c r="G191" t="str">
        <f t="shared" si="21"/>
        <v>Monday</v>
      </c>
      <c r="H191" t="b">
        <f t="shared" si="22"/>
        <v>0</v>
      </c>
      <c r="I191">
        <f t="shared" si="23"/>
        <v>190</v>
      </c>
      <c r="J191" t="s">
        <v>28</v>
      </c>
      <c r="K191">
        <v>20240708</v>
      </c>
    </row>
    <row r="192" spans="1:11" x14ac:dyDescent="0.3">
      <c r="A192" s="4">
        <v>45482</v>
      </c>
      <c r="B192">
        <f t="shared" si="16"/>
        <v>2024</v>
      </c>
      <c r="C192">
        <f t="shared" si="17"/>
        <v>7</v>
      </c>
      <c r="D192" t="str">
        <f t="shared" si="18"/>
        <v>July</v>
      </c>
      <c r="E192">
        <f t="shared" si="19"/>
        <v>28</v>
      </c>
      <c r="F192">
        <f t="shared" si="20"/>
        <v>9</v>
      </c>
      <c r="G192" t="str">
        <f t="shared" si="21"/>
        <v>Tuesday</v>
      </c>
      <c r="H192" t="b">
        <f t="shared" si="22"/>
        <v>0</v>
      </c>
      <c r="I192">
        <f t="shared" si="23"/>
        <v>191</v>
      </c>
      <c r="J192" t="s">
        <v>28</v>
      </c>
      <c r="K192">
        <v>20240709</v>
      </c>
    </row>
    <row r="193" spans="1:11" x14ac:dyDescent="0.3">
      <c r="A193" s="4">
        <v>45483</v>
      </c>
      <c r="B193">
        <f t="shared" si="16"/>
        <v>2024</v>
      </c>
      <c r="C193">
        <f t="shared" si="17"/>
        <v>7</v>
      </c>
      <c r="D193" t="str">
        <f t="shared" si="18"/>
        <v>July</v>
      </c>
      <c r="E193">
        <f t="shared" si="19"/>
        <v>28</v>
      </c>
      <c r="F193">
        <f t="shared" si="20"/>
        <v>10</v>
      </c>
      <c r="G193" t="str">
        <f t="shared" si="21"/>
        <v>Wednesday</v>
      </c>
      <c r="H193" t="b">
        <f t="shared" si="22"/>
        <v>0</v>
      </c>
      <c r="I193">
        <f t="shared" si="23"/>
        <v>192</v>
      </c>
      <c r="J193" t="s">
        <v>28</v>
      </c>
      <c r="K193">
        <v>20240710</v>
      </c>
    </row>
    <row r="194" spans="1:11" x14ac:dyDescent="0.3">
      <c r="A194" s="4">
        <v>45484</v>
      </c>
      <c r="B194">
        <f t="shared" si="16"/>
        <v>2024</v>
      </c>
      <c r="C194">
        <f t="shared" si="17"/>
        <v>7</v>
      </c>
      <c r="D194" t="str">
        <f t="shared" si="18"/>
        <v>July</v>
      </c>
      <c r="E194">
        <f t="shared" si="19"/>
        <v>28</v>
      </c>
      <c r="F194">
        <f t="shared" si="20"/>
        <v>11</v>
      </c>
      <c r="G194" t="str">
        <f t="shared" si="21"/>
        <v>Thursday</v>
      </c>
      <c r="H194" t="b">
        <f t="shared" si="22"/>
        <v>0</v>
      </c>
      <c r="I194">
        <f t="shared" si="23"/>
        <v>193</v>
      </c>
      <c r="J194" t="s">
        <v>28</v>
      </c>
      <c r="K194">
        <v>20240711</v>
      </c>
    </row>
    <row r="195" spans="1:11" x14ac:dyDescent="0.3">
      <c r="A195" s="4">
        <v>45485</v>
      </c>
      <c r="B195">
        <f t="shared" ref="B195:B258" si="24">YEAR(A195)</f>
        <v>2024</v>
      </c>
      <c r="C195">
        <f t="shared" ref="C195:C258" si="25">MONTH(A195)</f>
        <v>7</v>
      </c>
      <c r="D195" t="str">
        <f t="shared" ref="D195:D258" si="26">TEXT(A195,"mmmm")</f>
        <v>July</v>
      </c>
      <c r="E195">
        <f t="shared" ref="E195:E258" si="27">WEEKNUM(A195)</f>
        <v>28</v>
      </c>
      <c r="F195">
        <f t="shared" ref="F195:F258" si="28">DAY(A195)</f>
        <v>12</v>
      </c>
      <c r="G195" t="str">
        <f t="shared" ref="G195:G258" si="29">TEXT((A195),"dddd")</f>
        <v>Friday</v>
      </c>
      <c r="H195" t="b">
        <f t="shared" ref="H195:H258" si="30">IF(OR(G195="Saturday",G195="Sunday"),TRUE,FALSE)</f>
        <v>0</v>
      </c>
      <c r="I195">
        <f t="shared" ref="I195:I258" si="31">A195-DATE(YEAR(A195),1,1)+1</f>
        <v>194</v>
      </c>
      <c r="J195" t="s">
        <v>28</v>
      </c>
      <c r="K195">
        <v>20240712</v>
      </c>
    </row>
    <row r="196" spans="1:11" x14ac:dyDescent="0.3">
      <c r="A196" s="4">
        <v>45486</v>
      </c>
      <c r="B196">
        <f t="shared" si="24"/>
        <v>2024</v>
      </c>
      <c r="C196">
        <f t="shared" si="25"/>
        <v>7</v>
      </c>
      <c r="D196" t="str">
        <f t="shared" si="26"/>
        <v>July</v>
      </c>
      <c r="E196">
        <f t="shared" si="27"/>
        <v>28</v>
      </c>
      <c r="F196">
        <f t="shared" si="28"/>
        <v>13</v>
      </c>
      <c r="G196" t="str">
        <f t="shared" si="29"/>
        <v>Saturday</v>
      </c>
      <c r="H196" t="b">
        <f t="shared" si="30"/>
        <v>1</v>
      </c>
      <c r="I196">
        <f t="shared" si="31"/>
        <v>195</v>
      </c>
      <c r="J196" t="s">
        <v>28</v>
      </c>
      <c r="K196">
        <v>20240713</v>
      </c>
    </row>
    <row r="197" spans="1:11" x14ac:dyDescent="0.3">
      <c r="A197" s="4">
        <v>45487</v>
      </c>
      <c r="B197">
        <f t="shared" si="24"/>
        <v>2024</v>
      </c>
      <c r="C197">
        <f t="shared" si="25"/>
        <v>7</v>
      </c>
      <c r="D197" t="str">
        <f t="shared" si="26"/>
        <v>July</v>
      </c>
      <c r="E197">
        <f t="shared" si="27"/>
        <v>29</v>
      </c>
      <c r="F197">
        <f t="shared" si="28"/>
        <v>14</v>
      </c>
      <c r="G197" t="str">
        <f t="shared" si="29"/>
        <v>Sunday</v>
      </c>
      <c r="H197" t="b">
        <f t="shared" si="30"/>
        <v>1</v>
      </c>
      <c r="I197">
        <f t="shared" si="31"/>
        <v>196</v>
      </c>
      <c r="J197" t="s">
        <v>28</v>
      </c>
      <c r="K197">
        <v>20240714</v>
      </c>
    </row>
    <row r="198" spans="1:11" x14ac:dyDescent="0.3">
      <c r="A198" s="4">
        <v>45488</v>
      </c>
      <c r="B198">
        <f t="shared" si="24"/>
        <v>2024</v>
      </c>
      <c r="C198">
        <f t="shared" si="25"/>
        <v>7</v>
      </c>
      <c r="D198" t="str">
        <f t="shared" si="26"/>
        <v>July</v>
      </c>
      <c r="E198">
        <f t="shared" si="27"/>
        <v>29</v>
      </c>
      <c r="F198">
        <f t="shared" si="28"/>
        <v>15</v>
      </c>
      <c r="G198" t="str">
        <f t="shared" si="29"/>
        <v>Monday</v>
      </c>
      <c r="H198" t="b">
        <f t="shared" si="30"/>
        <v>0</v>
      </c>
      <c r="I198">
        <f t="shared" si="31"/>
        <v>197</v>
      </c>
      <c r="J198" t="s">
        <v>28</v>
      </c>
      <c r="K198">
        <v>20240715</v>
      </c>
    </row>
    <row r="199" spans="1:11" x14ac:dyDescent="0.3">
      <c r="A199" s="4">
        <v>45489</v>
      </c>
      <c r="B199">
        <f t="shared" si="24"/>
        <v>2024</v>
      </c>
      <c r="C199">
        <f t="shared" si="25"/>
        <v>7</v>
      </c>
      <c r="D199" t="str">
        <f t="shared" si="26"/>
        <v>July</v>
      </c>
      <c r="E199">
        <f t="shared" si="27"/>
        <v>29</v>
      </c>
      <c r="F199">
        <f t="shared" si="28"/>
        <v>16</v>
      </c>
      <c r="G199" t="str">
        <f t="shared" si="29"/>
        <v>Tuesday</v>
      </c>
      <c r="H199" t="b">
        <f t="shared" si="30"/>
        <v>0</v>
      </c>
      <c r="I199">
        <f t="shared" si="31"/>
        <v>198</v>
      </c>
      <c r="J199" t="s">
        <v>28</v>
      </c>
      <c r="K199">
        <v>20240716</v>
      </c>
    </row>
    <row r="200" spans="1:11" x14ac:dyDescent="0.3">
      <c r="A200" s="4">
        <v>45490</v>
      </c>
      <c r="B200">
        <f t="shared" si="24"/>
        <v>2024</v>
      </c>
      <c r="C200">
        <f t="shared" si="25"/>
        <v>7</v>
      </c>
      <c r="D200" t="str">
        <f t="shared" si="26"/>
        <v>July</v>
      </c>
      <c r="E200">
        <f t="shared" si="27"/>
        <v>29</v>
      </c>
      <c r="F200">
        <f t="shared" si="28"/>
        <v>17</v>
      </c>
      <c r="G200" t="str">
        <f t="shared" si="29"/>
        <v>Wednesday</v>
      </c>
      <c r="H200" t="b">
        <f t="shared" si="30"/>
        <v>0</v>
      </c>
      <c r="I200">
        <f t="shared" si="31"/>
        <v>199</v>
      </c>
      <c r="J200" t="s">
        <v>28</v>
      </c>
      <c r="K200">
        <v>20240717</v>
      </c>
    </row>
    <row r="201" spans="1:11" x14ac:dyDescent="0.3">
      <c r="A201" s="4">
        <v>45491</v>
      </c>
      <c r="B201">
        <f t="shared" si="24"/>
        <v>2024</v>
      </c>
      <c r="C201">
        <f t="shared" si="25"/>
        <v>7</v>
      </c>
      <c r="D201" t="str">
        <f t="shared" si="26"/>
        <v>July</v>
      </c>
      <c r="E201">
        <f t="shared" si="27"/>
        <v>29</v>
      </c>
      <c r="F201">
        <f t="shared" si="28"/>
        <v>18</v>
      </c>
      <c r="G201" t="str">
        <f t="shared" si="29"/>
        <v>Thursday</v>
      </c>
      <c r="H201" t="b">
        <f t="shared" si="30"/>
        <v>0</v>
      </c>
      <c r="I201">
        <f t="shared" si="31"/>
        <v>200</v>
      </c>
      <c r="J201" t="s">
        <v>28</v>
      </c>
      <c r="K201">
        <v>20240718</v>
      </c>
    </row>
    <row r="202" spans="1:11" x14ac:dyDescent="0.3">
      <c r="A202" s="4">
        <v>45492</v>
      </c>
      <c r="B202">
        <f t="shared" si="24"/>
        <v>2024</v>
      </c>
      <c r="C202">
        <f t="shared" si="25"/>
        <v>7</v>
      </c>
      <c r="D202" t="str">
        <f t="shared" si="26"/>
        <v>July</v>
      </c>
      <c r="E202">
        <f t="shared" si="27"/>
        <v>29</v>
      </c>
      <c r="F202">
        <f t="shared" si="28"/>
        <v>19</v>
      </c>
      <c r="G202" t="str">
        <f t="shared" si="29"/>
        <v>Friday</v>
      </c>
      <c r="H202" t="b">
        <f t="shared" si="30"/>
        <v>0</v>
      </c>
      <c r="I202">
        <f t="shared" si="31"/>
        <v>201</v>
      </c>
      <c r="J202" t="s">
        <v>28</v>
      </c>
      <c r="K202">
        <v>20240719</v>
      </c>
    </row>
    <row r="203" spans="1:11" x14ac:dyDescent="0.3">
      <c r="A203" s="4">
        <v>45493</v>
      </c>
      <c r="B203">
        <f t="shared" si="24"/>
        <v>2024</v>
      </c>
      <c r="C203">
        <f t="shared" si="25"/>
        <v>7</v>
      </c>
      <c r="D203" t="str">
        <f t="shared" si="26"/>
        <v>July</v>
      </c>
      <c r="E203">
        <f t="shared" si="27"/>
        <v>29</v>
      </c>
      <c r="F203">
        <f t="shared" si="28"/>
        <v>20</v>
      </c>
      <c r="G203" t="str">
        <f t="shared" si="29"/>
        <v>Saturday</v>
      </c>
      <c r="H203" t="b">
        <f t="shared" si="30"/>
        <v>1</v>
      </c>
      <c r="I203">
        <f t="shared" si="31"/>
        <v>202</v>
      </c>
      <c r="J203" t="s">
        <v>28</v>
      </c>
      <c r="K203">
        <v>20240720</v>
      </c>
    </row>
    <row r="204" spans="1:11" x14ac:dyDescent="0.3">
      <c r="A204" s="4">
        <v>45494</v>
      </c>
      <c r="B204">
        <f t="shared" si="24"/>
        <v>2024</v>
      </c>
      <c r="C204">
        <f t="shared" si="25"/>
        <v>7</v>
      </c>
      <c r="D204" t="str">
        <f t="shared" si="26"/>
        <v>July</v>
      </c>
      <c r="E204">
        <f t="shared" si="27"/>
        <v>30</v>
      </c>
      <c r="F204">
        <f t="shared" si="28"/>
        <v>21</v>
      </c>
      <c r="G204" t="str">
        <f t="shared" si="29"/>
        <v>Sunday</v>
      </c>
      <c r="H204" t="b">
        <f t="shared" si="30"/>
        <v>1</v>
      </c>
      <c r="I204">
        <f t="shared" si="31"/>
        <v>203</v>
      </c>
      <c r="J204" t="s">
        <v>28</v>
      </c>
      <c r="K204">
        <v>20240721</v>
      </c>
    </row>
    <row r="205" spans="1:11" x14ac:dyDescent="0.3">
      <c r="A205" s="4">
        <v>45495</v>
      </c>
      <c r="B205">
        <f t="shared" si="24"/>
        <v>2024</v>
      </c>
      <c r="C205">
        <f t="shared" si="25"/>
        <v>7</v>
      </c>
      <c r="D205" t="str">
        <f t="shared" si="26"/>
        <v>July</v>
      </c>
      <c r="E205">
        <f t="shared" si="27"/>
        <v>30</v>
      </c>
      <c r="F205">
        <f t="shared" si="28"/>
        <v>22</v>
      </c>
      <c r="G205" t="str">
        <f t="shared" si="29"/>
        <v>Monday</v>
      </c>
      <c r="H205" t="b">
        <f t="shared" si="30"/>
        <v>0</v>
      </c>
      <c r="I205">
        <f t="shared" si="31"/>
        <v>204</v>
      </c>
      <c r="J205" t="s">
        <v>28</v>
      </c>
      <c r="K205">
        <v>20240722</v>
      </c>
    </row>
    <row r="206" spans="1:11" x14ac:dyDescent="0.3">
      <c r="A206" s="4">
        <v>45496</v>
      </c>
      <c r="B206">
        <f t="shared" si="24"/>
        <v>2024</v>
      </c>
      <c r="C206">
        <f t="shared" si="25"/>
        <v>7</v>
      </c>
      <c r="D206" t="str">
        <f t="shared" si="26"/>
        <v>July</v>
      </c>
      <c r="E206">
        <f t="shared" si="27"/>
        <v>30</v>
      </c>
      <c r="F206">
        <f t="shared" si="28"/>
        <v>23</v>
      </c>
      <c r="G206" t="str">
        <f t="shared" si="29"/>
        <v>Tuesday</v>
      </c>
      <c r="H206" t="b">
        <f t="shared" si="30"/>
        <v>0</v>
      </c>
      <c r="I206">
        <f t="shared" si="31"/>
        <v>205</v>
      </c>
      <c r="J206" t="s">
        <v>28</v>
      </c>
      <c r="K206">
        <v>20240723</v>
      </c>
    </row>
    <row r="207" spans="1:11" x14ac:dyDescent="0.3">
      <c r="A207" s="4">
        <v>45497</v>
      </c>
      <c r="B207">
        <f t="shared" si="24"/>
        <v>2024</v>
      </c>
      <c r="C207">
        <f t="shared" si="25"/>
        <v>7</v>
      </c>
      <c r="D207" t="str">
        <f t="shared" si="26"/>
        <v>July</v>
      </c>
      <c r="E207">
        <f t="shared" si="27"/>
        <v>30</v>
      </c>
      <c r="F207">
        <f t="shared" si="28"/>
        <v>24</v>
      </c>
      <c r="G207" t="str">
        <f t="shared" si="29"/>
        <v>Wednesday</v>
      </c>
      <c r="H207" t="b">
        <f t="shared" si="30"/>
        <v>0</v>
      </c>
      <c r="I207">
        <f t="shared" si="31"/>
        <v>206</v>
      </c>
      <c r="J207" t="s">
        <v>28</v>
      </c>
      <c r="K207">
        <v>20240724</v>
      </c>
    </row>
    <row r="208" spans="1:11" x14ac:dyDescent="0.3">
      <c r="A208" s="4">
        <v>45498</v>
      </c>
      <c r="B208">
        <f t="shared" si="24"/>
        <v>2024</v>
      </c>
      <c r="C208">
        <f t="shared" si="25"/>
        <v>7</v>
      </c>
      <c r="D208" t="str">
        <f t="shared" si="26"/>
        <v>July</v>
      </c>
      <c r="E208">
        <f t="shared" si="27"/>
        <v>30</v>
      </c>
      <c r="F208">
        <f t="shared" si="28"/>
        <v>25</v>
      </c>
      <c r="G208" t="str">
        <f t="shared" si="29"/>
        <v>Thursday</v>
      </c>
      <c r="H208" t="b">
        <f t="shared" si="30"/>
        <v>0</v>
      </c>
      <c r="I208">
        <f t="shared" si="31"/>
        <v>207</v>
      </c>
      <c r="J208" t="s">
        <v>28</v>
      </c>
      <c r="K208">
        <v>20240725</v>
      </c>
    </row>
    <row r="209" spans="1:11" x14ac:dyDescent="0.3">
      <c r="A209" s="4">
        <v>45499</v>
      </c>
      <c r="B209">
        <f t="shared" si="24"/>
        <v>2024</v>
      </c>
      <c r="C209">
        <f t="shared" si="25"/>
        <v>7</v>
      </c>
      <c r="D209" t="str">
        <f t="shared" si="26"/>
        <v>July</v>
      </c>
      <c r="E209">
        <f t="shared" si="27"/>
        <v>30</v>
      </c>
      <c r="F209">
        <f t="shared" si="28"/>
        <v>26</v>
      </c>
      <c r="G209" t="str">
        <f t="shared" si="29"/>
        <v>Friday</v>
      </c>
      <c r="H209" t="b">
        <f t="shared" si="30"/>
        <v>0</v>
      </c>
      <c r="I209">
        <f t="shared" si="31"/>
        <v>208</v>
      </c>
      <c r="J209" t="s">
        <v>28</v>
      </c>
      <c r="K209">
        <v>20240726</v>
      </c>
    </row>
    <row r="210" spans="1:11" x14ac:dyDescent="0.3">
      <c r="A210" s="4">
        <v>45500</v>
      </c>
      <c r="B210">
        <f t="shared" si="24"/>
        <v>2024</v>
      </c>
      <c r="C210">
        <f t="shared" si="25"/>
        <v>7</v>
      </c>
      <c r="D210" t="str">
        <f t="shared" si="26"/>
        <v>July</v>
      </c>
      <c r="E210">
        <f t="shared" si="27"/>
        <v>30</v>
      </c>
      <c r="F210">
        <f t="shared" si="28"/>
        <v>27</v>
      </c>
      <c r="G210" t="str">
        <f t="shared" si="29"/>
        <v>Saturday</v>
      </c>
      <c r="H210" t="b">
        <f t="shared" si="30"/>
        <v>1</v>
      </c>
      <c r="I210">
        <f t="shared" si="31"/>
        <v>209</v>
      </c>
      <c r="J210" t="s">
        <v>28</v>
      </c>
      <c r="K210">
        <v>20240727</v>
      </c>
    </row>
    <row r="211" spans="1:11" x14ac:dyDescent="0.3">
      <c r="A211" s="4">
        <v>45501</v>
      </c>
      <c r="B211">
        <f t="shared" si="24"/>
        <v>2024</v>
      </c>
      <c r="C211">
        <f t="shared" si="25"/>
        <v>7</v>
      </c>
      <c r="D211" t="str">
        <f t="shared" si="26"/>
        <v>July</v>
      </c>
      <c r="E211">
        <f t="shared" si="27"/>
        <v>31</v>
      </c>
      <c r="F211">
        <f t="shared" si="28"/>
        <v>28</v>
      </c>
      <c r="G211" t="str">
        <f t="shared" si="29"/>
        <v>Sunday</v>
      </c>
      <c r="H211" t="b">
        <f t="shared" si="30"/>
        <v>1</v>
      </c>
      <c r="I211">
        <f t="shared" si="31"/>
        <v>210</v>
      </c>
      <c r="J211" t="s">
        <v>28</v>
      </c>
      <c r="K211">
        <v>20240728</v>
      </c>
    </row>
    <row r="212" spans="1:11" x14ac:dyDescent="0.3">
      <c r="A212" s="4">
        <v>45502</v>
      </c>
      <c r="B212">
        <f t="shared" si="24"/>
        <v>2024</v>
      </c>
      <c r="C212">
        <f t="shared" si="25"/>
        <v>7</v>
      </c>
      <c r="D212" t="str">
        <f t="shared" si="26"/>
        <v>July</v>
      </c>
      <c r="E212">
        <f t="shared" si="27"/>
        <v>31</v>
      </c>
      <c r="F212">
        <f t="shared" si="28"/>
        <v>29</v>
      </c>
      <c r="G212" t="str">
        <f t="shared" si="29"/>
        <v>Monday</v>
      </c>
      <c r="H212" t="b">
        <f t="shared" si="30"/>
        <v>0</v>
      </c>
      <c r="I212">
        <f t="shared" si="31"/>
        <v>211</v>
      </c>
      <c r="J212" t="s">
        <v>28</v>
      </c>
      <c r="K212">
        <v>20240729</v>
      </c>
    </row>
    <row r="213" spans="1:11" x14ac:dyDescent="0.3">
      <c r="A213" s="4">
        <v>45503</v>
      </c>
      <c r="B213">
        <f t="shared" si="24"/>
        <v>2024</v>
      </c>
      <c r="C213">
        <f t="shared" si="25"/>
        <v>7</v>
      </c>
      <c r="D213" t="str">
        <f t="shared" si="26"/>
        <v>July</v>
      </c>
      <c r="E213">
        <f t="shared" si="27"/>
        <v>31</v>
      </c>
      <c r="F213">
        <f t="shared" si="28"/>
        <v>30</v>
      </c>
      <c r="G213" t="str">
        <f t="shared" si="29"/>
        <v>Tuesday</v>
      </c>
      <c r="H213" t="b">
        <f t="shared" si="30"/>
        <v>0</v>
      </c>
      <c r="I213">
        <f t="shared" si="31"/>
        <v>212</v>
      </c>
      <c r="J213" t="s">
        <v>28</v>
      </c>
      <c r="K213">
        <v>20240730</v>
      </c>
    </row>
    <row r="214" spans="1:11" x14ac:dyDescent="0.3">
      <c r="A214" s="4">
        <v>45504</v>
      </c>
      <c r="B214">
        <f t="shared" si="24"/>
        <v>2024</v>
      </c>
      <c r="C214">
        <f t="shared" si="25"/>
        <v>7</v>
      </c>
      <c r="D214" t="str">
        <f t="shared" si="26"/>
        <v>July</v>
      </c>
      <c r="E214">
        <f t="shared" si="27"/>
        <v>31</v>
      </c>
      <c r="F214">
        <f t="shared" si="28"/>
        <v>31</v>
      </c>
      <c r="G214" t="str">
        <f t="shared" si="29"/>
        <v>Wednesday</v>
      </c>
      <c r="H214" t="b">
        <f t="shared" si="30"/>
        <v>0</v>
      </c>
      <c r="I214">
        <f t="shared" si="31"/>
        <v>213</v>
      </c>
      <c r="J214" t="s">
        <v>28</v>
      </c>
      <c r="K214">
        <v>20240731</v>
      </c>
    </row>
    <row r="215" spans="1:11" x14ac:dyDescent="0.3">
      <c r="A215" s="4">
        <v>45505</v>
      </c>
      <c r="B215">
        <f t="shared" si="24"/>
        <v>2024</v>
      </c>
      <c r="C215">
        <f t="shared" si="25"/>
        <v>8</v>
      </c>
      <c r="D215" t="str">
        <f t="shared" si="26"/>
        <v>August</v>
      </c>
      <c r="E215">
        <f t="shared" si="27"/>
        <v>31</v>
      </c>
      <c r="F215">
        <f t="shared" si="28"/>
        <v>1</v>
      </c>
      <c r="G215" t="str">
        <f t="shared" si="29"/>
        <v>Thursday</v>
      </c>
      <c r="H215" t="b">
        <f t="shared" si="30"/>
        <v>0</v>
      </c>
      <c r="I215">
        <f t="shared" si="31"/>
        <v>214</v>
      </c>
      <c r="J215" t="s">
        <v>28</v>
      </c>
      <c r="K215">
        <v>20240801</v>
      </c>
    </row>
    <row r="216" spans="1:11" x14ac:dyDescent="0.3">
      <c r="A216" s="4">
        <v>45506</v>
      </c>
      <c r="B216">
        <f t="shared" si="24"/>
        <v>2024</v>
      </c>
      <c r="C216">
        <f t="shared" si="25"/>
        <v>8</v>
      </c>
      <c r="D216" t="str">
        <f t="shared" si="26"/>
        <v>August</v>
      </c>
      <c r="E216">
        <f t="shared" si="27"/>
        <v>31</v>
      </c>
      <c r="F216">
        <f t="shared" si="28"/>
        <v>2</v>
      </c>
      <c r="G216" t="str">
        <f t="shared" si="29"/>
        <v>Friday</v>
      </c>
      <c r="H216" t="b">
        <f t="shared" si="30"/>
        <v>0</v>
      </c>
      <c r="I216">
        <f t="shared" si="31"/>
        <v>215</v>
      </c>
      <c r="J216" t="s">
        <v>28</v>
      </c>
      <c r="K216">
        <v>20240802</v>
      </c>
    </row>
    <row r="217" spans="1:11" x14ac:dyDescent="0.3">
      <c r="A217" s="4">
        <v>45507</v>
      </c>
      <c r="B217">
        <f t="shared" si="24"/>
        <v>2024</v>
      </c>
      <c r="C217">
        <f t="shared" si="25"/>
        <v>8</v>
      </c>
      <c r="D217" t="str">
        <f t="shared" si="26"/>
        <v>August</v>
      </c>
      <c r="E217">
        <f t="shared" si="27"/>
        <v>31</v>
      </c>
      <c r="F217">
        <f t="shared" si="28"/>
        <v>3</v>
      </c>
      <c r="G217" t="str">
        <f t="shared" si="29"/>
        <v>Saturday</v>
      </c>
      <c r="H217" t="b">
        <f t="shared" si="30"/>
        <v>1</v>
      </c>
      <c r="I217">
        <f t="shared" si="31"/>
        <v>216</v>
      </c>
      <c r="J217" t="s">
        <v>28</v>
      </c>
      <c r="K217">
        <v>20240803</v>
      </c>
    </row>
    <row r="218" spans="1:11" x14ac:dyDescent="0.3">
      <c r="A218" s="4">
        <v>45508</v>
      </c>
      <c r="B218">
        <f t="shared" si="24"/>
        <v>2024</v>
      </c>
      <c r="C218">
        <f t="shared" si="25"/>
        <v>8</v>
      </c>
      <c r="D218" t="str">
        <f t="shared" si="26"/>
        <v>August</v>
      </c>
      <c r="E218">
        <f t="shared" si="27"/>
        <v>32</v>
      </c>
      <c r="F218">
        <f t="shared" si="28"/>
        <v>4</v>
      </c>
      <c r="G218" t="str">
        <f t="shared" si="29"/>
        <v>Sunday</v>
      </c>
      <c r="H218" t="b">
        <f t="shared" si="30"/>
        <v>1</v>
      </c>
      <c r="I218">
        <f t="shared" si="31"/>
        <v>217</v>
      </c>
      <c r="J218" t="s">
        <v>28</v>
      </c>
      <c r="K218">
        <v>20240804</v>
      </c>
    </row>
    <row r="219" spans="1:11" x14ac:dyDescent="0.3">
      <c r="A219" s="4">
        <v>45509</v>
      </c>
      <c r="B219">
        <f t="shared" si="24"/>
        <v>2024</v>
      </c>
      <c r="C219">
        <f t="shared" si="25"/>
        <v>8</v>
      </c>
      <c r="D219" t="str">
        <f t="shared" si="26"/>
        <v>August</v>
      </c>
      <c r="E219">
        <f t="shared" si="27"/>
        <v>32</v>
      </c>
      <c r="F219">
        <f t="shared" si="28"/>
        <v>5</v>
      </c>
      <c r="G219" t="str">
        <f t="shared" si="29"/>
        <v>Monday</v>
      </c>
      <c r="H219" t="b">
        <f t="shared" si="30"/>
        <v>0</v>
      </c>
      <c r="I219">
        <f t="shared" si="31"/>
        <v>218</v>
      </c>
      <c r="J219" t="s">
        <v>28</v>
      </c>
      <c r="K219">
        <v>20240805</v>
      </c>
    </row>
    <row r="220" spans="1:11" x14ac:dyDescent="0.3">
      <c r="A220" s="4">
        <v>45510</v>
      </c>
      <c r="B220">
        <f t="shared" si="24"/>
        <v>2024</v>
      </c>
      <c r="C220">
        <f t="shared" si="25"/>
        <v>8</v>
      </c>
      <c r="D220" t="str">
        <f t="shared" si="26"/>
        <v>August</v>
      </c>
      <c r="E220">
        <f t="shared" si="27"/>
        <v>32</v>
      </c>
      <c r="F220">
        <f t="shared" si="28"/>
        <v>6</v>
      </c>
      <c r="G220" t="str">
        <f t="shared" si="29"/>
        <v>Tuesday</v>
      </c>
      <c r="H220" t="b">
        <f t="shared" si="30"/>
        <v>0</v>
      </c>
      <c r="I220">
        <f t="shared" si="31"/>
        <v>219</v>
      </c>
      <c r="J220" t="s">
        <v>28</v>
      </c>
      <c r="K220">
        <v>20240806</v>
      </c>
    </row>
    <row r="221" spans="1:11" x14ac:dyDescent="0.3">
      <c r="A221" s="4">
        <v>45511</v>
      </c>
      <c r="B221">
        <f t="shared" si="24"/>
        <v>2024</v>
      </c>
      <c r="C221">
        <f t="shared" si="25"/>
        <v>8</v>
      </c>
      <c r="D221" t="str">
        <f t="shared" si="26"/>
        <v>August</v>
      </c>
      <c r="E221">
        <f t="shared" si="27"/>
        <v>32</v>
      </c>
      <c r="F221">
        <f t="shared" si="28"/>
        <v>7</v>
      </c>
      <c r="G221" t="str">
        <f t="shared" si="29"/>
        <v>Wednesday</v>
      </c>
      <c r="H221" t="b">
        <f t="shared" si="30"/>
        <v>0</v>
      </c>
      <c r="I221">
        <f t="shared" si="31"/>
        <v>220</v>
      </c>
      <c r="J221" t="s">
        <v>28</v>
      </c>
      <c r="K221">
        <v>20240807</v>
      </c>
    </row>
    <row r="222" spans="1:11" x14ac:dyDescent="0.3">
      <c r="A222" s="4">
        <v>45512</v>
      </c>
      <c r="B222">
        <f t="shared" si="24"/>
        <v>2024</v>
      </c>
      <c r="C222">
        <f t="shared" si="25"/>
        <v>8</v>
      </c>
      <c r="D222" t="str">
        <f t="shared" si="26"/>
        <v>August</v>
      </c>
      <c r="E222">
        <f t="shared" si="27"/>
        <v>32</v>
      </c>
      <c r="F222">
        <f t="shared" si="28"/>
        <v>8</v>
      </c>
      <c r="G222" t="str">
        <f t="shared" si="29"/>
        <v>Thursday</v>
      </c>
      <c r="H222" t="b">
        <f t="shared" si="30"/>
        <v>0</v>
      </c>
      <c r="I222">
        <f t="shared" si="31"/>
        <v>221</v>
      </c>
      <c r="J222" t="s">
        <v>28</v>
      </c>
      <c r="K222">
        <v>20240808</v>
      </c>
    </row>
    <row r="223" spans="1:11" x14ac:dyDescent="0.3">
      <c r="A223" s="4">
        <v>45513</v>
      </c>
      <c r="B223">
        <f t="shared" si="24"/>
        <v>2024</v>
      </c>
      <c r="C223">
        <f t="shared" si="25"/>
        <v>8</v>
      </c>
      <c r="D223" t="str">
        <f t="shared" si="26"/>
        <v>August</v>
      </c>
      <c r="E223">
        <f t="shared" si="27"/>
        <v>32</v>
      </c>
      <c r="F223">
        <f t="shared" si="28"/>
        <v>9</v>
      </c>
      <c r="G223" t="str">
        <f t="shared" si="29"/>
        <v>Friday</v>
      </c>
      <c r="H223" t="b">
        <f t="shared" si="30"/>
        <v>0</v>
      </c>
      <c r="I223">
        <f t="shared" si="31"/>
        <v>222</v>
      </c>
      <c r="J223" t="s">
        <v>28</v>
      </c>
      <c r="K223">
        <v>20240809</v>
      </c>
    </row>
    <row r="224" spans="1:11" x14ac:dyDescent="0.3">
      <c r="A224" s="4">
        <v>45514</v>
      </c>
      <c r="B224">
        <f t="shared" si="24"/>
        <v>2024</v>
      </c>
      <c r="C224">
        <f t="shared" si="25"/>
        <v>8</v>
      </c>
      <c r="D224" t="str">
        <f t="shared" si="26"/>
        <v>August</v>
      </c>
      <c r="E224">
        <f t="shared" si="27"/>
        <v>32</v>
      </c>
      <c r="F224">
        <f t="shared" si="28"/>
        <v>10</v>
      </c>
      <c r="G224" t="str">
        <f t="shared" si="29"/>
        <v>Saturday</v>
      </c>
      <c r="H224" t="b">
        <f t="shared" si="30"/>
        <v>1</v>
      </c>
      <c r="I224">
        <f t="shared" si="31"/>
        <v>223</v>
      </c>
      <c r="J224" t="s">
        <v>28</v>
      </c>
      <c r="K224">
        <v>20240810</v>
      </c>
    </row>
    <row r="225" spans="1:11" x14ac:dyDescent="0.3">
      <c r="A225" s="4">
        <v>45515</v>
      </c>
      <c r="B225">
        <f t="shared" si="24"/>
        <v>2024</v>
      </c>
      <c r="C225">
        <f t="shared" si="25"/>
        <v>8</v>
      </c>
      <c r="D225" t="str">
        <f t="shared" si="26"/>
        <v>August</v>
      </c>
      <c r="E225">
        <f t="shared" si="27"/>
        <v>33</v>
      </c>
      <c r="F225">
        <f t="shared" si="28"/>
        <v>11</v>
      </c>
      <c r="G225" t="str">
        <f t="shared" si="29"/>
        <v>Sunday</v>
      </c>
      <c r="H225" t="b">
        <f t="shared" si="30"/>
        <v>1</v>
      </c>
      <c r="I225">
        <f t="shared" si="31"/>
        <v>224</v>
      </c>
      <c r="J225" t="s">
        <v>28</v>
      </c>
      <c r="K225">
        <v>20240811</v>
      </c>
    </row>
    <row r="226" spans="1:11" x14ac:dyDescent="0.3">
      <c r="A226" s="4">
        <v>45516</v>
      </c>
      <c r="B226">
        <f t="shared" si="24"/>
        <v>2024</v>
      </c>
      <c r="C226">
        <f t="shared" si="25"/>
        <v>8</v>
      </c>
      <c r="D226" t="str">
        <f t="shared" si="26"/>
        <v>August</v>
      </c>
      <c r="E226">
        <f t="shared" si="27"/>
        <v>33</v>
      </c>
      <c r="F226">
        <f t="shared" si="28"/>
        <v>12</v>
      </c>
      <c r="G226" t="str">
        <f t="shared" si="29"/>
        <v>Monday</v>
      </c>
      <c r="H226" t="b">
        <f t="shared" si="30"/>
        <v>0</v>
      </c>
      <c r="I226">
        <f t="shared" si="31"/>
        <v>225</v>
      </c>
      <c r="J226" t="s">
        <v>28</v>
      </c>
      <c r="K226">
        <v>20240812</v>
      </c>
    </row>
    <row r="227" spans="1:11" x14ac:dyDescent="0.3">
      <c r="A227" s="4">
        <v>45517</v>
      </c>
      <c r="B227">
        <f t="shared" si="24"/>
        <v>2024</v>
      </c>
      <c r="C227">
        <f t="shared" si="25"/>
        <v>8</v>
      </c>
      <c r="D227" t="str">
        <f t="shared" si="26"/>
        <v>August</v>
      </c>
      <c r="E227">
        <f t="shared" si="27"/>
        <v>33</v>
      </c>
      <c r="F227">
        <f t="shared" si="28"/>
        <v>13</v>
      </c>
      <c r="G227" t="str">
        <f t="shared" si="29"/>
        <v>Tuesday</v>
      </c>
      <c r="H227" t="b">
        <f t="shared" si="30"/>
        <v>0</v>
      </c>
      <c r="I227">
        <f t="shared" si="31"/>
        <v>226</v>
      </c>
      <c r="J227" t="s">
        <v>28</v>
      </c>
      <c r="K227">
        <v>20240813</v>
      </c>
    </row>
    <row r="228" spans="1:11" x14ac:dyDescent="0.3">
      <c r="A228" s="4">
        <v>45518</v>
      </c>
      <c r="B228">
        <f t="shared" si="24"/>
        <v>2024</v>
      </c>
      <c r="C228">
        <f t="shared" si="25"/>
        <v>8</v>
      </c>
      <c r="D228" t="str">
        <f t="shared" si="26"/>
        <v>August</v>
      </c>
      <c r="E228">
        <f t="shared" si="27"/>
        <v>33</v>
      </c>
      <c r="F228">
        <f t="shared" si="28"/>
        <v>14</v>
      </c>
      <c r="G228" t="str">
        <f t="shared" si="29"/>
        <v>Wednesday</v>
      </c>
      <c r="H228" t="b">
        <f t="shared" si="30"/>
        <v>0</v>
      </c>
      <c r="I228">
        <f t="shared" si="31"/>
        <v>227</v>
      </c>
      <c r="J228" t="s">
        <v>28</v>
      </c>
      <c r="K228">
        <v>20240814</v>
      </c>
    </row>
    <row r="229" spans="1:11" x14ac:dyDescent="0.3">
      <c r="A229" s="4">
        <v>45519</v>
      </c>
      <c r="B229">
        <f t="shared" si="24"/>
        <v>2024</v>
      </c>
      <c r="C229">
        <f t="shared" si="25"/>
        <v>8</v>
      </c>
      <c r="D229" t="str">
        <f t="shared" si="26"/>
        <v>August</v>
      </c>
      <c r="E229">
        <f t="shared" si="27"/>
        <v>33</v>
      </c>
      <c r="F229">
        <f t="shared" si="28"/>
        <v>15</v>
      </c>
      <c r="G229" t="str">
        <f t="shared" si="29"/>
        <v>Thursday</v>
      </c>
      <c r="H229" t="b">
        <f t="shared" si="30"/>
        <v>0</v>
      </c>
      <c r="I229">
        <f t="shared" si="31"/>
        <v>228</v>
      </c>
      <c r="J229" t="s">
        <v>28</v>
      </c>
      <c r="K229">
        <v>20240815</v>
      </c>
    </row>
    <row r="230" spans="1:11" x14ac:dyDescent="0.3">
      <c r="A230" s="4">
        <v>45520</v>
      </c>
      <c r="B230">
        <f t="shared" si="24"/>
        <v>2024</v>
      </c>
      <c r="C230">
        <f t="shared" si="25"/>
        <v>8</v>
      </c>
      <c r="D230" t="str">
        <f t="shared" si="26"/>
        <v>August</v>
      </c>
      <c r="E230">
        <f t="shared" si="27"/>
        <v>33</v>
      </c>
      <c r="F230">
        <f t="shared" si="28"/>
        <v>16</v>
      </c>
      <c r="G230" t="str">
        <f t="shared" si="29"/>
        <v>Friday</v>
      </c>
      <c r="H230" t="b">
        <f t="shared" si="30"/>
        <v>0</v>
      </c>
      <c r="I230">
        <f t="shared" si="31"/>
        <v>229</v>
      </c>
      <c r="J230" t="s">
        <v>28</v>
      </c>
      <c r="K230">
        <v>20240816</v>
      </c>
    </row>
    <row r="231" spans="1:11" x14ac:dyDescent="0.3">
      <c r="A231" s="4">
        <v>45521</v>
      </c>
      <c r="B231">
        <f t="shared" si="24"/>
        <v>2024</v>
      </c>
      <c r="C231">
        <f t="shared" si="25"/>
        <v>8</v>
      </c>
      <c r="D231" t="str">
        <f t="shared" si="26"/>
        <v>August</v>
      </c>
      <c r="E231">
        <f t="shared" si="27"/>
        <v>33</v>
      </c>
      <c r="F231">
        <f t="shared" si="28"/>
        <v>17</v>
      </c>
      <c r="G231" t="str">
        <f t="shared" si="29"/>
        <v>Saturday</v>
      </c>
      <c r="H231" t="b">
        <f t="shared" si="30"/>
        <v>1</v>
      </c>
      <c r="I231">
        <f t="shared" si="31"/>
        <v>230</v>
      </c>
      <c r="J231" t="s">
        <v>28</v>
      </c>
      <c r="K231">
        <v>20240817</v>
      </c>
    </row>
    <row r="232" spans="1:11" x14ac:dyDescent="0.3">
      <c r="A232" s="4">
        <v>45522</v>
      </c>
      <c r="B232">
        <f t="shared" si="24"/>
        <v>2024</v>
      </c>
      <c r="C232">
        <f t="shared" si="25"/>
        <v>8</v>
      </c>
      <c r="D232" t="str">
        <f t="shared" si="26"/>
        <v>August</v>
      </c>
      <c r="E232">
        <f t="shared" si="27"/>
        <v>34</v>
      </c>
      <c r="F232">
        <f t="shared" si="28"/>
        <v>18</v>
      </c>
      <c r="G232" t="str">
        <f t="shared" si="29"/>
        <v>Sunday</v>
      </c>
      <c r="H232" t="b">
        <f t="shared" si="30"/>
        <v>1</v>
      </c>
      <c r="I232">
        <f t="shared" si="31"/>
        <v>231</v>
      </c>
      <c r="J232" t="s">
        <v>28</v>
      </c>
      <c r="K232">
        <v>20240818</v>
      </c>
    </row>
    <row r="233" spans="1:11" x14ac:dyDescent="0.3">
      <c r="A233" s="4">
        <v>45523</v>
      </c>
      <c r="B233">
        <f t="shared" si="24"/>
        <v>2024</v>
      </c>
      <c r="C233">
        <f t="shared" si="25"/>
        <v>8</v>
      </c>
      <c r="D233" t="str">
        <f t="shared" si="26"/>
        <v>August</v>
      </c>
      <c r="E233">
        <f t="shared" si="27"/>
        <v>34</v>
      </c>
      <c r="F233">
        <f t="shared" si="28"/>
        <v>19</v>
      </c>
      <c r="G233" t="str">
        <f t="shared" si="29"/>
        <v>Monday</v>
      </c>
      <c r="H233" t="b">
        <f t="shared" si="30"/>
        <v>0</v>
      </c>
      <c r="I233">
        <f t="shared" si="31"/>
        <v>232</v>
      </c>
      <c r="J233" t="s">
        <v>28</v>
      </c>
      <c r="K233">
        <v>20240819</v>
      </c>
    </row>
    <row r="234" spans="1:11" x14ac:dyDescent="0.3">
      <c r="A234" s="4">
        <v>45524</v>
      </c>
      <c r="B234">
        <f t="shared" si="24"/>
        <v>2024</v>
      </c>
      <c r="C234">
        <f t="shared" si="25"/>
        <v>8</v>
      </c>
      <c r="D234" t="str">
        <f t="shared" si="26"/>
        <v>August</v>
      </c>
      <c r="E234">
        <f t="shared" si="27"/>
        <v>34</v>
      </c>
      <c r="F234">
        <f t="shared" si="28"/>
        <v>20</v>
      </c>
      <c r="G234" t="str">
        <f t="shared" si="29"/>
        <v>Tuesday</v>
      </c>
      <c r="H234" t="b">
        <f t="shared" si="30"/>
        <v>0</v>
      </c>
      <c r="I234">
        <f t="shared" si="31"/>
        <v>233</v>
      </c>
      <c r="J234" t="s">
        <v>28</v>
      </c>
      <c r="K234">
        <v>20240820</v>
      </c>
    </row>
    <row r="235" spans="1:11" x14ac:dyDescent="0.3">
      <c r="A235" s="4">
        <v>45525</v>
      </c>
      <c r="B235">
        <f t="shared" si="24"/>
        <v>2024</v>
      </c>
      <c r="C235">
        <f t="shared" si="25"/>
        <v>8</v>
      </c>
      <c r="D235" t="str">
        <f t="shared" si="26"/>
        <v>August</v>
      </c>
      <c r="E235">
        <f t="shared" si="27"/>
        <v>34</v>
      </c>
      <c r="F235">
        <f t="shared" si="28"/>
        <v>21</v>
      </c>
      <c r="G235" t="str">
        <f t="shared" si="29"/>
        <v>Wednesday</v>
      </c>
      <c r="H235" t="b">
        <f t="shared" si="30"/>
        <v>0</v>
      </c>
      <c r="I235">
        <f t="shared" si="31"/>
        <v>234</v>
      </c>
      <c r="J235" t="s">
        <v>28</v>
      </c>
      <c r="K235">
        <v>20240821</v>
      </c>
    </row>
    <row r="236" spans="1:11" x14ac:dyDescent="0.3">
      <c r="A236" s="4">
        <v>45526</v>
      </c>
      <c r="B236">
        <f t="shared" si="24"/>
        <v>2024</v>
      </c>
      <c r="C236">
        <f t="shared" si="25"/>
        <v>8</v>
      </c>
      <c r="D236" t="str">
        <f t="shared" si="26"/>
        <v>August</v>
      </c>
      <c r="E236">
        <f t="shared" si="27"/>
        <v>34</v>
      </c>
      <c r="F236">
        <f t="shared" si="28"/>
        <v>22</v>
      </c>
      <c r="G236" t="str">
        <f t="shared" si="29"/>
        <v>Thursday</v>
      </c>
      <c r="H236" t="b">
        <f t="shared" si="30"/>
        <v>0</v>
      </c>
      <c r="I236">
        <f t="shared" si="31"/>
        <v>235</v>
      </c>
      <c r="J236" t="s">
        <v>28</v>
      </c>
      <c r="K236">
        <v>20240822</v>
      </c>
    </row>
    <row r="237" spans="1:11" x14ac:dyDescent="0.3">
      <c r="A237" s="4">
        <v>45527</v>
      </c>
      <c r="B237">
        <f t="shared" si="24"/>
        <v>2024</v>
      </c>
      <c r="C237">
        <f t="shared" si="25"/>
        <v>8</v>
      </c>
      <c r="D237" t="str">
        <f t="shared" si="26"/>
        <v>August</v>
      </c>
      <c r="E237">
        <f t="shared" si="27"/>
        <v>34</v>
      </c>
      <c r="F237">
        <f t="shared" si="28"/>
        <v>23</v>
      </c>
      <c r="G237" t="str">
        <f t="shared" si="29"/>
        <v>Friday</v>
      </c>
      <c r="H237" t="b">
        <f t="shared" si="30"/>
        <v>0</v>
      </c>
      <c r="I237">
        <f t="shared" si="31"/>
        <v>236</v>
      </c>
      <c r="J237" t="s">
        <v>28</v>
      </c>
      <c r="K237">
        <v>20240823</v>
      </c>
    </row>
    <row r="238" spans="1:11" x14ac:dyDescent="0.3">
      <c r="A238" s="4">
        <v>45528</v>
      </c>
      <c r="B238">
        <f t="shared" si="24"/>
        <v>2024</v>
      </c>
      <c r="C238">
        <f t="shared" si="25"/>
        <v>8</v>
      </c>
      <c r="D238" t="str">
        <f t="shared" si="26"/>
        <v>August</v>
      </c>
      <c r="E238">
        <f t="shared" si="27"/>
        <v>34</v>
      </c>
      <c r="F238">
        <f t="shared" si="28"/>
        <v>24</v>
      </c>
      <c r="G238" t="str">
        <f t="shared" si="29"/>
        <v>Saturday</v>
      </c>
      <c r="H238" t="b">
        <f t="shared" si="30"/>
        <v>1</v>
      </c>
      <c r="I238">
        <f t="shared" si="31"/>
        <v>237</v>
      </c>
      <c r="J238" t="s">
        <v>28</v>
      </c>
      <c r="K238">
        <v>20240824</v>
      </c>
    </row>
    <row r="239" spans="1:11" x14ac:dyDescent="0.3">
      <c r="A239" s="4">
        <v>45529</v>
      </c>
      <c r="B239">
        <f t="shared" si="24"/>
        <v>2024</v>
      </c>
      <c r="C239">
        <f t="shared" si="25"/>
        <v>8</v>
      </c>
      <c r="D239" t="str">
        <f t="shared" si="26"/>
        <v>August</v>
      </c>
      <c r="E239">
        <f t="shared" si="27"/>
        <v>35</v>
      </c>
      <c r="F239">
        <f t="shared" si="28"/>
        <v>25</v>
      </c>
      <c r="G239" t="str">
        <f t="shared" si="29"/>
        <v>Sunday</v>
      </c>
      <c r="H239" t="b">
        <f t="shared" si="30"/>
        <v>1</v>
      </c>
      <c r="I239">
        <f t="shared" si="31"/>
        <v>238</v>
      </c>
      <c r="J239" t="s">
        <v>28</v>
      </c>
      <c r="K239">
        <v>20240825</v>
      </c>
    </row>
    <row r="240" spans="1:11" x14ac:dyDescent="0.3">
      <c r="A240" s="4">
        <v>45530</v>
      </c>
      <c r="B240">
        <f t="shared" si="24"/>
        <v>2024</v>
      </c>
      <c r="C240">
        <f t="shared" si="25"/>
        <v>8</v>
      </c>
      <c r="D240" t="str">
        <f t="shared" si="26"/>
        <v>August</v>
      </c>
      <c r="E240">
        <f t="shared" si="27"/>
        <v>35</v>
      </c>
      <c r="F240">
        <f t="shared" si="28"/>
        <v>26</v>
      </c>
      <c r="G240" t="str">
        <f t="shared" si="29"/>
        <v>Monday</v>
      </c>
      <c r="H240" t="b">
        <f t="shared" si="30"/>
        <v>0</v>
      </c>
      <c r="I240">
        <f t="shared" si="31"/>
        <v>239</v>
      </c>
      <c r="J240" t="s">
        <v>28</v>
      </c>
      <c r="K240">
        <v>20240826</v>
      </c>
    </row>
    <row r="241" spans="1:11" x14ac:dyDescent="0.3">
      <c r="A241" s="4">
        <v>45531</v>
      </c>
      <c r="B241">
        <f t="shared" si="24"/>
        <v>2024</v>
      </c>
      <c r="C241">
        <f t="shared" si="25"/>
        <v>8</v>
      </c>
      <c r="D241" t="str">
        <f t="shared" si="26"/>
        <v>August</v>
      </c>
      <c r="E241">
        <f t="shared" si="27"/>
        <v>35</v>
      </c>
      <c r="F241">
        <f t="shared" si="28"/>
        <v>27</v>
      </c>
      <c r="G241" t="str">
        <f t="shared" si="29"/>
        <v>Tuesday</v>
      </c>
      <c r="H241" t="b">
        <f t="shared" si="30"/>
        <v>0</v>
      </c>
      <c r="I241">
        <f t="shared" si="31"/>
        <v>240</v>
      </c>
      <c r="J241" t="s">
        <v>28</v>
      </c>
      <c r="K241">
        <v>20240827</v>
      </c>
    </row>
    <row r="242" spans="1:11" x14ac:dyDescent="0.3">
      <c r="A242" s="4">
        <v>45532</v>
      </c>
      <c r="B242">
        <f t="shared" si="24"/>
        <v>2024</v>
      </c>
      <c r="C242">
        <f t="shared" si="25"/>
        <v>8</v>
      </c>
      <c r="D242" t="str">
        <f t="shared" si="26"/>
        <v>August</v>
      </c>
      <c r="E242">
        <f t="shared" si="27"/>
        <v>35</v>
      </c>
      <c r="F242">
        <f t="shared" si="28"/>
        <v>28</v>
      </c>
      <c r="G242" t="str">
        <f t="shared" si="29"/>
        <v>Wednesday</v>
      </c>
      <c r="H242" t="b">
        <f t="shared" si="30"/>
        <v>0</v>
      </c>
      <c r="I242">
        <f t="shared" si="31"/>
        <v>241</v>
      </c>
      <c r="J242" t="s">
        <v>28</v>
      </c>
      <c r="K242">
        <v>20240828</v>
      </c>
    </row>
    <row r="243" spans="1:11" x14ac:dyDescent="0.3">
      <c r="A243" s="4">
        <v>45533</v>
      </c>
      <c r="B243">
        <f t="shared" si="24"/>
        <v>2024</v>
      </c>
      <c r="C243">
        <f t="shared" si="25"/>
        <v>8</v>
      </c>
      <c r="D243" t="str">
        <f t="shared" si="26"/>
        <v>August</v>
      </c>
      <c r="E243">
        <f t="shared" si="27"/>
        <v>35</v>
      </c>
      <c r="F243">
        <f t="shared" si="28"/>
        <v>29</v>
      </c>
      <c r="G243" t="str">
        <f t="shared" si="29"/>
        <v>Thursday</v>
      </c>
      <c r="H243" t="b">
        <f t="shared" si="30"/>
        <v>0</v>
      </c>
      <c r="I243">
        <f t="shared" si="31"/>
        <v>242</v>
      </c>
      <c r="J243" t="s">
        <v>28</v>
      </c>
      <c r="K243">
        <v>20240829</v>
      </c>
    </row>
    <row r="244" spans="1:11" x14ac:dyDescent="0.3">
      <c r="A244" s="4">
        <v>45534</v>
      </c>
      <c r="B244">
        <f t="shared" si="24"/>
        <v>2024</v>
      </c>
      <c r="C244">
        <f t="shared" si="25"/>
        <v>8</v>
      </c>
      <c r="D244" t="str">
        <f t="shared" si="26"/>
        <v>August</v>
      </c>
      <c r="E244">
        <f t="shared" si="27"/>
        <v>35</v>
      </c>
      <c r="F244">
        <f t="shared" si="28"/>
        <v>30</v>
      </c>
      <c r="G244" t="str">
        <f t="shared" si="29"/>
        <v>Friday</v>
      </c>
      <c r="H244" t="b">
        <f t="shared" si="30"/>
        <v>0</v>
      </c>
      <c r="I244">
        <f t="shared" si="31"/>
        <v>243</v>
      </c>
      <c r="J244" t="s">
        <v>28</v>
      </c>
      <c r="K244">
        <v>20240830</v>
      </c>
    </row>
    <row r="245" spans="1:11" x14ac:dyDescent="0.3">
      <c r="A245" s="4">
        <v>45535</v>
      </c>
      <c r="B245">
        <f t="shared" si="24"/>
        <v>2024</v>
      </c>
      <c r="C245">
        <f t="shared" si="25"/>
        <v>8</v>
      </c>
      <c r="D245" t="str">
        <f t="shared" si="26"/>
        <v>August</v>
      </c>
      <c r="E245">
        <f t="shared" si="27"/>
        <v>35</v>
      </c>
      <c r="F245">
        <f t="shared" si="28"/>
        <v>31</v>
      </c>
      <c r="G245" t="str">
        <f t="shared" si="29"/>
        <v>Saturday</v>
      </c>
      <c r="H245" t="b">
        <f t="shared" si="30"/>
        <v>1</v>
      </c>
      <c r="I245">
        <f t="shared" si="31"/>
        <v>244</v>
      </c>
      <c r="J245" t="s">
        <v>28</v>
      </c>
      <c r="K245">
        <v>20240831</v>
      </c>
    </row>
    <row r="246" spans="1:11" x14ac:dyDescent="0.3">
      <c r="A246" s="4">
        <v>45536</v>
      </c>
      <c r="B246">
        <f t="shared" si="24"/>
        <v>2024</v>
      </c>
      <c r="C246">
        <f t="shared" si="25"/>
        <v>9</v>
      </c>
      <c r="D246" t="str">
        <f t="shared" si="26"/>
        <v>September</v>
      </c>
      <c r="E246">
        <f t="shared" si="27"/>
        <v>36</v>
      </c>
      <c r="F246">
        <f t="shared" si="28"/>
        <v>1</v>
      </c>
      <c r="G246" t="str">
        <f t="shared" si="29"/>
        <v>Sunday</v>
      </c>
      <c r="H246" t="b">
        <f t="shared" si="30"/>
        <v>1</v>
      </c>
      <c r="I246">
        <f t="shared" si="31"/>
        <v>245</v>
      </c>
      <c r="J246" t="s">
        <v>25</v>
      </c>
      <c r="K246">
        <v>20240901</v>
      </c>
    </row>
    <row r="247" spans="1:11" x14ac:dyDescent="0.3">
      <c r="A247" s="4">
        <v>45537</v>
      </c>
      <c r="B247">
        <f t="shared" si="24"/>
        <v>2024</v>
      </c>
      <c r="C247">
        <f t="shared" si="25"/>
        <v>9</v>
      </c>
      <c r="D247" t="str">
        <f t="shared" si="26"/>
        <v>September</v>
      </c>
      <c r="E247">
        <f t="shared" si="27"/>
        <v>36</v>
      </c>
      <c r="F247">
        <f t="shared" si="28"/>
        <v>2</v>
      </c>
      <c r="G247" t="str">
        <f t="shared" si="29"/>
        <v>Monday</v>
      </c>
      <c r="H247" t="b">
        <f t="shared" si="30"/>
        <v>0</v>
      </c>
      <c r="I247">
        <f t="shared" si="31"/>
        <v>246</v>
      </c>
      <c r="J247" t="s">
        <v>25</v>
      </c>
      <c r="K247">
        <v>20240902</v>
      </c>
    </row>
    <row r="248" spans="1:11" x14ac:dyDescent="0.3">
      <c r="A248" s="4">
        <v>45538</v>
      </c>
      <c r="B248">
        <f t="shared" si="24"/>
        <v>2024</v>
      </c>
      <c r="C248">
        <f t="shared" si="25"/>
        <v>9</v>
      </c>
      <c r="D248" t="str">
        <f t="shared" si="26"/>
        <v>September</v>
      </c>
      <c r="E248">
        <f t="shared" si="27"/>
        <v>36</v>
      </c>
      <c r="F248">
        <f t="shared" si="28"/>
        <v>3</v>
      </c>
      <c r="G248" t="str">
        <f t="shared" si="29"/>
        <v>Tuesday</v>
      </c>
      <c r="H248" t="b">
        <f t="shared" si="30"/>
        <v>0</v>
      </c>
      <c r="I248">
        <f t="shared" si="31"/>
        <v>247</v>
      </c>
      <c r="J248" t="s">
        <v>25</v>
      </c>
      <c r="K248">
        <v>20240903</v>
      </c>
    </row>
    <row r="249" spans="1:11" x14ac:dyDescent="0.3">
      <c r="A249" s="4">
        <v>45539</v>
      </c>
      <c r="B249">
        <f t="shared" si="24"/>
        <v>2024</v>
      </c>
      <c r="C249">
        <f t="shared" si="25"/>
        <v>9</v>
      </c>
      <c r="D249" t="str">
        <f t="shared" si="26"/>
        <v>September</v>
      </c>
      <c r="E249">
        <f t="shared" si="27"/>
        <v>36</v>
      </c>
      <c r="F249">
        <f t="shared" si="28"/>
        <v>4</v>
      </c>
      <c r="G249" t="str">
        <f t="shared" si="29"/>
        <v>Wednesday</v>
      </c>
      <c r="H249" t="b">
        <f t="shared" si="30"/>
        <v>0</v>
      </c>
      <c r="I249">
        <f t="shared" si="31"/>
        <v>248</v>
      </c>
      <c r="J249" t="s">
        <v>25</v>
      </c>
      <c r="K249">
        <v>20240904</v>
      </c>
    </row>
    <row r="250" spans="1:11" x14ac:dyDescent="0.3">
      <c r="A250" s="4">
        <v>45540</v>
      </c>
      <c r="B250">
        <f t="shared" si="24"/>
        <v>2024</v>
      </c>
      <c r="C250">
        <f t="shared" si="25"/>
        <v>9</v>
      </c>
      <c r="D250" t="str">
        <f t="shared" si="26"/>
        <v>September</v>
      </c>
      <c r="E250">
        <f t="shared" si="27"/>
        <v>36</v>
      </c>
      <c r="F250">
        <f t="shared" si="28"/>
        <v>5</v>
      </c>
      <c r="G250" t="str">
        <f t="shared" si="29"/>
        <v>Thursday</v>
      </c>
      <c r="H250" t="b">
        <f t="shared" si="30"/>
        <v>0</v>
      </c>
      <c r="I250">
        <f t="shared" si="31"/>
        <v>249</v>
      </c>
      <c r="J250" t="s">
        <v>25</v>
      </c>
      <c r="K250">
        <v>20240905</v>
      </c>
    </row>
    <row r="251" spans="1:11" x14ac:dyDescent="0.3">
      <c r="A251" s="4">
        <v>45541</v>
      </c>
      <c r="B251">
        <f t="shared" si="24"/>
        <v>2024</v>
      </c>
      <c r="C251">
        <f t="shared" si="25"/>
        <v>9</v>
      </c>
      <c r="D251" t="str">
        <f t="shared" si="26"/>
        <v>September</v>
      </c>
      <c r="E251">
        <f t="shared" si="27"/>
        <v>36</v>
      </c>
      <c r="F251">
        <f t="shared" si="28"/>
        <v>6</v>
      </c>
      <c r="G251" t="str">
        <f t="shared" si="29"/>
        <v>Friday</v>
      </c>
      <c r="H251" t="b">
        <f t="shared" si="30"/>
        <v>0</v>
      </c>
      <c r="I251">
        <f t="shared" si="31"/>
        <v>250</v>
      </c>
      <c r="J251" t="s">
        <v>25</v>
      </c>
      <c r="K251">
        <v>20240906</v>
      </c>
    </row>
    <row r="252" spans="1:11" x14ac:dyDescent="0.3">
      <c r="A252" s="4">
        <v>45542</v>
      </c>
      <c r="B252">
        <f t="shared" si="24"/>
        <v>2024</v>
      </c>
      <c r="C252">
        <f t="shared" si="25"/>
        <v>9</v>
      </c>
      <c r="D252" t="str">
        <f t="shared" si="26"/>
        <v>September</v>
      </c>
      <c r="E252">
        <f t="shared" si="27"/>
        <v>36</v>
      </c>
      <c r="F252">
        <f t="shared" si="28"/>
        <v>7</v>
      </c>
      <c r="G252" t="str">
        <f t="shared" si="29"/>
        <v>Saturday</v>
      </c>
      <c r="H252" t="b">
        <f t="shared" si="30"/>
        <v>1</v>
      </c>
      <c r="I252">
        <f t="shared" si="31"/>
        <v>251</v>
      </c>
      <c r="J252" t="s">
        <v>25</v>
      </c>
      <c r="K252">
        <v>20240907</v>
      </c>
    </row>
    <row r="253" spans="1:11" x14ac:dyDescent="0.3">
      <c r="A253" s="4">
        <v>45543</v>
      </c>
      <c r="B253">
        <f t="shared" si="24"/>
        <v>2024</v>
      </c>
      <c r="C253">
        <f t="shared" si="25"/>
        <v>9</v>
      </c>
      <c r="D253" t="str">
        <f t="shared" si="26"/>
        <v>September</v>
      </c>
      <c r="E253">
        <f t="shared" si="27"/>
        <v>37</v>
      </c>
      <c r="F253">
        <f t="shared" si="28"/>
        <v>8</v>
      </c>
      <c r="G253" t="str">
        <f t="shared" si="29"/>
        <v>Sunday</v>
      </c>
      <c r="H253" t="b">
        <f t="shared" si="30"/>
        <v>1</v>
      </c>
      <c r="I253">
        <f t="shared" si="31"/>
        <v>252</v>
      </c>
      <c r="J253" t="s">
        <v>25</v>
      </c>
      <c r="K253">
        <v>20240908</v>
      </c>
    </row>
    <row r="254" spans="1:11" x14ac:dyDescent="0.3">
      <c r="A254" s="4">
        <v>45544</v>
      </c>
      <c r="B254">
        <f t="shared" si="24"/>
        <v>2024</v>
      </c>
      <c r="C254">
        <f t="shared" si="25"/>
        <v>9</v>
      </c>
      <c r="D254" t="str">
        <f t="shared" si="26"/>
        <v>September</v>
      </c>
      <c r="E254">
        <f t="shared" si="27"/>
        <v>37</v>
      </c>
      <c r="F254">
        <f t="shared" si="28"/>
        <v>9</v>
      </c>
      <c r="G254" t="str">
        <f t="shared" si="29"/>
        <v>Monday</v>
      </c>
      <c r="H254" t="b">
        <f t="shared" si="30"/>
        <v>0</v>
      </c>
      <c r="I254">
        <f t="shared" si="31"/>
        <v>253</v>
      </c>
      <c r="J254" t="s">
        <v>25</v>
      </c>
      <c r="K254">
        <v>20240909</v>
      </c>
    </row>
    <row r="255" spans="1:11" x14ac:dyDescent="0.3">
      <c r="A255" s="4">
        <v>45545</v>
      </c>
      <c r="B255">
        <f t="shared" si="24"/>
        <v>2024</v>
      </c>
      <c r="C255">
        <f t="shared" si="25"/>
        <v>9</v>
      </c>
      <c r="D255" t="str">
        <f t="shared" si="26"/>
        <v>September</v>
      </c>
      <c r="E255">
        <f t="shared" si="27"/>
        <v>37</v>
      </c>
      <c r="F255">
        <f t="shared" si="28"/>
        <v>10</v>
      </c>
      <c r="G255" t="str">
        <f t="shared" si="29"/>
        <v>Tuesday</v>
      </c>
      <c r="H255" t="b">
        <f t="shared" si="30"/>
        <v>0</v>
      </c>
      <c r="I255">
        <f t="shared" si="31"/>
        <v>254</v>
      </c>
      <c r="J255" t="s">
        <v>25</v>
      </c>
      <c r="K255">
        <v>20240910</v>
      </c>
    </row>
    <row r="256" spans="1:11" x14ac:dyDescent="0.3">
      <c r="A256" s="4">
        <v>45546</v>
      </c>
      <c r="B256">
        <f t="shared" si="24"/>
        <v>2024</v>
      </c>
      <c r="C256">
        <f t="shared" si="25"/>
        <v>9</v>
      </c>
      <c r="D256" t="str">
        <f t="shared" si="26"/>
        <v>September</v>
      </c>
      <c r="E256">
        <f t="shared" si="27"/>
        <v>37</v>
      </c>
      <c r="F256">
        <f t="shared" si="28"/>
        <v>11</v>
      </c>
      <c r="G256" t="str">
        <f t="shared" si="29"/>
        <v>Wednesday</v>
      </c>
      <c r="H256" t="b">
        <f t="shared" si="30"/>
        <v>0</v>
      </c>
      <c r="I256">
        <f t="shared" si="31"/>
        <v>255</v>
      </c>
      <c r="J256" t="s">
        <v>25</v>
      </c>
      <c r="K256">
        <v>20240911</v>
      </c>
    </row>
    <row r="257" spans="1:11" x14ac:dyDescent="0.3">
      <c r="A257" s="4">
        <v>45547</v>
      </c>
      <c r="B257">
        <f t="shared" si="24"/>
        <v>2024</v>
      </c>
      <c r="C257">
        <f t="shared" si="25"/>
        <v>9</v>
      </c>
      <c r="D257" t="str">
        <f t="shared" si="26"/>
        <v>September</v>
      </c>
      <c r="E257">
        <f t="shared" si="27"/>
        <v>37</v>
      </c>
      <c r="F257">
        <f t="shared" si="28"/>
        <v>12</v>
      </c>
      <c r="G257" t="str">
        <f t="shared" si="29"/>
        <v>Thursday</v>
      </c>
      <c r="H257" t="b">
        <f t="shared" si="30"/>
        <v>0</v>
      </c>
      <c r="I257">
        <f t="shared" si="31"/>
        <v>256</v>
      </c>
      <c r="J257" t="s">
        <v>25</v>
      </c>
      <c r="K257">
        <v>20240912</v>
      </c>
    </row>
    <row r="258" spans="1:11" x14ac:dyDescent="0.3">
      <c r="A258" s="4">
        <v>45548</v>
      </c>
      <c r="B258">
        <f t="shared" si="24"/>
        <v>2024</v>
      </c>
      <c r="C258">
        <f t="shared" si="25"/>
        <v>9</v>
      </c>
      <c r="D258" t="str">
        <f t="shared" si="26"/>
        <v>September</v>
      </c>
      <c r="E258">
        <f t="shared" si="27"/>
        <v>37</v>
      </c>
      <c r="F258">
        <f t="shared" si="28"/>
        <v>13</v>
      </c>
      <c r="G258" t="str">
        <f t="shared" si="29"/>
        <v>Friday</v>
      </c>
      <c r="H258" t="b">
        <f t="shared" si="30"/>
        <v>0</v>
      </c>
      <c r="I258">
        <f t="shared" si="31"/>
        <v>257</v>
      </c>
      <c r="J258" t="s">
        <v>25</v>
      </c>
      <c r="K258">
        <v>20240913</v>
      </c>
    </row>
    <row r="259" spans="1:11" x14ac:dyDescent="0.3">
      <c r="A259" s="4">
        <v>45549</v>
      </c>
      <c r="B259">
        <f t="shared" ref="B259:B322" si="32">YEAR(A259)</f>
        <v>2024</v>
      </c>
      <c r="C259">
        <f t="shared" ref="C259:C322" si="33">MONTH(A259)</f>
        <v>9</v>
      </c>
      <c r="D259" t="str">
        <f t="shared" ref="D259:D322" si="34">TEXT(A259,"mmmm")</f>
        <v>September</v>
      </c>
      <c r="E259">
        <f t="shared" ref="E259:E322" si="35">WEEKNUM(A259)</f>
        <v>37</v>
      </c>
      <c r="F259">
        <f t="shared" ref="F259:F322" si="36">DAY(A259)</f>
        <v>14</v>
      </c>
      <c r="G259" t="str">
        <f t="shared" ref="G259:G322" si="37">TEXT((A259),"dddd")</f>
        <v>Saturday</v>
      </c>
      <c r="H259" t="b">
        <f t="shared" ref="H259:H322" si="38">IF(OR(G259="Saturday",G259="Sunday"),TRUE,FALSE)</f>
        <v>1</v>
      </c>
      <c r="I259">
        <f t="shared" ref="I259:I322" si="39">A259-DATE(YEAR(A259),1,1)+1</f>
        <v>258</v>
      </c>
      <c r="J259" t="s">
        <v>25</v>
      </c>
      <c r="K259">
        <v>20240914</v>
      </c>
    </row>
    <row r="260" spans="1:11" x14ac:dyDescent="0.3">
      <c r="A260" s="4">
        <v>45550</v>
      </c>
      <c r="B260">
        <f t="shared" si="32"/>
        <v>2024</v>
      </c>
      <c r="C260">
        <f t="shared" si="33"/>
        <v>9</v>
      </c>
      <c r="D260" t="str">
        <f t="shared" si="34"/>
        <v>September</v>
      </c>
      <c r="E260">
        <f t="shared" si="35"/>
        <v>38</v>
      </c>
      <c r="F260">
        <f t="shared" si="36"/>
        <v>15</v>
      </c>
      <c r="G260" t="str">
        <f t="shared" si="37"/>
        <v>Sunday</v>
      </c>
      <c r="H260" t="b">
        <f t="shared" si="38"/>
        <v>1</v>
      </c>
      <c r="I260">
        <f t="shared" si="39"/>
        <v>259</v>
      </c>
      <c r="J260" t="s">
        <v>25</v>
      </c>
      <c r="K260">
        <v>20240915</v>
      </c>
    </row>
    <row r="261" spans="1:11" x14ac:dyDescent="0.3">
      <c r="A261" s="4">
        <v>45551</v>
      </c>
      <c r="B261">
        <f t="shared" si="32"/>
        <v>2024</v>
      </c>
      <c r="C261">
        <f t="shared" si="33"/>
        <v>9</v>
      </c>
      <c r="D261" t="str">
        <f t="shared" si="34"/>
        <v>September</v>
      </c>
      <c r="E261">
        <f t="shared" si="35"/>
        <v>38</v>
      </c>
      <c r="F261">
        <f t="shared" si="36"/>
        <v>16</v>
      </c>
      <c r="G261" t="str">
        <f t="shared" si="37"/>
        <v>Monday</v>
      </c>
      <c r="H261" t="b">
        <f t="shared" si="38"/>
        <v>0</v>
      </c>
      <c r="I261">
        <f t="shared" si="39"/>
        <v>260</v>
      </c>
      <c r="J261" t="s">
        <v>25</v>
      </c>
      <c r="K261">
        <v>20240916</v>
      </c>
    </row>
    <row r="262" spans="1:11" x14ac:dyDescent="0.3">
      <c r="A262" s="4">
        <v>45552</v>
      </c>
      <c r="B262">
        <f t="shared" si="32"/>
        <v>2024</v>
      </c>
      <c r="C262">
        <f t="shared" si="33"/>
        <v>9</v>
      </c>
      <c r="D262" t="str">
        <f t="shared" si="34"/>
        <v>September</v>
      </c>
      <c r="E262">
        <f t="shared" si="35"/>
        <v>38</v>
      </c>
      <c r="F262">
        <f t="shared" si="36"/>
        <v>17</v>
      </c>
      <c r="G262" t="str">
        <f t="shared" si="37"/>
        <v>Tuesday</v>
      </c>
      <c r="H262" t="b">
        <f t="shared" si="38"/>
        <v>0</v>
      </c>
      <c r="I262">
        <f t="shared" si="39"/>
        <v>261</v>
      </c>
      <c r="J262" t="s">
        <v>25</v>
      </c>
      <c r="K262">
        <v>20240917</v>
      </c>
    </row>
    <row r="263" spans="1:11" x14ac:dyDescent="0.3">
      <c r="A263" s="4">
        <v>45553</v>
      </c>
      <c r="B263">
        <f t="shared" si="32"/>
        <v>2024</v>
      </c>
      <c r="C263">
        <f t="shared" si="33"/>
        <v>9</v>
      </c>
      <c r="D263" t="str">
        <f t="shared" si="34"/>
        <v>September</v>
      </c>
      <c r="E263">
        <f t="shared" si="35"/>
        <v>38</v>
      </c>
      <c r="F263">
        <f t="shared" si="36"/>
        <v>18</v>
      </c>
      <c r="G263" t="str">
        <f t="shared" si="37"/>
        <v>Wednesday</v>
      </c>
      <c r="H263" t="b">
        <f t="shared" si="38"/>
        <v>0</v>
      </c>
      <c r="I263">
        <f t="shared" si="39"/>
        <v>262</v>
      </c>
      <c r="J263" t="s">
        <v>25</v>
      </c>
      <c r="K263">
        <v>20240918</v>
      </c>
    </row>
    <row r="264" spans="1:11" x14ac:dyDescent="0.3">
      <c r="A264" s="4">
        <v>45554</v>
      </c>
      <c r="B264">
        <f t="shared" si="32"/>
        <v>2024</v>
      </c>
      <c r="C264">
        <f t="shared" si="33"/>
        <v>9</v>
      </c>
      <c r="D264" t="str">
        <f t="shared" si="34"/>
        <v>September</v>
      </c>
      <c r="E264">
        <f t="shared" si="35"/>
        <v>38</v>
      </c>
      <c r="F264">
        <f t="shared" si="36"/>
        <v>19</v>
      </c>
      <c r="G264" t="str">
        <f t="shared" si="37"/>
        <v>Thursday</v>
      </c>
      <c r="H264" t="b">
        <f t="shared" si="38"/>
        <v>0</v>
      </c>
      <c r="I264">
        <f t="shared" si="39"/>
        <v>263</v>
      </c>
      <c r="J264" t="s">
        <v>25</v>
      </c>
      <c r="K264">
        <v>20240919</v>
      </c>
    </row>
    <row r="265" spans="1:11" x14ac:dyDescent="0.3">
      <c r="A265" s="4">
        <v>45555</v>
      </c>
      <c r="B265">
        <f t="shared" si="32"/>
        <v>2024</v>
      </c>
      <c r="C265">
        <f t="shared" si="33"/>
        <v>9</v>
      </c>
      <c r="D265" t="str">
        <f t="shared" si="34"/>
        <v>September</v>
      </c>
      <c r="E265">
        <f t="shared" si="35"/>
        <v>38</v>
      </c>
      <c r="F265">
        <f t="shared" si="36"/>
        <v>20</v>
      </c>
      <c r="G265" t="str">
        <f t="shared" si="37"/>
        <v>Friday</v>
      </c>
      <c r="H265" t="b">
        <f t="shared" si="38"/>
        <v>0</v>
      </c>
      <c r="I265">
        <f t="shared" si="39"/>
        <v>264</v>
      </c>
      <c r="J265" t="s">
        <v>25</v>
      </c>
      <c r="K265">
        <v>20240920</v>
      </c>
    </row>
    <row r="266" spans="1:11" x14ac:dyDescent="0.3">
      <c r="A266" s="4">
        <v>45556</v>
      </c>
      <c r="B266">
        <f t="shared" si="32"/>
        <v>2024</v>
      </c>
      <c r="C266">
        <f t="shared" si="33"/>
        <v>9</v>
      </c>
      <c r="D266" t="str">
        <f t="shared" si="34"/>
        <v>September</v>
      </c>
      <c r="E266">
        <f t="shared" si="35"/>
        <v>38</v>
      </c>
      <c r="F266">
        <f t="shared" si="36"/>
        <v>21</v>
      </c>
      <c r="G266" t="str">
        <f t="shared" si="37"/>
        <v>Saturday</v>
      </c>
      <c r="H266" t="b">
        <f t="shared" si="38"/>
        <v>1</v>
      </c>
      <c r="I266">
        <f t="shared" si="39"/>
        <v>265</v>
      </c>
      <c r="J266" t="s">
        <v>25</v>
      </c>
      <c r="K266">
        <v>20240921</v>
      </c>
    </row>
    <row r="267" spans="1:11" x14ac:dyDescent="0.3">
      <c r="A267" s="4">
        <v>45557</v>
      </c>
      <c r="B267">
        <f t="shared" si="32"/>
        <v>2024</v>
      </c>
      <c r="C267">
        <f t="shared" si="33"/>
        <v>9</v>
      </c>
      <c r="D267" t="str">
        <f t="shared" si="34"/>
        <v>September</v>
      </c>
      <c r="E267">
        <f t="shared" si="35"/>
        <v>39</v>
      </c>
      <c r="F267">
        <f t="shared" si="36"/>
        <v>22</v>
      </c>
      <c r="G267" t="str">
        <f t="shared" si="37"/>
        <v>Sunday</v>
      </c>
      <c r="H267" t="b">
        <f t="shared" si="38"/>
        <v>1</v>
      </c>
      <c r="I267">
        <f t="shared" si="39"/>
        <v>266</v>
      </c>
      <c r="J267" t="s">
        <v>25</v>
      </c>
      <c r="K267">
        <v>20240922</v>
      </c>
    </row>
    <row r="268" spans="1:11" x14ac:dyDescent="0.3">
      <c r="A268" s="4">
        <v>45558</v>
      </c>
      <c r="B268">
        <f t="shared" si="32"/>
        <v>2024</v>
      </c>
      <c r="C268">
        <f t="shared" si="33"/>
        <v>9</v>
      </c>
      <c r="D268" t="str">
        <f t="shared" si="34"/>
        <v>September</v>
      </c>
      <c r="E268">
        <f t="shared" si="35"/>
        <v>39</v>
      </c>
      <c r="F268">
        <f t="shared" si="36"/>
        <v>23</v>
      </c>
      <c r="G268" t="str">
        <f t="shared" si="37"/>
        <v>Monday</v>
      </c>
      <c r="H268" t="b">
        <f t="shared" si="38"/>
        <v>0</v>
      </c>
      <c r="I268">
        <f t="shared" si="39"/>
        <v>267</v>
      </c>
      <c r="J268" t="s">
        <v>25</v>
      </c>
      <c r="K268">
        <v>20240923</v>
      </c>
    </row>
    <row r="269" spans="1:11" x14ac:dyDescent="0.3">
      <c r="A269" s="4">
        <v>45559</v>
      </c>
      <c r="B269">
        <f t="shared" si="32"/>
        <v>2024</v>
      </c>
      <c r="C269">
        <f t="shared" si="33"/>
        <v>9</v>
      </c>
      <c r="D269" t="str">
        <f t="shared" si="34"/>
        <v>September</v>
      </c>
      <c r="E269">
        <f t="shared" si="35"/>
        <v>39</v>
      </c>
      <c r="F269">
        <f t="shared" si="36"/>
        <v>24</v>
      </c>
      <c r="G269" t="str">
        <f t="shared" si="37"/>
        <v>Tuesday</v>
      </c>
      <c r="H269" t="b">
        <f t="shared" si="38"/>
        <v>0</v>
      </c>
      <c r="I269">
        <f t="shared" si="39"/>
        <v>268</v>
      </c>
      <c r="J269" t="s">
        <v>25</v>
      </c>
      <c r="K269">
        <v>20240924</v>
      </c>
    </row>
    <row r="270" spans="1:11" x14ac:dyDescent="0.3">
      <c r="A270" s="4">
        <v>45560</v>
      </c>
      <c r="B270">
        <f t="shared" si="32"/>
        <v>2024</v>
      </c>
      <c r="C270">
        <f t="shared" si="33"/>
        <v>9</v>
      </c>
      <c r="D270" t="str">
        <f t="shared" si="34"/>
        <v>September</v>
      </c>
      <c r="E270">
        <f t="shared" si="35"/>
        <v>39</v>
      </c>
      <c r="F270">
        <f t="shared" si="36"/>
        <v>25</v>
      </c>
      <c r="G270" t="str">
        <f t="shared" si="37"/>
        <v>Wednesday</v>
      </c>
      <c r="H270" t="b">
        <f t="shared" si="38"/>
        <v>0</v>
      </c>
      <c r="I270">
        <f t="shared" si="39"/>
        <v>269</v>
      </c>
      <c r="J270" t="s">
        <v>25</v>
      </c>
      <c r="K270">
        <v>20240925</v>
      </c>
    </row>
    <row r="271" spans="1:11" x14ac:dyDescent="0.3">
      <c r="A271" s="4">
        <v>45561</v>
      </c>
      <c r="B271">
        <f t="shared" si="32"/>
        <v>2024</v>
      </c>
      <c r="C271">
        <f t="shared" si="33"/>
        <v>9</v>
      </c>
      <c r="D271" t="str">
        <f t="shared" si="34"/>
        <v>September</v>
      </c>
      <c r="E271">
        <f t="shared" si="35"/>
        <v>39</v>
      </c>
      <c r="F271">
        <f t="shared" si="36"/>
        <v>26</v>
      </c>
      <c r="G271" t="str">
        <f t="shared" si="37"/>
        <v>Thursday</v>
      </c>
      <c r="H271" t="b">
        <f t="shared" si="38"/>
        <v>0</v>
      </c>
      <c r="I271">
        <f t="shared" si="39"/>
        <v>270</v>
      </c>
      <c r="J271" t="s">
        <v>25</v>
      </c>
      <c r="K271">
        <v>20240926</v>
      </c>
    </row>
    <row r="272" spans="1:11" x14ac:dyDescent="0.3">
      <c r="A272" s="4">
        <v>45562</v>
      </c>
      <c r="B272">
        <f t="shared" si="32"/>
        <v>2024</v>
      </c>
      <c r="C272">
        <f t="shared" si="33"/>
        <v>9</v>
      </c>
      <c r="D272" t="str">
        <f t="shared" si="34"/>
        <v>September</v>
      </c>
      <c r="E272">
        <f t="shared" si="35"/>
        <v>39</v>
      </c>
      <c r="F272">
        <f t="shared" si="36"/>
        <v>27</v>
      </c>
      <c r="G272" t="str">
        <f t="shared" si="37"/>
        <v>Friday</v>
      </c>
      <c r="H272" t="b">
        <f t="shared" si="38"/>
        <v>0</v>
      </c>
      <c r="I272">
        <f t="shared" si="39"/>
        <v>271</v>
      </c>
      <c r="J272" t="s">
        <v>25</v>
      </c>
      <c r="K272">
        <v>20240927</v>
      </c>
    </row>
    <row r="273" spans="1:11" x14ac:dyDescent="0.3">
      <c r="A273" s="4">
        <v>45563</v>
      </c>
      <c r="B273">
        <f t="shared" si="32"/>
        <v>2024</v>
      </c>
      <c r="C273">
        <f t="shared" si="33"/>
        <v>9</v>
      </c>
      <c r="D273" t="str">
        <f t="shared" si="34"/>
        <v>September</v>
      </c>
      <c r="E273">
        <f t="shared" si="35"/>
        <v>39</v>
      </c>
      <c r="F273">
        <f t="shared" si="36"/>
        <v>28</v>
      </c>
      <c r="G273" t="str">
        <f t="shared" si="37"/>
        <v>Saturday</v>
      </c>
      <c r="H273" t="b">
        <f t="shared" si="38"/>
        <v>1</v>
      </c>
      <c r="I273">
        <f t="shared" si="39"/>
        <v>272</v>
      </c>
      <c r="J273" t="s">
        <v>25</v>
      </c>
      <c r="K273">
        <v>20240928</v>
      </c>
    </row>
    <row r="274" spans="1:11" x14ac:dyDescent="0.3">
      <c r="A274" s="4">
        <v>45564</v>
      </c>
      <c r="B274">
        <f t="shared" si="32"/>
        <v>2024</v>
      </c>
      <c r="C274">
        <f t="shared" si="33"/>
        <v>9</v>
      </c>
      <c r="D274" t="str">
        <f t="shared" si="34"/>
        <v>September</v>
      </c>
      <c r="E274">
        <f t="shared" si="35"/>
        <v>40</v>
      </c>
      <c r="F274">
        <f t="shared" si="36"/>
        <v>29</v>
      </c>
      <c r="G274" t="str">
        <f t="shared" si="37"/>
        <v>Sunday</v>
      </c>
      <c r="H274" t="b">
        <f t="shared" si="38"/>
        <v>1</v>
      </c>
      <c r="I274">
        <f t="shared" si="39"/>
        <v>273</v>
      </c>
      <c r="J274" t="s">
        <v>25</v>
      </c>
      <c r="K274">
        <v>20240929</v>
      </c>
    </row>
    <row r="275" spans="1:11" x14ac:dyDescent="0.3">
      <c r="A275" s="4">
        <v>45565</v>
      </c>
      <c r="B275">
        <f t="shared" si="32"/>
        <v>2024</v>
      </c>
      <c r="C275">
        <f t="shared" si="33"/>
        <v>9</v>
      </c>
      <c r="D275" t="str">
        <f t="shared" si="34"/>
        <v>September</v>
      </c>
      <c r="E275">
        <f t="shared" si="35"/>
        <v>40</v>
      </c>
      <c r="F275">
        <f t="shared" si="36"/>
        <v>30</v>
      </c>
      <c r="G275" t="str">
        <f t="shared" si="37"/>
        <v>Monday</v>
      </c>
      <c r="H275" t="b">
        <f t="shared" si="38"/>
        <v>0</v>
      </c>
      <c r="I275">
        <f t="shared" si="39"/>
        <v>274</v>
      </c>
      <c r="J275" t="s">
        <v>25</v>
      </c>
      <c r="K275">
        <v>20240930</v>
      </c>
    </row>
    <row r="276" spans="1:11" x14ac:dyDescent="0.3">
      <c r="A276" s="4">
        <v>45566</v>
      </c>
      <c r="B276">
        <f t="shared" si="32"/>
        <v>2024</v>
      </c>
      <c r="C276">
        <f t="shared" si="33"/>
        <v>10</v>
      </c>
      <c r="D276" t="str">
        <f t="shared" si="34"/>
        <v>October</v>
      </c>
      <c r="E276">
        <f t="shared" si="35"/>
        <v>40</v>
      </c>
      <c r="F276">
        <f t="shared" si="36"/>
        <v>1</v>
      </c>
      <c r="G276" t="str">
        <f t="shared" si="37"/>
        <v>Tuesday</v>
      </c>
      <c r="H276" t="b">
        <f t="shared" si="38"/>
        <v>0</v>
      </c>
      <c r="I276">
        <f t="shared" si="39"/>
        <v>275</v>
      </c>
      <c r="J276" t="s">
        <v>25</v>
      </c>
      <c r="K276">
        <v>20241001</v>
      </c>
    </row>
    <row r="277" spans="1:11" x14ac:dyDescent="0.3">
      <c r="A277" s="4">
        <v>45567</v>
      </c>
      <c r="B277">
        <f t="shared" si="32"/>
        <v>2024</v>
      </c>
      <c r="C277">
        <f t="shared" si="33"/>
        <v>10</v>
      </c>
      <c r="D277" t="str">
        <f t="shared" si="34"/>
        <v>October</v>
      </c>
      <c r="E277">
        <f t="shared" si="35"/>
        <v>40</v>
      </c>
      <c r="F277">
        <f t="shared" si="36"/>
        <v>2</v>
      </c>
      <c r="G277" t="str">
        <f t="shared" si="37"/>
        <v>Wednesday</v>
      </c>
      <c r="H277" t="b">
        <f t="shared" si="38"/>
        <v>0</v>
      </c>
      <c r="I277">
        <f t="shared" si="39"/>
        <v>276</v>
      </c>
      <c r="J277" t="s">
        <v>25</v>
      </c>
      <c r="K277">
        <v>20241002</v>
      </c>
    </row>
    <row r="278" spans="1:11" x14ac:dyDescent="0.3">
      <c r="A278" s="4">
        <v>45568</v>
      </c>
      <c r="B278">
        <f t="shared" si="32"/>
        <v>2024</v>
      </c>
      <c r="C278">
        <f t="shared" si="33"/>
        <v>10</v>
      </c>
      <c r="D278" t="str">
        <f t="shared" si="34"/>
        <v>October</v>
      </c>
      <c r="E278">
        <f t="shared" si="35"/>
        <v>40</v>
      </c>
      <c r="F278">
        <f t="shared" si="36"/>
        <v>3</v>
      </c>
      <c r="G278" t="str">
        <f t="shared" si="37"/>
        <v>Thursday</v>
      </c>
      <c r="H278" t="b">
        <f t="shared" si="38"/>
        <v>0</v>
      </c>
      <c r="I278">
        <f t="shared" si="39"/>
        <v>277</v>
      </c>
      <c r="J278" t="s">
        <v>25</v>
      </c>
      <c r="K278">
        <v>20241003</v>
      </c>
    </row>
    <row r="279" spans="1:11" x14ac:dyDescent="0.3">
      <c r="A279" s="4">
        <v>45569</v>
      </c>
      <c r="B279">
        <f t="shared" si="32"/>
        <v>2024</v>
      </c>
      <c r="C279">
        <f t="shared" si="33"/>
        <v>10</v>
      </c>
      <c r="D279" t="str">
        <f t="shared" si="34"/>
        <v>October</v>
      </c>
      <c r="E279">
        <f t="shared" si="35"/>
        <v>40</v>
      </c>
      <c r="F279">
        <f t="shared" si="36"/>
        <v>4</v>
      </c>
      <c r="G279" t="str">
        <f t="shared" si="37"/>
        <v>Friday</v>
      </c>
      <c r="H279" t="b">
        <f t="shared" si="38"/>
        <v>0</v>
      </c>
      <c r="I279">
        <f t="shared" si="39"/>
        <v>278</v>
      </c>
      <c r="J279" t="s">
        <v>25</v>
      </c>
      <c r="K279">
        <v>20241004</v>
      </c>
    </row>
    <row r="280" spans="1:11" x14ac:dyDescent="0.3">
      <c r="A280" s="4">
        <v>45570</v>
      </c>
      <c r="B280">
        <f t="shared" si="32"/>
        <v>2024</v>
      </c>
      <c r="C280">
        <f t="shared" si="33"/>
        <v>10</v>
      </c>
      <c r="D280" t="str">
        <f t="shared" si="34"/>
        <v>October</v>
      </c>
      <c r="E280">
        <f t="shared" si="35"/>
        <v>40</v>
      </c>
      <c r="F280">
        <f t="shared" si="36"/>
        <v>5</v>
      </c>
      <c r="G280" t="str">
        <f t="shared" si="37"/>
        <v>Saturday</v>
      </c>
      <c r="H280" t="b">
        <f t="shared" si="38"/>
        <v>1</v>
      </c>
      <c r="I280">
        <f t="shared" si="39"/>
        <v>279</v>
      </c>
      <c r="J280" t="s">
        <v>25</v>
      </c>
      <c r="K280">
        <v>20241005</v>
      </c>
    </row>
    <row r="281" spans="1:11" x14ac:dyDescent="0.3">
      <c r="A281" s="4">
        <v>45571</v>
      </c>
      <c r="B281">
        <f t="shared" si="32"/>
        <v>2024</v>
      </c>
      <c r="C281">
        <f t="shared" si="33"/>
        <v>10</v>
      </c>
      <c r="D281" t="str">
        <f t="shared" si="34"/>
        <v>October</v>
      </c>
      <c r="E281">
        <f t="shared" si="35"/>
        <v>41</v>
      </c>
      <c r="F281">
        <f t="shared" si="36"/>
        <v>6</v>
      </c>
      <c r="G281" t="str">
        <f t="shared" si="37"/>
        <v>Sunday</v>
      </c>
      <c r="H281" t="b">
        <f t="shared" si="38"/>
        <v>1</v>
      </c>
      <c r="I281">
        <f t="shared" si="39"/>
        <v>280</v>
      </c>
      <c r="J281" t="s">
        <v>25</v>
      </c>
      <c r="K281">
        <v>20241006</v>
      </c>
    </row>
    <row r="282" spans="1:11" x14ac:dyDescent="0.3">
      <c r="A282" s="4">
        <v>45572</v>
      </c>
      <c r="B282">
        <f t="shared" si="32"/>
        <v>2024</v>
      </c>
      <c r="C282">
        <f t="shared" si="33"/>
        <v>10</v>
      </c>
      <c r="D282" t="str">
        <f t="shared" si="34"/>
        <v>October</v>
      </c>
      <c r="E282">
        <f t="shared" si="35"/>
        <v>41</v>
      </c>
      <c r="F282">
        <f t="shared" si="36"/>
        <v>7</v>
      </c>
      <c r="G282" t="str">
        <f t="shared" si="37"/>
        <v>Monday</v>
      </c>
      <c r="H282" t="b">
        <f t="shared" si="38"/>
        <v>0</v>
      </c>
      <c r="I282">
        <f t="shared" si="39"/>
        <v>281</v>
      </c>
      <c r="J282" t="s">
        <v>25</v>
      </c>
      <c r="K282">
        <v>20241007</v>
      </c>
    </row>
    <row r="283" spans="1:11" x14ac:dyDescent="0.3">
      <c r="A283" s="4">
        <v>45573</v>
      </c>
      <c r="B283">
        <f t="shared" si="32"/>
        <v>2024</v>
      </c>
      <c r="C283">
        <f t="shared" si="33"/>
        <v>10</v>
      </c>
      <c r="D283" t="str">
        <f t="shared" si="34"/>
        <v>October</v>
      </c>
      <c r="E283">
        <f t="shared" si="35"/>
        <v>41</v>
      </c>
      <c r="F283">
        <f t="shared" si="36"/>
        <v>8</v>
      </c>
      <c r="G283" t="str">
        <f t="shared" si="37"/>
        <v>Tuesday</v>
      </c>
      <c r="H283" t="b">
        <f t="shared" si="38"/>
        <v>0</v>
      </c>
      <c r="I283">
        <f t="shared" si="39"/>
        <v>282</v>
      </c>
      <c r="J283" t="s">
        <v>25</v>
      </c>
      <c r="K283">
        <v>20241008</v>
      </c>
    </row>
    <row r="284" spans="1:11" x14ac:dyDescent="0.3">
      <c r="A284" s="4">
        <v>45574</v>
      </c>
      <c r="B284">
        <f t="shared" si="32"/>
        <v>2024</v>
      </c>
      <c r="C284">
        <f t="shared" si="33"/>
        <v>10</v>
      </c>
      <c r="D284" t="str">
        <f t="shared" si="34"/>
        <v>October</v>
      </c>
      <c r="E284">
        <f t="shared" si="35"/>
        <v>41</v>
      </c>
      <c r="F284">
        <f t="shared" si="36"/>
        <v>9</v>
      </c>
      <c r="G284" t="str">
        <f t="shared" si="37"/>
        <v>Wednesday</v>
      </c>
      <c r="H284" t="b">
        <f t="shared" si="38"/>
        <v>0</v>
      </c>
      <c r="I284">
        <f t="shared" si="39"/>
        <v>283</v>
      </c>
      <c r="J284" t="s">
        <v>25</v>
      </c>
      <c r="K284">
        <v>20241009</v>
      </c>
    </row>
    <row r="285" spans="1:11" x14ac:dyDescent="0.3">
      <c r="A285" s="4">
        <v>45575</v>
      </c>
      <c r="B285">
        <f t="shared" si="32"/>
        <v>2024</v>
      </c>
      <c r="C285">
        <f t="shared" si="33"/>
        <v>10</v>
      </c>
      <c r="D285" t="str">
        <f t="shared" si="34"/>
        <v>October</v>
      </c>
      <c r="E285">
        <f t="shared" si="35"/>
        <v>41</v>
      </c>
      <c r="F285">
        <f t="shared" si="36"/>
        <v>10</v>
      </c>
      <c r="G285" t="str">
        <f t="shared" si="37"/>
        <v>Thursday</v>
      </c>
      <c r="H285" t="b">
        <f t="shared" si="38"/>
        <v>0</v>
      </c>
      <c r="I285">
        <f t="shared" si="39"/>
        <v>284</v>
      </c>
      <c r="J285" t="s">
        <v>25</v>
      </c>
      <c r="K285">
        <v>20241010</v>
      </c>
    </row>
    <row r="286" spans="1:11" x14ac:dyDescent="0.3">
      <c r="A286" s="4">
        <v>45576</v>
      </c>
      <c r="B286">
        <f t="shared" si="32"/>
        <v>2024</v>
      </c>
      <c r="C286">
        <f t="shared" si="33"/>
        <v>10</v>
      </c>
      <c r="D286" t="str">
        <f t="shared" si="34"/>
        <v>October</v>
      </c>
      <c r="E286">
        <f t="shared" si="35"/>
        <v>41</v>
      </c>
      <c r="F286">
        <f t="shared" si="36"/>
        <v>11</v>
      </c>
      <c r="G286" t="str">
        <f t="shared" si="37"/>
        <v>Friday</v>
      </c>
      <c r="H286" t="b">
        <f t="shared" si="38"/>
        <v>0</v>
      </c>
      <c r="I286">
        <f t="shared" si="39"/>
        <v>285</v>
      </c>
      <c r="J286" t="s">
        <v>25</v>
      </c>
      <c r="K286">
        <v>20241011</v>
      </c>
    </row>
    <row r="287" spans="1:11" x14ac:dyDescent="0.3">
      <c r="A287" s="4">
        <v>45577</v>
      </c>
      <c r="B287">
        <f t="shared" si="32"/>
        <v>2024</v>
      </c>
      <c r="C287">
        <f t="shared" si="33"/>
        <v>10</v>
      </c>
      <c r="D287" t="str">
        <f t="shared" si="34"/>
        <v>October</v>
      </c>
      <c r="E287">
        <f t="shared" si="35"/>
        <v>41</v>
      </c>
      <c r="F287">
        <f t="shared" si="36"/>
        <v>12</v>
      </c>
      <c r="G287" t="str">
        <f t="shared" si="37"/>
        <v>Saturday</v>
      </c>
      <c r="H287" t="b">
        <f t="shared" si="38"/>
        <v>1</v>
      </c>
      <c r="I287">
        <f t="shared" si="39"/>
        <v>286</v>
      </c>
      <c r="J287" t="s">
        <v>25</v>
      </c>
      <c r="K287">
        <v>20241012</v>
      </c>
    </row>
    <row r="288" spans="1:11" x14ac:dyDescent="0.3">
      <c r="A288" s="4">
        <v>45578</v>
      </c>
      <c r="B288">
        <f t="shared" si="32"/>
        <v>2024</v>
      </c>
      <c r="C288">
        <f t="shared" si="33"/>
        <v>10</v>
      </c>
      <c r="D288" t="str">
        <f t="shared" si="34"/>
        <v>October</v>
      </c>
      <c r="E288">
        <f t="shared" si="35"/>
        <v>42</v>
      </c>
      <c r="F288">
        <f t="shared" si="36"/>
        <v>13</v>
      </c>
      <c r="G288" t="str">
        <f t="shared" si="37"/>
        <v>Sunday</v>
      </c>
      <c r="H288" t="b">
        <f t="shared" si="38"/>
        <v>1</v>
      </c>
      <c r="I288">
        <f t="shared" si="39"/>
        <v>287</v>
      </c>
      <c r="J288" t="s">
        <v>25</v>
      </c>
      <c r="K288">
        <v>20241013</v>
      </c>
    </row>
    <row r="289" spans="1:11" x14ac:dyDescent="0.3">
      <c r="A289" s="4">
        <v>45579</v>
      </c>
      <c r="B289">
        <f t="shared" si="32"/>
        <v>2024</v>
      </c>
      <c r="C289">
        <f t="shared" si="33"/>
        <v>10</v>
      </c>
      <c r="D289" t="str">
        <f t="shared" si="34"/>
        <v>October</v>
      </c>
      <c r="E289">
        <f t="shared" si="35"/>
        <v>42</v>
      </c>
      <c r="F289">
        <f t="shared" si="36"/>
        <v>14</v>
      </c>
      <c r="G289" t="str">
        <f t="shared" si="37"/>
        <v>Monday</v>
      </c>
      <c r="H289" t="b">
        <f t="shared" si="38"/>
        <v>0</v>
      </c>
      <c r="I289">
        <f t="shared" si="39"/>
        <v>288</v>
      </c>
      <c r="J289" t="s">
        <v>25</v>
      </c>
      <c r="K289">
        <v>20241014</v>
      </c>
    </row>
    <row r="290" spans="1:11" x14ac:dyDescent="0.3">
      <c r="A290" s="4">
        <v>45580</v>
      </c>
      <c r="B290">
        <f t="shared" si="32"/>
        <v>2024</v>
      </c>
      <c r="C290">
        <f t="shared" si="33"/>
        <v>10</v>
      </c>
      <c r="D290" t="str">
        <f t="shared" si="34"/>
        <v>October</v>
      </c>
      <c r="E290">
        <f t="shared" si="35"/>
        <v>42</v>
      </c>
      <c r="F290">
        <f t="shared" si="36"/>
        <v>15</v>
      </c>
      <c r="G290" t="str">
        <f t="shared" si="37"/>
        <v>Tuesday</v>
      </c>
      <c r="H290" t="b">
        <f t="shared" si="38"/>
        <v>0</v>
      </c>
      <c r="I290">
        <f t="shared" si="39"/>
        <v>289</v>
      </c>
      <c r="J290" t="s">
        <v>25</v>
      </c>
      <c r="K290">
        <v>20241015</v>
      </c>
    </row>
    <row r="291" spans="1:11" x14ac:dyDescent="0.3">
      <c r="A291" s="4">
        <v>45581</v>
      </c>
      <c r="B291">
        <f t="shared" si="32"/>
        <v>2024</v>
      </c>
      <c r="C291">
        <f t="shared" si="33"/>
        <v>10</v>
      </c>
      <c r="D291" t="str">
        <f t="shared" si="34"/>
        <v>October</v>
      </c>
      <c r="E291">
        <f t="shared" si="35"/>
        <v>42</v>
      </c>
      <c r="F291">
        <f t="shared" si="36"/>
        <v>16</v>
      </c>
      <c r="G291" t="str">
        <f t="shared" si="37"/>
        <v>Wednesday</v>
      </c>
      <c r="H291" t="b">
        <f t="shared" si="38"/>
        <v>0</v>
      </c>
      <c r="I291">
        <f t="shared" si="39"/>
        <v>290</v>
      </c>
      <c r="J291" t="s">
        <v>25</v>
      </c>
      <c r="K291">
        <v>20241016</v>
      </c>
    </row>
    <row r="292" spans="1:11" x14ac:dyDescent="0.3">
      <c r="A292" s="4">
        <v>45582</v>
      </c>
      <c r="B292">
        <f t="shared" si="32"/>
        <v>2024</v>
      </c>
      <c r="C292">
        <f t="shared" si="33"/>
        <v>10</v>
      </c>
      <c r="D292" t="str">
        <f t="shared" si="34"/>
        <v>October</v>
      </c>
      <c r="E292">
        <f t="shared" si="35"/>
        <v>42</v>
      </c>
      <c r="F292">
        <f t="shared" si="36"/>
        <v>17</v>
      </c>
      <c r="G292" t="str">
        <f t="shared" si="37"/>
        <v>Thursday</v>
      </c>
      <c r="H292" t="b">
        <f t="shared" si="38"/>
        <v>0</v>
      </c>
      <c r="I292">
        <f t="shared" si="39"/>
        <v>291</v>
      </c>
      <c r="J292" t="s">
        <v>25</v>
      </c>
      <c r="K292">
        <v>20241017</v>
      </c>
    </row>
    <row r="293" spans="1:11" x14ac:dyDescent="0.3">
      <c r="A293" s="4">
        <v>45583</v>
      </c>
      <c r="B293">
        <f t="shared" si="32"/>
        <v>2024</v>
      </c>
      <c r="C293">
        <f t="shared" si="33"/>
        <v>10</v>
      </c>
      <c r="D293" t="str">
        <f t="shared" si="34"/>
        <v>October</v>
      </c>
      <c r="E293">
        <f t="shared" si="35"/>
        <v>42</v>
      </c>
      <c r="F293">
        <f t="shared" si="36"/>
        <v>18</v>
      </c>
      <c r="G293" t="str">
        <f t="shared" si="37"/>
        <v>Friday</v>
      </c>
      <c r="H293" t="b">
        <f t="shared" si="38"/>
        <v>0</v>
      </c>
      <c r="I293">
        <f t="shared" si="39"/>
        <v>292</v>
      </c>
      <c r="J293" t="s">
        <v>25</v>
      </c>
      <c r="K293">
        <v>20241018</v>
      </c>
    </row>
    <row r="294" spans="1:11" x14ac:dyDescent="0.3">
      <c r="A294" s="4">
        <v>45584</v>
      </c>
      <c r="B294">
        <f t="shared" si="32"/>
        <v>2024</v>
      </c>
      <c r="C294">
        <f t="shared" si="33"/>
        <v>10</v>
      </c>
      <c r="D294" t="str">
        <f t="shared" si="34"/>
        <v>October</v>
      </c>
      <c r="E294">
        <f t="shared" si="35"/>
        <v>42</v>
      </c>
      <c r="F294">
        <f t="shared" si="36"/>
        <v>19</v>
      </c>
      <c r="G294" t="str">
        <f t="shared" si="37"/>
        <v>Saturday</v>
      </c>
      <c r="H294" t="b">
        <f t="shared" si="38"/>
        <v>1</v>
      </c>
      <c r="I294">
        <f t="shared" si="39"/>
        <v>293</v>
      </c>
      <c r="J294" t="s">
        <v>25</v>
      </c>
      <c r="K294">
        <v>20241019</v>
      </c>
    </row>
    <row r="295" spans="1:11" x14ac:dyDescent="0.3">
      <c r="A295" s="4">
        <v>45585</v>
      </c>
      <c r="B295">
        <f t="shared" si="32"/>
        <v>2024</v>
      </c>
      <c r="C295">
        <f t="shared" si="33"/>
        <v>10</v>
      </c>
      <c r="D295" t="str">
        <f t="shared" si="34"/>
        <v>October</v>
      </c>
      <c r="E295">
        <f t="shared" si="35"/>
        <v>43</v>
      </c>
      <c r="F295">
        <f t="shared" si="36"/>
        <v>20</v>
      </c>
      <c r="G295" t="str">
        <f t="shared" si="37"/>
        <v>Sunday</v>
      </c>
      <c r="H295" t="b">
        <f t="shared" si="38"/>
        <v>1</v>
      </c>
      <c r="I295">
        <f t="shared" si="39"/>
        <v>294</v>
      </c>
      <c r="J295" t="s">
        <v>25</v>
      </c>
      <c r="K295">
        <v>20241020</v>
      </c>
    </row>
    <row r="296" spans="1:11" x14ac:dyDescent="0.3">
      <c r="A296" s="4">
        <v>45586</v>
      </c>
      <c r="B296">
        <f t="shared" si="32"/>
        <v>2024</v>
      </c>
      <c r="C296">
        <f t="shared" si="33"/>
        <v>10</v>
      </c>
      <c r="D296" t="str">
        <f t="shared" si="34"/>
        <v>October</v>
      </c>
      <c r="E296">
        <f t="shared" si="35"/>
        <v>43</v>
      </c>
      <c r="F296">
        <f t="shared" si="36"/>
        <v>21</v>
      </c>
      <c r="G296" t="str">
        <f t="shared" si="37"/>
        <v>Monday</v>
      </c>
      <c r="H296" t="b">
        <f t="shared" si="38"/>
        <v>0</v>
      </c>
      <c r="I296">
        <f t="shared" si="39"/>
        <v>295</v>
      </c>
      <c r="J296" t="s">
        <v>25</v>
      </c>
      <c r="K296">
        <v>20241021</v>
      </c>
    </row>
    <row r="297" spans="1:11" x14ac:dyDescent="0.3">
      <c r="A297" s="4">
        <v>45587</v>
      </c>
      <c r="B297">
        <f t="shared" si="32"/>
        <v>2024</v>
      </c>
      <c r="C297">
        <f t="shared" si="33"/>
        <v>10</v>
      </c>
      <c r="D297" t="str">
        <f t="shared" si="34"/>
        <v>October</v>
      </c>
      <c r="E297">
        <f t="shared" si="35"/>
        <v>43</v>
      </c>
      <c r="F297">
        <f t="shared" si="36"/>
        <v>22</v>
      </c>
      <c r="G297" t="str">
        <f t="shared" si="37"/>
        <v>Tuesday</v>
      </c>
      <c r="H297" t="b">
        <f t="shared" si="38"/>
        <v>0</v>
      </c>
      <c r="I297">
        <f t="shared" si="39"/>
        <v>296</v>
      </c>
      <c r="J297" t="s">
        <v>25</v>
      </c>
      <c r="K297">
        <v>20241022</v>
      </c>
    </row>
    <row r="298" spans="1:11" x14ac:dyDescent="0.3">
      <c r="A298" s="4">
        <v>45588</v>
      </c>
      <c r="B298">
        <f t="shared" si="32"/>
        <v>2024</v>
      </c>
      <c r="C298">
        <f t="shared" si="33"/>
        <v>10</v>
      </c>
      <c r="D298" t="str">
        <f t="shared" si="34"/>
        <v>October</v>
      </c>
      <c r="E298">
        <f t="shared" si="35"/>
        <v>43</v>
      </c>
      <c r="F298">
        <f t="shared" si="36"/>
        <v>23</v>
      </c>
      <c r="G298" t="str">
        <f t="shared" si="37"/>
        <v>Wednesday</v>
      </c>
      <c r="H298" t="b">
        <f t="shared" si="38"/>
        <v>0</v>
      </c>
      <c r="I298">
        <f t="shared" si="39"/>
        <v>297</v>
      </c>
      <c r="J298" t="s">
        <v>25</v>
      </c>
      <c r="K298">
        <v>20241023</v>
      </c>
    </row>
    <row r="299" spans="1:11" x14ac:dyDescent="0.3">
      <c r="A299" s="4">
        <v>45589</v>
      </c>
      <c r="B299">
        <f t="shared" si="32"/>
        <v>2024</v>
      </c>
      <c r="C299">
        <f t="shared" si="33"/>
        <v>10</v>
      </c>
      <c r="D299" t="str">
        <f t="shared" si="34"/>
        <v>October</v>
      </c>
      <c r="E299">
        <f t="shared" si="35"/>
        <v>43</v>
      </c>
      <c r="F299">
        <f t="shared" si="36"/>
        <v>24</v>
      </c>
      <c r="G299" t="str">
        <f t="shared" si="37"/>
        <v>Thursday</v>
      </c>
      <c r="H299" t="b">
        <f t="shared" si="38"/>
        <v>0</v>
      </c>
      <c r="I299">
        <f t="shared" si="39"/>
        <v>298</v>
      </c>
      <c r="J299" t="s">
        <v>25</v>
      </c>
      <c r="K299">
        <v>20241024</v>
      </c>
    </row>
    <row r="300" spans="1:11" x14ac:dyDescent="0.3">
      <c r="A300" s="4">
        <v>45590</v>
      </c>
      <c r="B300">
        <f t="shared" si="32"/>
        <v>2024</v>
      </c>
      <c r="C300">
        <f t="shared" si="33"/>
        <v>10</v>
      </c>
      <c r="D300" t="str">
        <f t="shared" si="34"/>
        <v>October</v>
      </c>
      <c r="E300">
        <f t="shared" si="35"/>
        <v>43</v>
      </c>
      <c r="F300">
        <f t="shared" si="36"/>
        <v>25</v>
      </c>
      <c r="G300" t="str">
        <f t="shared" si="37"/>
        <v>Friday</v>
      </c>
      <c r="H300" t="b">
        <f t="shared" si="38"/>
        <v>0</v>
      </c>
      <c r="I300">
        <f t="shared" si="39"/>
        <v>299</v>
      </c>
      <c r="J300" t="s">
        <v>25</v>
      </c>
      <c r="K300">
        <v>20241025</v>
      </c>
    </row>
    <row r="301" spans="1:11" x14ac:dyDescent="0.3">
      <c r="A301" s="4">
        <v>45591</v>
      </c>
      <c r="B301">
        <f t="shared" si="32"/>
        <v>2024</v>
      </c>
      <c r="C301">
        <f t="shared" si="33"/>
        <v>10</v>
      </c>
      <c r="D301" t="str">
        <f t="shared" si="34"/>
        <v>October</v>
      </c>
      <c r="E301">
        <f t="shared" si="35"/>
        <v>43</v>
      </c>
      <c r="F301">
        <f t="shared" si="36"/>
        <v>26</v>
      </c>
      <c r="G301" t="str">
        <f t="shared" si="37"/>
        <v>Saturday</v>
      </c>
      <c r="H301" t="b">
        <f t="shared" si="38"/>
        <v>1</v>
      </c>
      <c r="I301">
        <f t="shared" si="39"/>
        <v>300</v>
      </c>
      <c r="J301" t="s">
        <v>25</v>
      </c>
      <c r="K301">
        <v>20241026</v>
      </c>
    </row>
    <row r="302" spans="1:11" x14ac:dyDescent="0.3">
      <c r="A302" s="4">
        <v>45592</v>
      </c>
      <c r="B302">
        <f t="shared" si="32"/>
        <v>2024</v>
      </c>
      <c r="C302">
        <f t="shared" si="33"/>
        <v>10</v>
      </c>
      <c r="D302" t="str">
        <f t="shared" si="34"/>
        <v>October</v>
      </c>
      <c r="E302">
        <f t="shared" si="35"/>
        <v>44</v>
      </c>
      <c r="F302">
        <f t="shared" si="36"/>
        <v>27</v>
      </c>
      <c r="G302" t="str">
        <f t="shared" si="37"/>
        <v>Sunday</v>
      </c>
      <c r="H302" t="b">
        <f t="shared" si="38"/>
        <v>1</v>
      </c>
      <c r="I302">
        <f t="shared" si="39"/>
        <v>301</v>
      </c>
      <c r="J302" t="s">
        <v>25</v>
      </c>
      <c r="K302">
        <v>20241027</v>
      </c>
    </row>
    <row r="303" spans="1:11" x14ac:dyDescent="0.3">
      <c r="A303" s="4">
        <v>45593</v>
      </c>
      <c r="B303">
        <f t="shared" si="32"/>
        <v>2024</v>
      </c>
      <c r="C303">
        <f t="shared" si="33"/>
        <v>10</v>
      </c>
      <c r="D303" t="str">
        <f t="shared" si="34"/>
        <v>October</v>
      </c>
      <c r="E303">
        <f t="shared" si="35"/>
        <v>44</v>
      </c>
      <c r="F303">
        <f t="shared" si="36"/>
        <v>28</v>
      </c>
      <c r="G303" t="str">
        <f t="shared" si="37"/>
        <v>Monday</v>
      </c>
      <c r="H303" t="b">
        <f t="shared" si="38"/>
        <v>0</v>
      </c>
      <c r="I303">
        <f t="shared" si="39"/>
        <v>302</v>
      </c>
      <c r="J303" t="s">
        <v>25</v>
      </c>
      <c r="K303">
        <v>20241028</v>
      </c>
    </row>
    <row r="304" spans="1:11" x14ac:dyDescent="0.3">
      <c r="A304" s="4">
        <v>45594</v>
      </c>
      <c r="B304">
        <f t="shared" si="32"/>
        <v>2024</v>
      </c>
      <c r="C304">
        <f t="shared" si="33"/>
        <v>10</v>
      </c>
      <c r="D304" t="str">
        <f t="shared" si="34"/>
        <v>October</v>
      </c>
      <c r="E304">
        <f t="shared" si="35"/>
        <v>44</v>
      </c>
      <c r="F304">
        <f t="shared" si="36"/>
        <v>29</v>
      </c>
      <c r="G304" t="str">
        <f t="shared" si="37"/>
        <v>Tuesday</v>
      </c>
      <c r="H304" t="b">
        <f t="shared" si="38"/>
        <v>0</v>
      </c>
      <c r="I304">
        <f t="shared" si="39"/>
        <v>303</v>
      </c>
      <c r="J304" t="s">
        <v>25</v>
      </c>
      <c r="K304">
        <v>20241029</v>
      </c>
    </row>
    <row r="305" spans="1:11" x14ac:dyDescent="0.3">
      <c r="A305" s="4">
        <v>45595</v>
      </c>
      <c r="B305">
        <f t="shared" si="32"/>
        <v>2024</v>
      </c>
      <c r="C305">
        <f t="shared" si="33"/>
        <v>10</v>
      </c>
      <c r="D305" t="str">
        <f t="shared" si="34"/>
        <v>October</v>
      </c>
      <c r="E305">
        <f t="shared" si="35"/>
        <v>44</v>
      </c>
      <c r="F305">
        <f t="shared" si="36"/>
        <v>30</v>
      </c>
      <c r="G305" t="str">
        <f t="shared" si="37"/>
        <v>Wednesday</v>
      </c>
      <c r="H305" t="b">
        <f t="shared" si="38"/>
        <v>0</v>
      </c>
      <c r="I305">
        <f t="shared" si="39"/>
        <v>304</v>
      </c>
      <c r="J305" t="s">
        <v>25</v>
      </c>
      <c r="K305">
        <v>20241030</v>
      </c>
    </row>
    <row r="306" spans="1:11" x14ac:dyDescent="0.3">
      <c r="A306" s="4">
        <v>45596</v>
      </c>
      <c r="B306">
        <f t="shared" si="32"/>
        <v>2024</v>
      </c>
      <c r="C306">
        <f t="shared" si="33"/>
        <v>10</v>
      </c>
      <c r="D306" t="str">
        <f t="shared" si="34"/>
        <v>October</v>
      </c>
      <c r="E306">
        <f t="shared" si="35"/>
        <v>44</v>
      </c>
      <c r="F306">
        <f t="shared" si="36"/>
        <v>31</v>
      </c>
      <c r="G306" t="str">
        <f t="shared" si="37"/>
        <v>Thursday</v>
      </c>
      <c r="H306" t="b">
        <f t="shared" si="38"/>
        <v>0</v>
      </c>
      <c r="I306">
        <f t="shared" si="39"/>
        <v>305</v>
      </c>
      <c r="J306" t="s">
        <v>25</v>
      </c>
      <c r="K306">
        <v>20241031</v>
      </c>
    </row>
    <row r="307" spans="1:11" x14ac:dyDescent="0.3">
      <c r="A307" s="4">
        <v>45597</v>
      </c>
      <c r="B307">
        <f t="shared" si="32"/>
        <v>2024</v>
      </c>
      <c r="C307">
        <f t="shared" si="33"/>
        <v>11</v>
      </c>
      <c r="D307" t="str">
        <f t="shared" si="34"/>
        <v>November</v>
      </c>
      <c r="E307">
        <f t="shared" si="35"/>
        <v>44</v>
      </c>
      <c r="F307">
        <f t="shared" si="36"/>
        <v>1</v>
      </c>
      <c r="G307" t="str">
        <f t="shared" si="37"/>
        <v>Friday</v>
      </c>
      <c r="H307" t="b">
        <f t="shared" si="38"/>
        <v>0</v>
      </c>
      <c r="I307">
        <f t="shared" si="39"/>
        <v>306</v>
      </c>
      <c r="J307" t="s">
        <v>22</v>
      </c>
      <c r="K307">
        <v>20241101</v>
      </c>
    </row>
    <row r="308" spans="1:11" x14ac:dyDescent="0.3">
      <c r="A308" s="4">
        <v>45598</v>
      </c>
      <c r="B308">
        <f t="shared" si="32"/>
        <v>2024</v>
      </c>
      <c r="C308">
        <f t="shared" si="33"/>
        <v>11</v>
      </c>
      <c r="D308" t="str">
        <f t="shared" si="34"/>
        <v>November</v>
      </c>
      <c r="E308">
        <f t="shared" si="35"/>
        <v>44</v>
      </c>
      <c r="F308">
        <f t="shared" si="36"/>
        <v>2</v>
      </c>
      <c r="G308" t="str">
        <f t="shared" si="37"/>
        <v>Saturday</v>
      </c>
      <c r="H308" t="b">
        <f t="shared" si="38"/>
        <v>1</v>
      </c>
      <c r="I308">
        <f t="shared" si="39"/>
        <v>307</v>
      </c>
      <c r="J308" t="s">
        <v>22</v>
      </c>
      <c r="K308">
        <v>20241102</v>
      </c>
    </row>
    <row r="309" spans="1:11" x14ac:dyDescent="0.3">
      <c r="A309" s="4">
        <v>45599</v>
      </c>
      <c r="B309">
        <f t="shared" si="32"/>
        <v>2024</v>
      </c>
      <c r="C309">
        <f t="shared" si="33"/>
        <v>11</v>
      </c>
      <c r="D309" t="str">
        <f t="shared" si="34"/>
        <v>November</v>
      </c>
      <c r="E309">
        <f t="shared" si="35"/>
        <v>45</v>
      </c>
      <c r="F309">
        <f t="shared" si="36"/>
        <v>3</v>
      </c>
      <c r="G309" t="str">
        <f t="shared" si="37"/>
        <v>Sunday</v>
      </c>
      <c r="H309" t="b">
        <f t="shared" si="38"/>
        <v>1</v>
      </c>
      <c r="I309">
        <f t="shared" si="39"/>
        <v>308</v>
      </c>
      <c r="J309" t="s">
        <v>22</v>
      </c>
      <c r="K309">
        <v>20241103</v>
      </c>
    </row>
    <row r="310" spans="1:11" x14ac:dyDescent="0.3">
      <c r="A310" s="4">
        <v>45600</v>
      </c>
      <c r="B310">
        <f t="shared" si="32"/>
        <v>2024</v>
      </c>
      <c r="C310">
        <f t="shared" si="33"/>
        <v>11</v>
      </c>
      <c r="D310" t="str">
        <f t="shared" si="34"/>
        <v>November</v>
      </c>
      <c r="E310">
        <f t="shared" si="35"/>
        <v>45</v>
      </c>
      <c r="F310">
        <f t="shared" si="36"/>
        <v>4</v>
      </c>
      <c r="G310" t="str">
        <f t="shared" si="37"/>
        <v>Monday</v>
      </c>
      <c r="H310" t="b">
        <f t="shared" si="38"/>
        <v>0</v>
      </c>
      <c r="I310">
        <f t="shared" si="39"/>
        <v>309</v>
      </c>
      <c r="J310" t="s">
        <v>22</v>
      </c>
      <c r="K310">
        <v>20241104</v>
      </c>
    </row>
    <row r="311" spans="1:11" x14ac:dyDescent="0.3">
      <c r="A311" s="4">
        <v>45601</v>
      </c>
      <c r="B311">
        <f t="shared" si="32"/>
        <v>2024</v>
      </c>
      <c r="C311">
        <f t="shared" si="33"/>
        <v>11</v>
      </c>
      <c r="D311" t="str">
        <f t="shared" si="34"/>
        <v>November</v>
      </c>
      <c r="E311">
        <f t="shared" si="35"/>
        <v>45</v>
      </c>
      <c r="F311">
        <f t="shared" si="36"/>
        <v>5</v>
      </c>
      <c r="G311" t="str">
        <f t="shared" si="37"/>
        <v>Tuesday</v>
      </c>
      <c r="H311" t="b">
        <f t="shared" si="38"/>
        <v>0</v>
      </c>
      <c r="I311">
        <f t="shared" si="39"/>
        <v>310</v>
      </c>
      <c r="J311" t="s">
        <v>22</v>
      </c>
      <c r="K311">
        <v>20241105</v>
      </c>
    </row>
    <row r="312" spans="1:11" x14ac:dyDescent="0.3">
      <c r="A312" s="4">
        <v>45602</v>
      </c>
      <c r="B312">
        <f t="shared" si="32"/>
        <v>2024</v>
      </c>
      <c r="C312">
        <f t="shared" si="33"/>
        <v>11</v>
      </c>
      <c r="D312" t="str">
        <f t="shared" si="34"/>
        <v>November</v>
      </c>
      <c r="E312">
        <f t="shared" si="35"/>
        <v>45</v>
      </c>
      <c r="F312">
        <f t="shared" si="36"/>
        <v>6</v>
      </c>
      <c r="G312" t="str">
        <f t="shared" si="37"/>
        <v>Wednesday</v>
      </c>
      <c r="H312" t="b">
        <f t="shared" si="38"/>
        <v>0</v>
      </c>
      <c r="I312">
        <f t="shared" si="39"/>
        <v>311</v>
      </c>
      <c r="J312" t="s">
        <v>22</v>
      </c>
      <c r="K312">
        <v>20241106</v>
      </c>
    </row>
    <row r="313" spans="1:11" x14ac:dyDescent="0.3">
      <c r="A313" s="4">
        <v>45603</v>
      </c>
      <c r="B313">
        <f t="shared" si="32"/>
        <v>2024</v>
      </c>
      <c r="C313">
        <f t="shared" si="33"/>
        <v>11</v>
      </c>
      <c r="D313" t="str">
        <f t="shared" si="34"/>
        <v>November</v>
      </c>
      <c r="E313">
        <f t="shared" si="35"/>
        <v>45</v>
      </c>
      <c r="F313">
        <f t="shared" si="36"/>
        <v>7</v>
      </c>
      <c r="G313" t="str">
        <f t="shared" si="37"/>
        <v>Thursday</v>
      </c>
      <c r="H313" t="b">
        <f t="shared" si="38"/>
        <v>0</v>
      </c>
      <c r="I313">
        <f t="shared" si="39"/>
        <v>312</v>
      </c>
      <c r="J313" t="s">
        <v>22</v>
      </c>
      <c r="K313">
        <v>20241107</v>
      </c>
    </row>
    <row r="314" spans="1:11" x14ac:dyDescent="0.3">
      <c r="A314" s="4">
        <v>45604</v>
      </c>
      <c r="B314">
        <f t="shared" si="32"/>
        <v>2024</v>
      </c>
      <c r="C314">
        <f t="shared" si="33"/>
        <v>11</v>
      </c>
      <c r="D314" t="str">
        <f t="shared" si="34"/>
        <v>November</v>
      </c>
      <c r="E314">
        <f t="shared" si="35"/>
        <v>45</v>
      </c>
      <c r="F314">
        <f t="shared" si="36"/>
        <v>8</v>
      </c>
      <c r="G314" t="str">
        <f t="shared" si="37"/>
        <v>Friday</v>
      </c>
      <c r="H314" t="b">
        <f t="shared" si="38"/>
        <v>0</v>
      </c>
      <c r="I314">
        <f t="shared" si="39"/>
        <v>313</v>
      </c>
      <c r="J314" t="s">
        <v>22</v>
      </c>
      <c r="K314">
        <v>20241108</v>
      </c>
    </row>
    <row r="315" spans="1:11" x14ac:dyDescent="0.3">
      <c r="A315" s="4">
        <v>45605</v>
      </c>
      <c r="B315">
        <f t="shared" si="32"/>
        <v>2024</v>
      </c>
      <c r="C315">
        <f t="shared" si="33"/>
        <v>11</v>
      </c>
      <c r="D315" t="str">
        <f t="shared" si="34"/>
        <v>November</v>
      </c>
      <c r="E315">
        <f t="shared" si="35"/>
        <v>45</v>
      </c>
      <c r="F315">
        <f t="shared" si="36"/>
        <v>9</v>
      </c>
      <c r="G315" t="str">
        <f t="shared" si="37"/>
        <v>Saturday</v>
      </c>
      <c r="H315" t="b">
        <f t="shared" si="38"/>
        <v>1</v>
      </c>
      <c r="I315">
        <f t="shared" si="39"/>
        <v>314</v>
      </c>
      <c r="J315" t="s">
        <v>22</v>
      </c>
      <c r="K315">
        <v>20241109</v>
      </c>
    </row>
    <row r="316" spans="1:11" x14ac:dyDescent="0.3">
      <c r="A316" s="4">
        <v>45606</v>
      </c>
      <c r="B316">
        <f t="shared" si="32"/>
        <v>2024</v>
      </c>
      <c r="C316">
        <f t="shared" si="33"/>
        <v>11</v>
      </c>
      <c r="D316" t="str">
        <f t="shared" si="34"/>
        <v>November</v>
      </c>
      <c r="E316">
        <f t="shared" si="35"/>
        <v>46</v>
      </c>
      <c r="F316">
        <f t="shared" si="36"/>
        <v>10</v>
      </c>
      <c r="G316" t="str">
        <f t="shared" si="37"/>
        <v>Sunday</v>
      </c>
      <c r="H316" t="b">
        <f t="shared" si="38"/>
        <v>1</v>
      </c>
      <c r="I316">
        <f t="shared" si="39"/>
        <v>315</v>
      </c>
      <c r="J316" t="s">
        <v>22</v>
      </c>
      <c r="K316">
        <v>20241110</v>
      </c>
    </row>
    <row r="317" spans="1:11" x14ac:dyDescent="0.3">
      <c r="A317" s="4">
        <v>45607</v>
      </c>
      <c r="B317">
        <f t="shared" si="32"/>
        <v>2024</v>
      </c>
      <c r="C317">
        <f t="shared" si="33"/>
        <v>11</v>
      </c>
      <c r="D317" t="str">
        <f t="shared" si="34"/>
        <v>November</v>
      </c>
      <c r="E317">
        <f t="shared" si="35"/>
        <v>46</v>
      </c>
      <c r="F317">
        <f t="shared" si="36"/>
        <v>11</v>
      </c>
      <c r="G317" t="str">
        <f t="shared" si="37"/>
        <v>Monday</v>
      </c>
      <c r="H317" t="b">
        <f t="shared" si="38"/>
        <v>0</v>
      </c>
      <c r="I317">
        <f t="shared" si="39"/>
        <v>316</v>
      </c>
      <c r="J317" t="s">
        <v>22</v>
      </c>
      <c r="K317">
        <v>20241111</v>
      </c>
    </row>
    <row r="318" spans="1:11" x14ac:dyDescent="0.3">
      <c r="A318" s="4">
        <v>45608</v>
      </c>
      <c r="B318">
        <f t="shared" si="32"/>
        <v>2024</v>
      </c>
      <c r="C318">
        <f t="shared" si="33"/>
        <v>11</v>
      </c>
      <c r="D318" t="str">
        <f t="shared" si="34"/>
        <v>November</v>
      </c>
      <c r="E318">
        <f t="shared" si="35"/>
        <v>46</v>
      </c>
      <c r="F318">
        <f t="shared" si="36"/>
        <v>12</v>
      </c>
      <c r="G318" t="str">
        <f t="shared" si="37"/>
        <v>Tuesday</v>
      </c>
      <c r="H318" t="b">
        <f t="shared" si="38"/>
        <v>0</v>
      </c>
      <c r="I318">
        <f t="shared" si="39"/>
        <v>317</v>
      </c>
      <c r="J318" t="s">
        <v>22</v>
      </c>
      <c r="K318">
        <v>20241112</v>
      </c>
    </row>
    <row r="319" spans="1:11" x14ac:dyDescent="0.3">
      <c r="A319" s="4">
        <v>45609</v>
      </c>
      <c r="B319">
        <f t="shared" si="32"/>
        <v>2024</v>
      </c>
      <c r="C319">
        <f t="shared" si="33"/>
        <v>11</v>
      </c>
      <c r="D319" t="str">
        <f t="shared" si="34"/>
        <v>November</v>
      </c>
      <c r="E319">
        <f t="shared" si="35"/>
        <v>46</v>
      </c>
      <c r="F319">
        <f t="shared" si="36"/>
        <v>13</v>
      </c>
      <c r="G319" t="str">
        <f t="shared" si="37"/>
        <v>Wednesday</v>
      </c>
      <c r="H319" t="b">
        <f t="shared" si="38"/>
        <v>0</v>
      </c>
      <c r="I319">
        <f t="shared" si="39"/>
        <v>318</v>
      </c>
      <c r="J319" t="s">
        <v>22</v>
      </c>
      <c r="K319">
        <v>20241113</v>
      </c>
    </row>
    <row r="320" spans="1:11" x14ac:dyDescent="0.3">
      <c r="A320" s="4">
        <v>45610</v>
      </c>
      <c r="B320">
        <f t="shared" si="32"/>
        <v>2024</v>
      </c>
      <c r="C320">
        <f t="shared" si="33"/>
        <v>11</v>
      </c>
      <c r="D320" t="str">
        <f t="shared" si="34"/>
        <v>November</v>
      </c>
      <c r="E320">
        <f t="shared" si="35"/>
        <v>46</v>
      </c>
      <c r="F320">
        <f t="shared" si="36"/>
        <v>14</v>
      </c>
      <c r="G320" t="str">
        <f t="shared" si="37"/>
        <v>Thursday</v>
      </c>
      <c r="H320" t="b">
        <f t="shared" si="38"/>
        <v>0</v>
      </c>
      <c r="I320">
        <f t="shared" si="39"/>
        <v>319</v>
      </c>
      <c r="J320" t="s">
        <v>22</v>
      </c>
      <c r="K320">
        <v>20241114</v>
      </c>
    </row>
    <row r="321" spans="1:11" x14ac:dyDescent="0.3">
      <c r="A321" s="4">
        <v>45611</v>
      </c>
      <c r="B321">
        <f t="shared" si="32"/>
        <v>2024</v>
      </c>
      <c r="C321">
        <f t="shared" si="33"/>
        <v>11</v>
      </c>
      <c r="D321" t="str">
        <f t="shared" si="34"/>
        <v>November</v>
      </c>
      <c r="E321">
        <f t="shared" si="35"/>
        <v>46</v>
      </c>
      <c r="F321">
        <f t="shared" si="36"/>
        <v>15</v>
      </c>
      <c r="G321" t="str">
        <f t="shared" si="37"/>
        <v>Friday</v>
      </c>
      <c r="H321" t="b">
        <f t="shared" si="38"/>
        <v>0</v>
      </c>
      <c r="I321">
        <f t="shared" si="39"/>
        <v>320</v>
      </c>
      <c r="J321" t="s">
        <v>22</v>
      </c>
      <c r="K321">
        <v>20241115</v>
      </c>
    </row>
    <row r="322" spans="1:11" x14ac:dyDescent="0.3">
      <c r="A322" s="4">
        <v>45612</v>
      </c>
      <c r="B322">
        <f t="shared" si="32"/>
        <v>2024</v>
      </c>
      <c r="C322">
        <f t="shared" si="33"/>
        <v>11</v>
      </c>
      <c r="D322" t="str">
        <f t="shared" si="34"/>
        <v>November</v>
      </c>
      <c r="E322">
        <f t="shared" si="35"/>
        <v>46</v>
      </c>
      <c r="F322">
        <f t="shared" si="36"/>
        <v>16</v>
      </c>
      <c r="G322" t="str">
        <f t="shared" si="37"/>
        <v>Saturday</v>
      </c>
      <c r="H322" t="b">
        <f t="shared" si="38"/>
        <v>1</v>
      </c>
      <c r="I322">
        <f t="shared" si="39"/>
        <v>321</v>
      </c>
      <c r="J322" t="s">
        <v>22</v>
      </c>
      <c r="K322">
        <v>20241116</v>
      </c>
    </row>
    <row r="323" spans="1:11" x14ac:dyDescent="0.3">
      <c r="A323" s="4">
        <v>45613</v>
      </c>
      <c r="B323">
        <f t="shared" ref="B323:B386" si="40">YEAR(A323)</f>
        <v>2024</v>
      </c>
      <c r="C323">
        <f t="shared" ref="C323:C386" si="41">MONTH(A323)</f>
        <v>11</v>
      </c>
      <c r="D323" t="str">
        <f t="shared" ref="D323:D386" si="42">TEXT(A323,"mmmm")</f>
        <v>November</v>
      </c>
      <c r="E323">
        <f t="shared" ref="E323:E386" si="43">WEEKNUM(A323)</f>
        <v>47</v>
      </c>
      <c r="F323">
        <f t="shared" ref="F323:F386" si="44">DAY(A323)</f>
        <v>17</v>
      </c>
      <c r="G323" t="str">
        <f t="shared" ref="G323:G386" si="45">TEXT((A323),"dddd")</f>
        <v>Sunday</v>
      </c>
      <c r="H323" t="b">
        <f t="shared" ref="H323:H386" si="46">IF(OR(G323="Saturday",G323="Sunday"),TRUE,FALSE)</f>
        <v>1</v>
      </c>
      <c r="I323">
        <f t="shared" ref="I323:I386" si="47">A323-DATE(YEAR(A323),1,1)+1</f>
        <v>322</v>
      </c>
      <c r="J323" t="s">
        <v>22</v>
      </c>
      <c r="K323">
        <v>20241117</v>
      </c>
    </row>
    <row r="324" spans="1:11" x14ac:dyDescent="0.3">
      <c r="A324" s="4">
        <v>45614</v>
      </c>
      <c r="B324">
        <f t="shared" si="40"/>
        <v>2024</v>
      </c>
      <c r="C324">
        <f t="shared" si="41"/>
        <v>11</v>
      </c>
      <c r="D324" t="str">
        <f t="shared" si="42"/>
        <v>November</v>
      </c>
      <c r="E324">
        <f t="shared" si="43"/>
        <v>47</v>
      </c>
      <c r="F324">
        <f t="shared" si="44"/>
        <v>18</v>
      </c>
      <c r="G324" t="str">
        <f t="shared" si="45"/>
        <v>Monday</v>
      </c>
      <c r="H324" t="b">
        <f t="shared" si="46"/>
        <v>0</v>
      </c>
      <c r="I324">
        <f t="shared" si="47"/>
        <v>323</v>
      </c>
      <c r="J324" t="s">
        <v>22</v>
      </c>
      <c r="K324">
        <v>20241118</v>
      </c>
    </row>
    <row r="325" spans="1:11" x14ac:dyDescent="0.3">
      <c r="A325" s="4">
        <v>45615</v>
      </c>
      <c r="B325">
        <f t="shared" si="40"/>
        <v>2024</v>
      </c>
      <c r="C325">
        <f t="shared" si="41"/>
        <v>11</v>
      </c>
      <c r="D325" t="str">
        <f t="shared" si="42"/>
        <v>November</v>
      </c>
      <c r="E325">
        <f t="shared" si="43"/>
        <v>47</v>
      </c>
      <c r="F325">
        <f t="shared" si="44"/>
        <v>19</v>
      </c>
      <c r="G325" t="str">
        <f t="shared" si="45"/>
        <v>Tuesday</v>
      </c>
      <c r="H325" t="b">
        <f t="shared" si="46"/>
        <v>0</v>
      </c>
      <c r="I325">
        <f t="shared" si="47"/>
        <v>324</v>
      </c>
      <c r="J325" t="s">
        <v>22</v>
      </c>
      <c r="K325">
        <v>20241119</v>
      </c>
    </row>
    <row r="326" spans="1:11" x14ac:dyDescent="0.3">
      <c r="A326" s="4">
        <v>45616</v>
      </c>
      <c r="B326">
        <f t="shared" si="40"/>
        <v>2024</v>
      </c>
      <c r="C326">
        <f t="shared" si="41"/>
        <v>11</v>
      </c>
      <c r="D326" t="str">
        <f t="shared" si="42"/>
        <v>November</v>
      </c>
      <c r="E326">
        <f t="shared" si="43"/>
        <v>47</v>
      </c>
      <c r="F326">
        <f t="shared" si="44"/>
        <v>20</v>
      </c>
      <c r="G326" t="str">
        <f t="shared" si="45"/>
        <v>Wednesday</v>
      </c>
      <c r="H326" t="b">
        <f t="shared" si="46"/>
        <v>0</v>
      </c>
      <c r="I326">
        <f t="shared" si="47"/>
        <v>325</v>
      </c>
      <c r="J326" t="s">
        <v>22</v>
      </c>
      <c r="K326">
        <v>20241120</v>
      </c>
    </row>
    <row r="327" spans="1:11" x14ac:dyDescent="0.3">
      <c r="A327" s="4">
        <v>45617</v>
      </c>
      <c r="B327">
        <f t="shared" si="40"/>
        <v>2024</v>
      </c>
      <c r="C327">
        <f t="shared" si="41"/>
        <v>11</v>
      </c>
      <c r="D327" t="str">
        <f t="shared" si="42"/>
        <v>November</v>
      </c>
      <c r="E327">
        <f t="shared" si="43"/>
        <v>47</v>
      </c>
      <c r="F327">
        <f t="shared" si="44"/>
        <v>21</v>
      </c>
      <c r="G327" t="str">
        <f t="shared" si="45"/>
        <v>Thursday</v>
      </c>
      <c r="H327" t="b">
        <f t="shared" si="46"/>
        <v>0</v>
      </c>
      <c r="I327">
        <f t="shared" si="47"/>
        <v>326</v>
      </c>
      <c r="J327" t="s">
        <v>22</v>
      </c>
      <c r="K327">
        <v>20241121</v>
      </c>
    </row>
    <row r="328" spans="1:11" x14ac:dyDescent="0.3">
      <c r="A328" s="4">
        <v>45618</v>
      </c>
      <c r="B328">
        <f t="shared" si="40"/>
        <v>2024</v>
      </c>
      <c r="C328">
        <f t="shared" si="41"/>
        <v>11</v>
      </c>
      <c r="D328" t="str">
        <f t="shared" si="42"/>
        <v>November</v>
      </c>
      <c r="E328">
        <f t="shared" si="43"/>
        <v>47</v>
      </c>
      <c r="F328">
        <f t="shared" si="44"/>
        <v>22</v>
      </c>
      <c r="G328" t="str">
        <f t="shared" si="45"/>
        <v>Friday</v>
      </c>
      <c r="H328" t="b">
        <f t="shared" si="46"/>
        <v>0</v>
      </c>
      <c r="I328">
        <f t="shared" si="47"/>
        <v>327</v>
      </c>
      <c r="J328" t="s">
        <v>22</v>
      </c>
      <c r="K328">
        <v>20241122</v>
      </c>
    </row>
    <row r="329" spans="1:11" x14ac:dyDescent="0.3">
      <c r="A329" s="4">
        <v>45619</v>
      </c>
      <c r="B329">
        <f t="shared" si="40"/>
        <v>2024</v>
      </c>
      <c r="C329">
        <f t="shared" si="41"/>
        <v>11</v>
      </c>
      <c r="D329" t="str">
        <f t="shared" si="42"/>
        <v>November</v>
      </c>
      <c r="E329">
        <f t="shared" si="43"/>
        <v>47</v>
      </c>
      <c r="F329">
        <f t="shared" si="44"/>
        <v>23</v>
      </c>
      <c r="G329" t="str">
        <f t="shared" si="45"/>
        <v>Saturday</v>
      </c>
      <c r="H329" t="b">
        <f t="shared" si="46"/>
        <v>1</v>
      </c>
      <c r="I329">
        <f t="shared" si="47"/>
        <v>328</v>
      </c>
      <c r="J329" t="s">
        <v>22</v>
      </c>
      <c r="K329">
        <v>20241123</v>
      </c>
    </row>
    <row r="330" spans="1:11" x14ac:dyDescent="0.3">
      <c r="A330" s="4">
        <v>45620</v>
      </c>
      <c r="B330">
        <f t="shared" si="40"/>
        <v>2024</v>
      </c>
      <c r="C330">
        <f t="shared" si="41"/>
        <v>11</v>
      </c>
      <c r="D330" t="str">
        <f t="shared" si="42"/>
        <v>November</v>
      </c>
      <c r="E330">
        <f t="shared" si="43"/>
        <v>48</v>
      </c>
      <c r="F330">
        <f t="shared" si="44"/>
        <v>24</v>
      </c>
      <c r="G330" t="str">
        <f t="shared" si="45"/>
        <v>Sunday</v>
      </c>
      <c r="H330" t="b">
        <f t="shared" si="46"/>
        <v>1</v>
      </c>
      <c r="I330">
        <f t="shared" si="47"/>
        <v>329</v>
      </c>
      <c r="J330" t="s">
        <v>22</v>
      </c>
      <c r="K330">
        <v>20241124</v>
      </c>
    </row>
    <row r="331" spans="1:11" x14ac:dyDescent="0.3">
      <c r="A331" s="4">
        <v>45621</v>
      </c>
      <c r="B331">
        <f t="shared" si="40"/>
        <v>2024</v>
      </c>
      <c r="C331">
        <f t="shared" si="41"/>
        <v>11</v>
      </c>
      <c r="D331" t="str">
        <f t="shared" si="42"/>
        <v>November</v>
      </c>
      <c r="E331">
        <f t="shared" si="43"/>
        <v>48</v>
      </c>
      <c r="F331">
        <f t="shared" si="44"/>
        <v>25</v>
      </c>
      <c r="G331" t="str">
        <f t="shared" si="45"/>
        <v>Monday</v>
      </c>
      <c r="H331" t="b">
        <f t="shared" si="46"/>
        <v>0</v>
      </c>
      <c r="I331">
        <f t="shared" si="47"/>
        <v>330</v>
      </c>
      <c r="J331" t="s">
        <v>22</v>
      </c>
      <c r="K331">
        <v>20241125</v>
      </c>
    </row>
    <row r="332" spans="1:11" x14ac:dyDescent="0.3">
      <c r="A332" s="4">
        <v>45622</v>
      </c>
      <c r="B332">
        <f t="shared" si="40"/>
        <v>2024</v>
      </c>
      <c r="C332">
        <f t="shared" si="41"/>
        <v>11</v>
      </c>
      <c r="D332" t="str">
        <f t="shared" si="42"/>
        <v>November</v>
      </c>
      <c r="E332">
        <f t="shared" si="43"/>
        <v>48</v>
      </c>
      <c r="F332">
        <f t="shared" si="44"/>
        <v>26</v>
      </c>
      <c r="G332" t="str">
        <f t="shared" si="45"/>
        <v>Tuesday</v>
      </c>
      <c r="H332" t="b">
        <f t="shared" si="46"/>
        <v>0</v>
      </c>
      <c r="I332">
        <f t="shared" si="47"/>
        <v>331</v>
      </c>
      <c r="J332" t="s">
        <v>22</v>
      </c>
      <c r="K332">
        <v>20241126</v>
      </c>
    </row>
    <row r="333" spans="1:11" x14ac:dyDescent="0.3">
      <c r="A333" s="4">
        <v>45623</v>
      </c>
      <c r="B333">
        <f t="shared" si="40"/>
        <v>2024</v>
      </c>
      <c r="C333">
        <f t="shared" si="41"/>
        <v>11</v>
      </c>
      <c r="D333" t="str">
        <f t="shared" si="42"/>
        <v>November</v>
      </c>
      <c r="E333">
        <f t="shared" si="43"/>
        <v>48</v>
      </c>
      <c r="F333">
        <f t="shared" si="44"/>
        <v>27</v>
      </c>
      <c r="G333" t="str">
        <f t="shared" si="45"/>
        <v>Wednesday</v>
      </c>
      <c r="H333" t="b">
        <f t="shared" si="46"/>
        <v>0</v>
      </c>
      <c r="I333">
        <f t="shared" si="47"/>
        <v>332</v>
      </c>
      <c r="J333" t="s">
        <v>22</v>
      </c>
      <c r="K333">
        <v>20241127</v>
      </c>
    </row>
    <row r="334" spans="1:11" x14ac:dyDescent="0.3">
      <c r="A334" s="4">
        <v>45624</v>
      </c>
      <c r="B334">
        <f t="shared" si="40"/>
        <v>2024</v>
      </c>
      <c r="C334">
        <f t="shared" si="41"/>
        <v>11</v>
      </c>
      <c r="D334" t="str">
        <f t="shared" si="42"/>
        <v>November</v>
      </c>
      <c r="E334">
        <f t="shared" si="43"/>
        <v>48</v>
      </c>
      <c r="F334">
        <f t="shared" si="44"/>
        <v>28</v>
      </c>
      <c r="G334" t="str">
        <f t="shared" si="45"/>
        <v>Thursday</v>
      </c>
      <c r="H334" t="b">
        <f t="shared" si="46"/>
        <v>0</v>
      </c>
      <c r="I334">
        <f t="shared" si="47"/>
        <v>333</v>
      </c>
      <c r="J334" t="s">
        <v>22</v>
      </c>
      <c r="K334">
        <v>20241128</v>
      </c>
    </row>
    <row r="335" spans="1:11" x14ac:dyDescent="0.3">
      <c r="A335" s="4">
        <v>45625</v>
      </c>
      <c r="B335">
        <f t="shared" si="40"/>
        <v>2024</v>
      </c>
      <c r="C335">
        <f t="shared" si="41"/>
        <v>11</v>
      </c>
      <c r="D335" t="str">
        <f t="shared" si="42"/>
        <v>November</v>
      </c>
      <c r="E335">
        <f t="shared" si="43"/>
        <v>48</v>
      </c>
      <c r="F335">
        <f t="shared" si="44"/>
        <v>29</v>
      </c>
      <c r="G335" t="str">
        <f t="shared" si="45"/>
        <v>Friday</v>
      </c>
      <c r="H335" t="b">
        <f t="shared" si="46"/>
        <v>0</v>
      </c>
      <c r="I335">
        <f t="shared" si="47"/>
        <v>334</v>
      </c>
      <c r="J335" t="s">
        <v>22</v>
      </c>
      <c r="K335">
        <v>20241129</v>
      </c>
    </row>
    <row r="336" spans="1:11" x14ac:dyDescent="0.3">
      <c r="A336" s="4">
        <v>45626</v>
      </c>
      <c r="B336">
        <f t="shared" si="40"/>
        <v>2024</v>
      </c>
      <c r="C336">
        <f t="shared" si="41"/>
        <v>11</v>
      </c>
      <c r="D336" t="str">
        <f t="shared" si="42"/>
        <v>November</v>
      </c>
      <c r="E336">
        <f t="shared" si="43"/>
        <v>48</v>
      </c>
      <c r="F336">
        <f t="shared" si="44"/>
        <v>30</v>
      </c>
      <c r="G336" t="str">
        <f t="shared" si="45"/>
        <v>Saturday</v>
      </c>
      <c r="H336" t="b">
        <f t="shared" si="46"/>
        <v>1</v>
      </c>
      <c r="I336">
        <f t="shared" si="47"/>
        <v>335</v>
      </c>
      <c r="J336" t="s">
        <v>22</v>
      </c>
      <c r="K336">
        <v>20241130</v>
      </c>
    </row>
    <row r="337" spans="1:11" x14ac:dyDescent="0.3">
      <c r="A337" s="4">
        <v>45627</v>
      </c>
      <c r="B337">
        <f t="shared" si="40"/>
        <v>2024</v>
      </c>
      <c r="C337">
        <f t="shared" si="41"/>
        <v>12</v>
      </c>
      <c r="D337" t="str">
        <f t="shared" si="42"/>
        <v>December</v>
      </c>
      <c r="E337">
        <f t="shared" si="43"/>
        <v>49</v>
      </c>
      <c r="F337">
        <f t="shared" si="44"/>
        <v>1</v>
      </c>
      <c r="G337" t="str">
        <f t="shared" si="45"/>
        <v>Sunday</v>
      </c>
      <c r="H337" t="b">
        <f t="shared" si="46"/>
        <v>1</v>
      </c>
      <c r="I337">
        <f t="shared" si="47"/>
        <v>336</v>
      </c>
      <c r="J337" t="s">
        <v>22</v>
      </c>
      <c r="K337">
        <v>20241201</v>
      </c>
    </row>
    <row r="338" spans="1:11" x14ac:dyDescent="0.3">
      <c r="A338" s="4">
        <v>45628</v>
      </c>
      <c r="B338">
        <f t="shared" si="40"/>
        <v>2024</v>
      </c>
      <c r="C338">
        <f t="shared" si="41"/>
        <v>12</v>
      </c>
      <c r="D338" t="str">
        <f t="shared" si="42"/>
        <v>December</v>
      </c>
      <c r="E338">
        <f t="shared" si="43"/>
        <v>49</v>
      </c>
      <c r="F338">
        <f t="shared" si="44"/>
        <v>2</v>
      </c>
      <c r="G338" t="str">
        <f t="shared" si="45"/>
        <v>Monday</v>
      </c>
      <c r="H338" t="b">
        <f t="shared" si="46"/>
        <v>0</v>
      </c>
      <c r="I338">
        <f t="shared" si="47"/>
        <v>337</v>
      </c>
      <c r="J338" t="s">
        <v>22</v>
      </c>
      <c r="K338">
        <v>20241202</v>
      </c>
    </row>
    <row r="339" spans="1:11" x14ac:dyDescent="0.3">
      <c r="A339" s="4">
        <v>45629</v>
      </c>
      <c r="B339">
        <f t="shared" si="40"/>
        <v>2024</v>
      </c>
      <c r="C339">
        <f t="shared" si="41"/>
        <v>12</v>
      </c>
      <c r="D339" t="str">
        <f t="shared" si="42"/>
        <v>December</v>
      </c>
      <c r="E339">
        <f t="shared" si="43"/>
        <v>49</v>
      </c>
      <c r="F339">
        <f t="shared" si="44"/>
        <v>3</v>
      </c>
      <c r="G339" t="str">
        <f t="shared" si="45"/>
        <v>Tuesday</v>
      </c>
      <c r="H339" t="b">
        <f t="shared" si="46"/>
        <v>0</v>
      </c>
      <c r="I339">
        <f t="shared" si="47"/>
        <v>338</v>
      </c>
      <c r="J339" t="s">
        <v>22</v>
      </c>
      <c r="K339">
        <v>20241203</v>
      </c>
    </row>
    <row r="340" spans="1:11" x14ac:dyDescent="0.3">
      <c r="A340" s="4">
        <v>45630</v>
      </c>
      <c r="B340">
        <f t="shared" si="40"/>
        <v>2024</v>
      </c>
      <c r="C340">
        <f t="shared" si="41"/>
        <v>12</v>
      </c>
      <c r="D340" t="str">
        <f t="shared" si="42"/>
        <v>December</v>
      </c>
      <c r="E340">
        <f t="shared" si="43"/>
        <v>49</v>
      </c>
      <c r="F340">
        <f t="shared" si="44"/>
        <v>4</v>
      </c>
      <c r="G340" t="str">
        <f t="shared" si="45"/>
        <v>Wednesday</v>
      </c>
      <c r="H340" t="b">
        <f t="shared" si="46"/>
        <v>0</v>
      </c>
      <c r="I340">
        <f t="shared" si="47"/>
        <v>339</v>
      </c>
      <c r="J340" t="s">
        <v>22</v>
      </c>
      <c r="K340">
        <v>20241204</v>
      </c>
    </row>
    <row r="341" spans="1:11" x14ac:dyDescent="0.3">
      <c r="A341" s="4">
        <v>45631</v>
      </c>
      <c r="B341">
        <f t="shared" si="40"/>
        <v>2024</v>
      </c>
      <c r="C341">
        <f t="shared" si="41"/>
        <v>12</v>
      </c>
      <c r="D341" t="str">
        <f t="shared" si="42"/>
        <v>December</v>
      </c>
      <c r="E341">
        <f t="shared" si="43"/>
        <v>49</v>
      </c>
      <c r="F341">
        <f t="shared" si="44"/>
        <v>5</v>
      </c>
      <c r="G341" t="str">
        <f t="shared" si="45"/>
        <v>Thursday</v>
      </c>
      <c r="H341" t="b">
        <f t="shared" si="46"/>
        <v>0</v>
      </c>
      <c r="I341">
        <f t="shared" si="47"/>
        <v>340</v>
      </c>
      <c r="J341" t="s">
        <v>22</v>
      </c>
      <c r="K341">
        <v>20241205</v>
      </c>
    </row>
    <row r="342" spans="1:11" x14ac:dyDescent="0.3">
      <c r="A342" s="4">
        <v>45632</v>
      </c>
      <c r="B342">
        <f t="shared" si="40"/>
        <v>2024</v>
      </c>
      <c r="C342">
        <f t="shared" si="41"/>
        <v>12</v>
      </c>
      <c r="D342" t="str">
        <f t="shared" si="42"/>
        <v>December</v>
      </c>
      <c r="E342">
        <f t="shared" si="43"/>
        <v>49</v>
      </c>
      <c r="F342">
        <f t="shared" si="44"/>
        <v>6</v>
      </c>
      <c r="G342" t="str">
        <f t="shared" si="45"/>
        <v>Friday</v>
      </c>
      <c r="H342" t="b">
        <f t="shared" si="46"/>
        <v>0</v>
      </c>
      <c r="I342">
        <f t="shared" si="47"/>
        <v>341</v>
      </c>
      <c r="J342" t="s">
        <v>22</v>
      </c>
      <c r="K342">
        <v>20241206</v>
      </c>
    </row>
    <row r="343" spans="1:11" x14ac:dyDescent="0.3">
      <c r="A343" s="4">
        <v>45633</v>
      </c>
      <c r="B343">
        <f t="shared" si="40"/>
        <v>2024</v>
      </c>
      <c r="C343">
        <f t="shared" si="41"/>
        <v>12</v>
      </c>
      <c r="D343" t="str">
        <f t="shared" si="42"/>
        <v>December</v>
      </c>
      <c r="E343">
        <f t="shared" si="43"/>
        <v>49</v>
      </c>
      <c r="F343">
        <f t="shared" si="44"/>
        <v>7</v>
      </c>
      <c r="G343" t="str">
        <f t="shared" si="45"/>
        <v>Saturday</v>
      </c>
      <c r="H343" t="b">
        <f t="shared" si="46"/>
        <v>1</v>
      </c>
      <c r="I343">
        <f t="shared" si="47"/>
        <v>342</v>
      </c>
      <c r="J343" t="s">
        <v>22</v>
      </c>
      <c r="K343">
        <v>20241207</v>
      </c>
    </row>
    <row r="344" spans="1:11" x14ac:dyDescent="0.3">
      <c r="A344" s="4">
        <v>45634</v>
      </c>
      <c r="B344">
        <f t="shared" si="40"/>
        <v>2024</v>
      </c>
      <c r="C344">
        <f t="shared" si="41"/>
        <v>12</v>
      </c>
      <c r="D344" t="str">
        <f t="shared" si="42"/>
        <v>December</v>
      </c>
      <c r="E344">
        <f t="shared" si="43"/>
        <v>50</v>
      </c>
      <c r="F344">
        <f t="shared" si="44"/>
        <v>8</v>
      </c>
      <c r="G344" t="str">
        <f t="shared" si="45"/>
        <v>Sunday</v>
      </c>
      <c r="H344" t="b">
        <f t="shared" si="46"/>
        <v>1</v>
      </c>
      <c r="I344">
        <f t="shared" si="47"/>
        <v>343</v>
      </c>
      <c r="J344" t="s">
        <v>22</v>
      </c>
      <c r="K344">
        <v>20241208</v>
      </c>
    </row>
    <row r="345" spans="1:11" x14ac:dyDescent="0.3">
      <c r="A345" s="4">
        <v>45635</v>
      </c>
      <c r="B345">
        <f t="shared" si="40"/>
        <v>2024</v>
      </c>
      <c r="C345">
        <f t="shared" si="41"/>
        <v>12</v>
      </c>
      <c r="D345" t="str">
        <f t="shared" si="42"/>
        <v>December</v>
      </c>
      <c r="E345">
        <f t="shared" si="43"/>
        <v>50</v>
      </c>
      <c r="F345">
        <f t="shared" si="44"/>
        <v>9</v>
      </c>
      <c r="G345" t="str">
        <f t="shared" si="45"/>
        <v>Monday</v>
      </c>
      <c r="H345" t="b">
        <f t="shared" si="46"/>
        <v>0</v>
      </c>
      <c r="I345">
        <f t="shared" si="47"/>
        <v>344</v>
      </c>
      <c r="J345" t="s">
        <v>22</v>
      </c>
      <c r="K345">
        <v>20241209</v>
      </c>
    </row>
    <row r="346" spans="1:11" x14ac:dyDescent="0.3">
      <c r="A346" s="4">
        <v>45636</v>
      </c>
      <c r="B346">
        <f t="shared" si="40"/>
        <v>2024</v>
      </c>
      <c r="C346">
        <f t="shared" si="41"/>
        <v>12</v>
      </c>
      <c r="D346" t="str">
        <f t="shared" si="42"/>
        <v>December</v>
      </c>
      <c r="E346">
        <f t="shared" si="43"/>
        <v>50</v>
      </c>
      <c r="F346">
        <f t="shared" si="44"/>
        <v>10</v>
      </c>
      <c r="G346" t="str">
        <f t="shared" si="45"/>
        <v>Tuesday</v>
      </c>
      <c r="H346" t="b">
        <f t="shared" si="46"/>
        <v>0</v>
      </c>
      <c r="I346">
        <f t="shared" si="47"/>
        <v>345</v>
      </c>
      <c r="J346" t="s">
        <v>22</v>
      </c>
      <c r="K346">
        <v>20241210</v>
      </c>
    </row>
    <row r="347" spans="1:11" x14ac:dyDescent="0.3">
      <c r="A347" s="4">
        <v>45637</v>
      </c>
      <c r="B347">
        <f t="shared" si="40"/>
        <v>2024</v>
      </c>
      <c r="C347">
        <f t="shared" si="41"/>
        <v>12</v>
      </c>
      <c r="D347" t="str">
        <f t="shared" si="42"/>
        <v>December</v>
      </c>
      <c r="E347">
        <f t="shared" si="43"/>
        <v>50</v>
      </c>
      <c r="F347">
        <f t="shared" si="44"/>
        <v>11</v>
      </c>
      <c r="G347" t="str">
        <f t="shared" si="45"/>
        <v>Wednesday</v>
      </c>
      <c r="H347" t="b">
        <f t="shared" si="46"/>
        <v>0</v>
      </c>
      <c r="I347">
        <f t="shared" si="47"/>
        <v>346</v>
      </c>
      <c r="J347" t="s">
        <v>22</v>
      </c>
      <c r="K347">
        <v>20241211</v>
      </c>
    </row>
    <row r="348" spans="1:11" x14ac:dyDescent="0.3">
      <c r="A348" s="4">
        <v>45638</v>
      </c>
      <c r="B348">
        <f t="shared" si="40"/>
        <v>2024</v>
      </c>
      <c r="C348">
        <f t="shared" si="41"/>
        <v>12</v>
      </c>
      <c r="D348" t="str">
        <f t="shared" si="42"/>
        <v>December</v>
      </c>
      <c r="E348">
        <f t="shared" si="43"/>
        <v>50</v>
      </c>
      <c r="F348">
        <f t="shared" si="44"/>
        <v>12</v>
      </c>
      <c r="G348" t="str">
        <f t="shared" si="45"/>
        <v>Thursday</v>
      </c>
      <c r="H348" t="b">
        <f t="shared" si="46"/>
        <v>0</v>
      </c>
      <c r="I348">
        <f t="shared" si="47"/>
        <v>347</v>
      </c>
      <c r="J348" t="s">
        <v>22</v>
      </c>
      <c r="K348">
        <v>20241212</v>
      </c>
    </row>
    <row r="349" spans="1:11" x14ac:dyDescent="0.3">
      <c r="A349" s="4">
        <v>45639</v>
      </c>
      <c r="B349">
        <f t="shared" si="40"/>
        <v>2024</v>
      </c>
      <c r="C349">
        <f t="shared" si="41"/>
        <v>12</v>
      </c>
      <c r="D349" t="str">
        <f t="shared" si="42"/>
        <v>December</v>
      </c>
      <c r="E349">
        <f t="shared" si="43"/>
        <v>50</v>
      </c>
      <c r="F349">
        <f t="shared" si="44"/>
        <v>13</v>
      </c>
      <c r="G349" t="str">
        <f t="shared" si="45"/>
        <v>Friday</v>
      </c>
      <c r="H349" t="b">
        <f t="shared" si="46"/>
        <v>0</v>
      </c>
      <c r="I349">
        <f t="shared" si="47"/>
        <v>348</v>
      </c>
      <c r="J349" t="s">
        <v>22</v>
      </c>
      <c r="K349">
        <v>20241213</v>
      </c>
    </row>
    <row r="350" spans="1:11" x14ac:dyDescent="0.3">
      <c r="A350" s="4">
        <v>45640</v>
      </c>
      <c r="B350">
        <f t="shared" si="40"/>
        <v>2024</v>
      </c>
      <c r="C350">
        <f t="shared" si="41"/>
        <v>12</v>
      </c>
      <c r="D350" t="str">
        <f t="shared" si="42"/>
        <v>December</v>
      </c>
      <c r="E350">
        <f t="shared" si="43"/>
        <v>50</v>
      </c>
      <c r="F350">
        <f t="shared" si="44"/>
        <v>14</v>
      </c>
      <c r="G350" t="str">
        <f t="shared" si="45"/>
        <v>Saturday</v>
      </c>
      <c r="H350" t="b">
        <f t="shared" si="46"/>
        <v>1</v>
      </c>
      <c r="I350">
        <f t="shared" si="47"/>
        <v>349</v>
      </c>
      <c r="J350" t="s">
        <v>22</v>
      </c>
      <c r="K350">
        <v>20241214</v>
      </c>
    </row>
    <row r="351" spans="1:11" x14ac:dyDescent="0.3">
      <c r="A351" s="4">
        <v>45641</v>
      </c>
      <c r="B351">
        <f t="shared" si="40"/>
        <v>2024</v>
      </c>
      <c r="C351">
        <f t="shared" si="41"/>
        <v>12</v>
      </c>
      <c r="D351" t="str">
        <f t="shared" si="42"/>
        <v>December</v>
      </c>
      <c r="E351">
        <f t="shared" si="43"/>
        <v>51</v>
      </c>
      <c r="F351">
        <f t="shared" si="44"/>
        <v>15</v>
      </c>
      <c r="G351" t="str">
        <f t="shared" si="45"/>
        <v>Sunday</v>
      </c>
      <c r="H351" t="b">
        <f t="shared" si="46"/>
        <v>1</v>
      </c>
      <c r="I351">
        <f t="shared" si="47"/>
        <v>350</v>
      </c>
      <c r="J351" t="s">
        <v>22</v>
      </c>
      <c r="K351">
        <v>20241215</v>
      </c>
    </row>
    <row r="352" spans="1:11" x14ac:dyDescent="0.3">
      <c r="A352" s="4">
        <v>45642</v>
      </c>
      <c r="B352">
        <f t="shared" si="40"/>
        <v>2024</v>
      </c>
      <c r="C352">
        <f t="shared" si="41"/>
        <v>12</v>
      </c>
      <c r="D352" t="str">
        <f t="shared" si="42"/>
        <v>December</v>
      </c>
      <c r="E352">
        <f t="shared" si="43"/>
        <v>51</v>
      </c>
      <c r="F352">
        <f t="shared" si="44"/>
        <v>16</v>
      </c>
      <c r="G352" t="str">
        <f t="shared" si="45"/>
        <v>Monday</v>
      </c>
      <c r="H352" t="b">
        <f t="shared" si="46"/>
        <v>0</v>
      </c>
      <c r="I352">
        <f t="shared" si="47"/>
        <v>351</v>
      </c>
      <c r="J352" t="s">
        <v>22</v>
      </c>
      <c r="K352">
        <v>20241216</v>
      </c>
    </row>
    <row r="353" spans="1:11" x14ac:dyDescent="0.3">
      <c r="A353" s="4">
        <v>45643</v>
      </c>
      <c r="B353">
        <f t="shared" si="40"/>
        <v>2024</v>
      </c>
      <c r="C353">
        <f t="shared" si="41"/>
        <v>12</v>
      </c>
      <c r="D353" t="str">
        <f t="shared" si="42"/>
        <v>December</v>
      </c>
      <c r="E353">
        <f t="shared" si="43"/>
        <v>51</v>
      </c>
      <c r="F353">
        <f t="shared" si="44"/>
        <v>17</v>
      </c>
      <c r="G353" t="str">
        <f t="shared" si="45"/>
        <v>Tuesday</v>
      </c>
      <c r="H353" t="b">
        <f t="shared" si="46"/>
        <v>0</v>
      </c>
      <c r="I353">
        <f t="shared" si="47"/>
        <v>352</v>
      </c>
      <c r="J353" t="s">
        <v>22</v>
      </c>
      <c r="K353">
        <v>20241217</v>
      </c>
    </row>
    <row r="354" spans="1:11" x14ac:dyDescent="0.3">
      <c r="A354" s="4">
        <v>45644</v>
      </c>
      <c r="B354">
        <f t="shared" si="40"/>
        <v>2024</v>
      </c>
      <c r="C354">
        <f t="shared" si="41"/>
        <v>12</v>
      </c>
      <c r="D354" t="str">
        <f t="shared" si="42"/>
        <v>December</v>
      </c>
      <c r="E354">
        <f t="shared" si="43"/>
        <v>51</v>
      </c>
      <c r="F354">
        <f t="shared" si="44"/>
        <v>18</v>
      </c>
      <c r="G354" t="str">
        <f t="shared" si="45"/>
        <v>Wednesday</v>
      </c>
      <c r="H354" t="b">
        <f t="shared" si="46"/>
        <v>0</v>
      </c>
      <c r="I354">
        <f t="shared" si="47"/>
        <v>353</v>
      </c>
      <c r="J354" t="s">
        <v>22</v>
      </c>
      <c r="K354">
        <v>20241218</v>
      </c>
    </row>
    <row r="355" spans="1:11" x14ac:dyDescent="0.3">
      <c r="A355" s="4">
        <v>45645</v>
      </c>
      <c r="B355">
        <f t="shared" si="40"/>
        <v>2024</v>
      </c>
      <c r="C355">
        <f t="shared" si="41"/>
        <v>12</v>
      </c>
      <c r="D355" t="str">
        <f t="shared" si="42"/>
        <v>December</v>
      </c>
      <c r="E355">
        <f t="shared" si="43"/>
        <v>51</v>
      </c>
      <c r="F355">
        <f t="shared" si="44"/>
        <v>19</v>
      </c>
      <c r="G355" t="str">
        <f t="shared" si="45"/>
        <v>Thursday</v>
      </c>
      <c r="H355" t="b">
        <f t="shared" si="46"/>
        <v>0</v>
      </c>
      <c r="I355">
        <f t="shared" si="47"/>
        <v>354</v>
      </c>
      <c r="J355" t="s">
        <v>22</v>
      </c>
      <c r="K355">
        <v>20241219</v>
      </c>
    </row>
    <row r="356" spans="1:11" x14ac:dyDescent="0.3">
      <c r="A356" s="4">
        <v>45646</v>
      </c>
      <c r="B356">
        <f t="shared" si="40"/>
        <v>2024</v>
      </c>
      <c r="C356">
        <f t="shared" si="41"/>
        <v>12</v>
      </c>
      <c r="D356" t="str">
        <f t="shared" si="42"/>
        <v>December</v>
      </c>
      <c r="E356">
        <f t="shared" si="43"/>
        <v>51</v>
      </c>
      <c r="F356">
        <f t="shared" si="44"/>
        <v>20</v>
      </c>
      <c r="G356" t="str">
        <f t="shared" si="45"/>
        <v>Friday</v>
      </c>
      <c r="H356" t="b">
        <f t="shared" si="46"/>
        <v>0</v>
      </c>
      <c r="I356">
        <f t="shared" si="47"/>
        <v>355</v>
      </c>
      <c r="J356" t="s">
        <v>22</v>
      </c>
      <c r="K356">
        <v>20241220</v>
      </c>
    </row>
    <row r="357" spans="1:11" x14ac:dyDescent="0.3">
      <c r="A357" s="4">
        <v>45647</v>
      </c>
      <c r="B357">
        <f t="shared" si="40"/>
        <v>2024</v>
      </c>
      <c r="C357">
        <f t="shared" si="41"/>
        <v>12</v>
      </c>
      <c r="D357" t="str">
        <f t="shared" si="42"/>
        <v>December</v>
      </c>
      <c r="E357">
        <f t="shared" si="43"/>
        <v>51</v>
      </c>
      <c r="F357">
        <f t="shared" si="44"/>
        <v>21</v>
      </c>
      <c r="G357" t="str">
        <f t="shared" si="45"/>
        <v>Saturday</v>
      </c>
      <c r="H357" t="b">
        <f t="shared" si="46"/>
        <v>1</v>
      </c>
      <c r="I357">
        <f t="shared" si="47"/>
        <v>356</v>
      </c>
      <c r="J357" t="s">
        <v>22</v>
      </c>
      <c r="K357">
        <v>20241221</v>
      </c>
    </row>
    <row r="358" spans="1:11" x14ac:dyDescent="0.3">
      <c r="A358" s="4">
        <v>45648</v>
      </c>
      <c r="B358">
        <f t="shared" si="40"/>
        <v>2024</v>
      </c>
      <c r="C358">
        <f t="shared" si="41"/>
        <v>12</v>
      </c>
      <c r="D358" t="str">
        <f t="shared" si="42"/>
        <v>December</v>
      </c>
      <c r="E358">
        <f t="shared" si="43"/>
        <v>52</v>
      </c>
      <c r="F358">
        <f t="shared" si="44"/>
        <v>22</v>
      </c>
      <c r="G358" t="str">
        <f t="shared" si="45"/>
        <v>Sunday</v>
      </c>
      <c r="H358" t="b">
        <f t="shared" si="46"/>
        <v>1</v>
      </c>
      <c r="I358">
        <f t="shared" si="47"/>
        <v>357</v>
      </c>
      <c r="J358" t="s">
        <v>22</v>
      </c>
      <c r="K358">
        <v>20241222</v>
      </c>
    </row>
    <row r="359" spans="1:11" x14ac:dyDescent="0.3">
      <c r="A359" s="4">
        <v>45649</v>
      </c>
      <c r="B359">
        <f t="shared" si="40"/>
        <v>2024</v>
      </c>
      <c r="C359">
        <f t="shared" si="41"/>
        <v>12</v>
      </c>
      <c r="D359" t="str">
        <f t="shared" si="42"/>
        <v>December</v>
      </c>
      <c r="E359">
        <f t="shared" si="43"/>
        <v>52</v>
      </c>
      <c r="F359">
        <f t="shared" si="44"/>
        <v>23</v>
      </c>
      <c r="G359" t="str">
        <f t="shared" si="45"/>
        <v>Monday</v>
      </c>
      <c r="H359" t="b">
        <f t="shared" si="46"/>
        <v>0</v>
      </c>
      <c r="I359">
        <f t="shared" si="47"/>
        <v>358</v>
      </c>
      <c r="J359" t="s">
        <v>22</v>
      </c>
      <c r="K359">
        <v>20241223</v>
      </c>
    </row>
    <row r="360" spans="1:11" x14ac:dyDescent="0.3">
      <c r="A360" s="4">
        <v>45650</v>
      </c>
      <c r="B360">
        <f t="shared" si="40"/>
        <v>2024</v>
      </c>
      <c r="C360">
        <f t="shared" si="41"/>
        <v>12</v>
      </c>
      <c r="D360" t="str">
        <f t="shared" si="42"/>
        <v>December</v>
      </c>
      <c r="E360">
        <f t="shared" si="43"/>
        <v>52</v>
      </c>
      <c r="F360">
        <f t="shared" si="44"/>
        <v>24</v>
      </c>
      <c r="G360" t="str">
        <f t="shared" si="45"/>
        <v>Tuesday</v>
      </c>
      <c r="H360" t="b">
        <f t="shared" si="46"/>
        <v>0</v>
      </c>
      <c r="I360">
        <f t="shared" si="47"/>
        <v>359</v>
      </c>
      <c r="J360" t="s">
        <v>22</v>
      </c>
      <c r="K360">
        <v>20241224</v>
      </c>
    </row>
    <row r="361" spans="1:11" x14ac:dyDescent="0.3">
      <c r="A361" s="4">
        <v>45651</v>
      </c>
      <c r="B361">
        <f t="shared" si="40"/>
        <v>2024</v>
      </c>
      <c r="C361">
        <f t="shared" si="41"/>
        <v>12</v>
      </c>
      <c r="D361" t="str">
        <f t="shared" si="42"/>
        <v>December</v>
      </c>
      <c r="E361">
        <f t="shared" si="43"/>
        <v>52</v>
      </c>
      <c r="F361">
        <f t="shared" si="44"/>
        <v>25</v>
      </c>
      <c r="G361" t="str">
        <f t="shared" si="45"/>
        <v>Wednesday</v>
      </c>
      <c r="H361" t="b">
        <f t="shared" si="46"/>
        <v>0</v>
      </c>
      <c r="I361">
        <f t="shared" si="47"/>
        <v>360</v>
      </c>
      <c r="J361" t="s">
        <v>22</v>
      </c>
      <c r="K361">
        <v>20241225</v>
      </c>
    </row>
    <row r="362" spans="1:11" x14ac:dyDescent="0.3">
      <c r="A362" s="4">
        <v>45652</v>
      </c>
      <c r="B362">
        <f t="shared" si="40"/>
        <v>2024</v>
      </c>
      <c r="C362">
        <f t="shared" si="41"/>
        <v>12</v>
      </c>
      <c r="D362" t="str">
        <f t="shared" si="42"/>
        <v>December</v>
      </c>
      <c r="E362">
        <f t="shared" si="43"/>
        <v>52</v>
      </c>
      <c r="F362">
        <f t="shared" si="44"/>
        <v>26</v>
      </c>
      <c r="G362" t="str">
        <f t="shared" si="45"/>
        <v>Thursday</v>
      </c>
      <c r="H362" t="b">
        <f t="shared" si="46"/>
        <v>0</v>
      </c>
      <c r="I362">
        <f t="shared" si="47"/>
        <v>361</v>
      </c>
      <c r="J362" t="s">
        <v>22</v>
      </c>
      <c r="K362">
        <v>20241226</v>
      </c>
    </row>
    <row r="363" spans="1:11" x14ac:dyDescent="0.3">
      <c r="A363" s="4">
        <v>45653</v>
      </c>
      <c r="B363">
        <f t="shared" si="40"/>
        <v>2024</v>
      </c>
      <c r="C363">
        <f t="shared" si="41"/>
        <v>12</v>
      </c>
      <c r="D363" t="str">
        <f t="shared" si="42"/>
        <v>December</v>
      </c>
      <c r="E363">
        <f t="shared" si="43"/>
        <v>52</v>
      </c>
      <c r="F363">
        <f t="shared" si="44"/>
        <v>27</v>
      </c>
      <c r="G363" t="str">
        <f t="shared" si="45"/>
        <v>Friday</v>
      </c>
      <c r="H363" t="b">
        <f t="shared" si="46"/>
        <v>0</v>
      </c>
      <c r="I363">
        <f t="shared" si="47"/>
        <v>362</v>
      </c>
      <c r="J363" t="s">
        <v>22</v>
      </c>
      <c r="K363">
        <v>20241227</v>
      </c>
    </row>
    <row r="364" spans="1:11" x14ac:dyDescent="0.3">
      <c r="A364" s="4">
        <v>45654</v>
      </c>
      <c r="B364">
        <f t="shared" si="40"/>
        <v>2024</v>
      </c>
      <c r="C364">
        <f t="shared" si="41"/>
        <v>12</v>
      </c>
      <c r="D364" t="str">
        <f t="shared" si="42"/>
        <v>December</v>
      </c>
      <c r="E364">
        <f t="shared" si="43"/>
        <v>52</v>
      </c>
      <c r="F364">
        <f t="shared" si="44"/>
        <v>28</v>
      </c>
      <c r="G364" t="str">
        <f t="shared" si="45"/>
        <v>Saturday</v>
      </c>
      <c r="H364" t="b">
        <f t="shared" si="46"/>
        <v>1</v>
      </c>
      <c r="I364">
        <f t="shared" si="47"/>
        <v>363</v>
      </c>
      <c r="J364" t="s">
        <v>22</v>
      </c>
      <c r="K364">
        <v>20241228</v>
      </c>
    </row>
    <row r="365" spans="1:11" x14ac:dyDescent="0.3">
      <c r="A365" s="4">
        <v>45655</v>
      </c>
      <c r="B365">
        <f t="shared" si="40"/>
        <v>2024</v>
      </c>
      <c r="C365">
        <f t="shared" si="41"/>
        <v>12</v>
      </c>
      <c r="D365" t="str">
        <f t="shared" si="42"/>
        <v>December</v>
      </c>
      <c r="E365">
        <f t="shared" si="43"/>
        <v>53</v>
      </c>
      <c r="F365">
        <f t="shared" si="44"/>
        <v>29</v>
      </c>
      <c r="G365" t="str">
        <f t="shared" si="45"/>
        <v>Sunday</v>
      </c>
      <c r="H365" t="b">
        <f t="shared" si="46"/>
        <v>1</v>
      </c>
      <c r="I365">
        <f t="shared" si="47"/>
        <v>364</v>
      </c>
      <c r="J365" t="s">
        <v>22</v>
      </c>
      <c r="K365">
        <v>20241229</v>
      </c>
    </row>
    <row r="366" spans="1:11" x14ac:dyDescent="0.3">
      <c r="A366" s="4">
        <v>45656</v>
      </c>
      <c r="B366">
        <f t="shared" si="40"/>
        <v>2024</v>
      </c>
      <c r="C366">
        <f t="shared" si="41"/>
        <v>12</v>
      </c>
      <c r="D366" t="str">
        <f t="shared" si="42"/>
        <v>December</v>
      </c>
      <c r="E366">
        <f t="shared" si="43"/>
        <v>53</v>
      </c>
      <c r="F366">
        <f t="shared" si="44"/>
        <v>30</v>
      </c>
      <c r="G366" t="str">
        <f t="shared" si="45"/>
        <v>Monday</v>
      </c>
      <c r="H366" t="b">
        <f t="shared" si="46"/>
        <v>0</v>
      </c>
      <c r="I366">
        <f t="shared" si="47"/>
        <v>365</v>
      </c>
      <c r="J366" t="s">
        <v>22</v>
      </c>
      <c r="K366">
        <v>20241230</v>
      </c>
    </row>
    <row r="367" spans="1:11" x14ac:dyDescent="0.3">
      <c r="A367" s="4">
        <v>45657</v>
      </c>
      <c r="B367">
        <f t="shared" si="40"/>
        <v>2024</v>
      </c>
      <c r="C367">
        <f t="shared" si="41"/>
        <v>12</v>
      </c>
      <c r="D367" t="str">
        <f t="shared" si="42"/>
        <v>December</v>
      </c>
      <c r="E367">
        <f t="shared" si="43"/>
        <v>53</v>
      </c>
      <c r="F367">
        <f t="shared" si="44"/>
        <v>31</v>
      </c>
      <c r="G367" t="str">
        <f t="shared" si="45"/>
        <v>Tuesday</v>
      </c>
      <c r="H367" t="b">
        <f t="shared" si="46"/>
        <v>0</v>
      </c>
      <c r="I367">
        <f t="shared" si="47"/>
        <v>366</v>
      </c>
      <c r="J367" t="s">
        <v>22</v>
      </c>
      <c r="K367">
        <v>20241231</v>
      </c>
    </row>
    <row r="368" spans="1:11" x14ac:dyDescent="0.3">
      <c r="A368" s="4">
        <v>45658</v>
      </c>
      <c r="B368">
        <f t="shared" si="40"/>
        <v>2025</v>
      </c>
      <c r="C368">
        <f t="shared" si="41"/>
        <v>1</v>
      </c>
      <c r="D368" t="str">
        <f t="shared" si="42"/>
        <v>January</v>
      </c>
      <c r="E368">
        <f t="shared" si="43"/>
        <v>1</v>
      </c>
      <c r="F368">
        <f t="shared" si="44"/>
        <v>1</v>
      </c>
      <c r="G368" t="str">
        <f t="shared" si="45"/>
        <v>Wednesday</v>
      </c>
      <c r="H368" t="b">
        <f t="shared" si="46"/>
        <v>0</v>
      </c>
      <c r="I368">
        <f t="shared" si="47"/>
        <v>1</v>
      </c>
      <c r="J368" t="s">
        <v>22</v>
      </c>
      <c r="K368">
        <v>20250101</v>
      </c>
    </row>
    <row r="369" spans="1:11" x14ac:dyDescent="0.3">
      <c r="A369" s="4">
        <v>45659</v>
      </c>
      <c r="B369">
        <f t="shared" si="40"/>
        <v>2025</v>
      </c>
      <c r="C369">
        <f t="shared" si="41"/>
        <v>1</v>
      </c>
      <c r="D369" t="str">
        <f t="shared" si="42"/>
        <v>January</v>
      </c>
      <c r="E369">
        <f t="shared" si="43"/>
        <v>1</v>
      </c>
      <c r="F369">
        <f t="shared" si="44"/>
        <v>2</v>
      </c>
      <c r="G369" t="str">
        <f t="shared" si="45"/>
        <v>Thursday</v>
      </c>
      <c r="H369" t="b">
        <f t="shared" si="46"/>
        <v>0</v>
      </c>
      <c r="I369">
        <f t="shared" si="47"/>
        <v>2</v>
      </c>
      <c r="J369" t="s">
        <v>22</v>
      </c>
      <c r="K369">
        <v>20250102</v>
      </c>
    </row>
    <row r="370" spans="1:11" x14ac:dyDescent="0.3">
      <c r="A370" s="4">
        <v>45660</v>
      </c>
      <c r="B370">
        <f t="shared" si="40"/>
        <v>2025</v>
      </c>
      <c r="C370">
        <f t="shared" si="41"/>
        <v>1</v>
      </c>
      <c r="D370" t="str">
        <f t="shared" si="42"/>
        <v>January</v>
      </c>
      <c r="E370">
        <f t="shared" si="43"/>
        <v>1</v>
      </c>
      <c r="F370">
        <f t="shared" si="44"/>
        <v>3</v>
      </c>
      <c r="G370" t="str">
        <f t="shared" si="45"/>
        <v>Friday</v>
      </c>
      <c r="H370" t="b">
        <f t="shared" si="46"/>
        <v>0</v>
      </c>
      <c r="I370">
        <f t="shared" si="47"/>
        <v>3</v>
      </c>
      <c r="J370" t="s">
        <v>22</v>
      </c>
      <c r="K370">
        <v>20250103</v>
      </c>
    </row>
    <row r="371" spans="1:11" x14ac:dyDescent="0.3">
      <c r="A371" s="4">
        <v>45661</v>
      </c>
      <c r="B371">
        <f t="shared" si="40"/>
        <v>2025</v>
      </c>
      <c r="C371">
        <f t="shared" si="41"/>
        <v>1</v>
      </c>
      <c r="D371" t="str">
        <f t="shared" si="42"/>
        <v>January</v>
      </c>
      <c r="E371">
        <f t="shared" si="43"/>
        <v>1</v>
      </c>
      <c r="F371">
        <f t="shared" si="44"/>
        <v>4</v>
      </c>
      <c r="G371" t="str">
        <f t="shared" si="45"/>
        <v>Saturday</v>
      </c>
      <c r="H371" t="b">
        <f t="shared" si="46"/>
        <v>1</v>
      </c>
      <c r="I371">
        <f t="shared" si="47"/>
        <v>4</v>
      </c>
      <c r="J371" t="s">
        <v>22</v>
      </c>
      <c r="K371">
        <v>20250104</v>
      </c>
    </row>
    <row r="372" spans="1:11" x14ac:dyDescent="0.3">
      <c r="A372" s="4">
        <v>45662</v>
      </c>
      <c r="B372">
        <f t="shared" si="40"/>
        <v>2025</v>
      </c>
      <c r="C372">
        <f t="shared" si="41"/>
        <v>1</v>
      </c>
      <c r="D372" t="str">
        <f t="shared" si="42"/>
        <v>January</v>
      </c>
      <c r="E372">
        <f t="shared" si="43"/>
        <v>2</v>
      </c>
      <c r="F372">
        <f t="shared" si="44"/>
        <v>5</v>
      </c>
      <c r="G372" t="str">
        <f t="shared" si="45"/>
        <v>Sunday</v>
      </c>
      <c r="H372" t="b">
        <f t="shared" si="46"/>
        <v>1</v>
      </c>
      <c r="I372">
        <f t="shared" si="47"/>
        <v>5</v>
      </c>
      <c r="J372" t="s">
        <v>22</v>
      </c>
      <c r="K372">
        <v>20250105</v>
      </c>
    </row>
    <row r="373" spans="1:11" x14ac:dyDescent="0.3">
      <c r="A373" s="4">
        <v>45663</v>
      </c>
      <c r="B373">
        <f t="shared" si="40"/>
        <v>2025</v>
      </c>
      <c r="C373">
        <f t="shared" si="41"/>
        <v>1</v>
      </c>
      <c r="D373" t="str">
        <f t="shared" si="42"/>
        <v>January</v>
      </c>
      <c r="E373">
        <f t="shared" si="43"/>
        <v>2</v>
      </c>
      <c r="F373">
        <f t="shared" si="44"/>
        <v>6</v>
      </c>
      <c r="G373" t="str">
        <f t="shared" si="45"/>
        <v>Monday</v>
      </c>
      <c r="H373" t="b">
        <f t="shared" si="46"/>
        <v>0</v>
      </c>
      <c r="I373">
        <f t="shared" si="47"/>
        <v>6</v>
      </c>
      <c r="J373" t="s">
        <v>22</v>
      </c>
      <c r="K373">
        <v>20250106</v>
      </c>
    </row>
    <row r="374" spans="1:11" x14ac:dyDescent="0.3">
      <c r="A374" s="4">
        <v>45664</v>
      </c>
      <c r="B374">
        <f t="shared" si="40"/>
        <v>2025</v>
      </c>
      <c r="C374">
        <f t="shared" si="41"/>
        <v>1</v>
      </c>
      <c r="D374" t="str">
        <f t="shared" si="42"/>
        <v>January</v>
      </c>
      <c r="E374">
        <f t="shared" si="43"/>
        <v>2</v>
      </c>
      <c r="F374">
        <f t="shared" si="44"/>
        <v>7</v>
      </c>
      <c r="G374" t="str">
        <f t="shared" si="45"/>
        <v>Tuesday</v>
      </c>
      <c r="H374" t="b">
        <f t="shared" si="46"/>
        <v>0</v>
      </c>
      <c r="I374">
        <f t="shared" si="47"/>
        <v>7</v>
      </c>
      <c r="J374" t="s">
        <v>22</v>
      </c>
      <c r="K374">
        <v>20250107</v>
      </c>
    </row>
    <row r="375" spans="1:11" x14ac:dyDescent="0.3">
      <c r="A375" s="4">
        <v>45665</v>
      </c>
      <c r="B375">
        <f t="shared" si="40"/>
        <v>2025</v>
      </c>
      <c r="C375">
        <f t="shared" si="41"/>
        <v>1</v>
      </c>
      <c r="D375" t="str">
        <f t="shared" si="42"/>
        <v>January</v>
      </c>
      <c r="E375">
        <f t="shared" si="43"/>
        <v>2</v>
      </c>
      <c r="F375">
        <f t="shared" si="44"/>
        <v>8</v>
      </c>
      <c r="G375" t="str">
        <f t="shared" si="45"/>
        <v>Wednesday</v>
      </c>
      <c r="H375" t="b">
        <f t="shared" si="46"/>
        <v>0</v>
      </c>
      <c r="I375">
        <f t="shared" si="47"/>
        <v>8</v>
      </c>
      <c r="J375" t="s">
        <v>22</v>
      </c>
      <c r="K375">
        <v>20250108</v>
      </c>
    </row>
    <row r="376" spans="1:11" x14ac:dyDescent="0.3">
      <c r="A376" s="4">
        <v>45666</v>
      </c>
      <c r="B376">
        <f t="shared" si="40"/>
        <v>2025</v>
      </c>
      <c r="C376">
        <f t="shared" si="41"/>
        <v>1</v>
      </c>
      <c r="D376" t="str">
        <f t="shared" si="42"/>
        <v>January</v>
      </c>
      <c r="E376">
        <f t="shared" si="43"/>
        <v>2</v>
      </c>
      <c r="F376">
        <f t="shared" si="44"/>
        <v>9</v>
      </c>
      <c r="G376" t="str">
        <f t="shared" si="45"/>
        <v>Thursday</v>
      </c>
      <c r="H376" t="b">
        <f t="shared" si="46"/>
        <v>0</v>
      </c>
      <c r="I376">
        <f t="shared" si="47"/>
        <v>9</v>
      </c>
      <c r="J376" t="s">
        <v>22</v>
      </c>
      <c r="K376">
        <v>20250109</v>
      </c>
    </row>
    <row r="377" spans="1:11" x14ac:dyDescent="0.3">
      <c r="A377" s="4">
        <v>45667</v>
      </c>
      <c r="B377">
        <f t="shared" si="40"/>
        <v>2025</v>
      </c>
      <c r="C377">
        <f t="shared" si="41"/>
        <v>1</v>
      </c>
      <c r="D377" t="str">
        <f t="shared" si="42"/>
        <v>January</v>
      </c>
      <c r="E377">
        <f t="shared" si="43"/>
        <v>2</v>
      </c>
      <c r="F377">
        <f t="shared" si="44"/>
        <v>10</v>
      </c>
      <c r="G377" t="str">
        <f t="shared" si="45"/>
        <v>Friday</v>
      </c>
      <c r="H377" t="b">
        <f t="shared" si="46"/>
        <v>0</v>
      </c>
      <c r="I377">
        <f t="shared" si="47"/>
        <v>10</v>
      </c>
      <c r="J377" t="s">
        <v>22</v>
      </c>
      <c r="K377">
        <v>20250110</v>
      </c>
    </row>
    <row r="378" spans="1:11" x14ac:dyDescent="0.3">
      <c r="A378" s="4">
        <v>45668</v>
      </c>
      <c r="B378">
        <f t="shared" si="40"/>
        <v>2025</v>
      </c>
      <c r="C378">
        <f t="shared" si="41"/>
        <v>1</v>
      </c>
      <c r="D378" t="str">
        <f t="shared" si="42"/>
        <v>January</v>
      </c>
      <c r="E378">
        <f t="shared" si="43"/>
        <v>2</v>
      </c>
      <c r="F378">
        <f t="shared" si="44"/>
        <v>11</v>
      </c>
      <c r="G378" t="str">
        <f t="shared" si="45"/>
        <v>Saturday</v>
      </c>
      <c r="H378" t="b">
        <f t="shared" si="46"/>
        <v>1</v>
      </c>
      <c r="I378">
        <f t="shared" si="47"/>
        <v>11</v>
      </c>
      <c r="J378" t="s">
        <v>22</v>
      </c>
      <c r="K378">
        <v>20250111</v>
      </c>
    </row>
    <row r="379" spans="1:11" x14ac:dyDescent="0.3">
      <c r="A379" s="4">
        <v>45669</v>
      </c>
      <c r="B379">
        <f t="shared" si="40"/>
        <v>2025</v>
      </c>
      <c r="C379">
        <f t="shared" si="41"/>
        <v>1</v>
      </c>
      <c r="D379" t="str">
        <f t="shared" si="42"/>
        <v>January</v>
      </c>
      <c r="E379">
        <f t="shared" si="43"/>
        <v>3</v>
      </c>
      <c r="F379">
        <f t="shared" si="44"/>
        <v>12</v>
      </c>
      <c r="G379" t="str">
        <f t="shared" si="45"/>
        <v>Sunday</v>
      </c>
      <c r="H379" t="b">
        <f t="shared" si="46"/>
        <v>1</v>
      </c>
      <c r="I379">
        <f t="shared" si="47"/>
        <v>12</v>
      </c>
      <c r="J379" t="s">
        <v>22</v>
      </c>
      <c r="K379">
        <v>20250112</v>
      </c>
    </row>
    <row r="380" spans="1:11" x14ac:dyDescent="0.3">
      <c r="A380" s="4">
        <v>45670</v>
      </c>
      <c r="B380">
        <f t="shared" si="40"/>
        <v>2025</v>
      </c>
      <c r="C380">
        <f t="shared" si="41"/>
        <v>1</v>
      </c>
      <c r="D380" t="str">
        <f t="shared" si="42"/>
        <v>January</v>
      </c>
      <c r="E380">
        <f t="shared" si="43"/>
        <v>3</v>
      </c>
      <c r="F380">
        <f t="shared" si="44"/>
        <v>13</v>
      </c>
      <c r="G380" t="str">
        <f t="shared" si="45"/>
        <v>Monday</v>
      </c>
      <c r="H380" t="b">
        <f t="shared" si="46"/>
        <v>0</v>
      </c>
      <c r="I380">
        <f t="shared" si="47"/>
        <v>13</v>
      </c>
      <c r="J380" t="s">
        <v>22</v>
      </c>
      <c r="K380">
        <v>20250113</v>
      </c>
    </row>
    <row r="381" spans="1:11" x14ac:dyDescent="0.3">
      <c r="A381" s="4">
        <v>45671</v>
      </c>
      <c r="B381">
        <f t="shared" si="40"/>
        <v>2025</v>
      </c>
      <c r="C381">
        <f t="shared" si="41"/>
        <v>1</v>
      </c>
      <c r="D381" t="str">
        <f t="shared" si="42"/>
        <v>January</v>
      </c>
      <c r="E381">
        <f t="shared" si="43"/>
        <v>3</v>
      </c>
      <c r="F381">
        <f t="shared" si="44"/>
        <v>14</v>
      </c>
      <c r="G381" t="str">
        <f t="shared" si="45"/>
        <v>Tuesday</v>
      </c>
      <c r="H381" t="b">
        <f t="shared" si="46"/>
        <v>0</v>
      </c>
      <c r="I381">
        <f t="shared" si="47"/>
        <v>14</v>
      </c>
      <c r="J381" t="s">
        <v>22</v>
      </c>
      <c r="K381">
        <v>20250114</v>
      </c>
    </row>
    <row r="382" spans="1:11" x14ac:dyDescent="0.3">
      <c r="A382" s="4">
        <v>45672</v>
      </c>
      <c r="B382">
        <f t="shared" si="40"/>
        <v>2025</v>
      </c>
      <c r="C382">
        <f t="shared" si="41"/>
        <v>1</v>
      </c>
      <c r="D382" t="str">
        <f t="shared" si="42"/>
        <v>January</v>
      </c>
      <c r="E382">
        <f t="shared" si="43"/>
        <v>3</v>
      </c>
      <c r="F382">
        <f t="shared" si="44"/>
        <v>15</v>
      </c>
      <c r="G382" t="str">
        <f t="shared" si="45"/>
        <v>Wednesday</v>
      </c>
      <c r="H382" t="b">
        <f t="shared" si="46"/>
        <v>0</v>
      </c>
      <c r="I382">
        <f t="shared" si="47"/>
        <v>15</v>
      </c>
      <c r="J382" t="s">
        <v>22</v>
      </c>
      <c r="K382">
        <v>20250115</v>
      </c>
    </row>
    <row r="383" spans="1:11" x14ac:dyDescent="0.3">
      <c r="A383" s="4">
        <v>45673</v>
      </c>
      <c r="B383">
        <f t="shared" si="40"/>
        <v>2025</v>
      </c>
      <c r="C383">
        <f t="shared" si="41"/>
        <v>1</v>
      </c>
      <c r="D383" t="str">
        <f t="shared" si="42"/>
        <v>January</v>
      </c>
      <c r="E383">
        <f t="shared" si="43"/>
        <v>3</v>
      </c>
      <c r="F383">
        <f t="shared" si="44"/>
        <v>16</v>
      </c>
      <c r="G383" t="str">
        <f t="shared" si="45"/>
        <v>Thursday</v>
      </c>
      <c r="H383" t="b">
        <f t="shared" si="46"/>
        <v>0</v>
      </c>
      <c r="I383">
        <f t="shared" si="47"/>
        <v>16</v>
      </c>
      <c r="J383" t="s">
        <v>22</v>
      </c>
      <c r="K383">
        <v>20250116</v>
      </c>
    </row>
    <row r="384" spans="1:11" x14ac:dyDescent="0.3">
      <c r="A384" s="4">
        <v>45674</v>
      </c>
      <c r="B384">
        <f t="shared" si="40"/>
        <v>2025</v>
      </c>
      <c r="C384">
        <f t="shared" si="41"/>
        <v>1</v>
      </c>
      <c r="D384" t="str">
        <f t="shared" si="42"/>
        <v>January</v>
      </c>
      <c r="E384">
        <f t="shared" si="43"/>
        <v>3</v>
      </c>
      <c r="F384">
        <f t="shared" si="44"/>
        <v>17</v>
      </c>
      <c r="G384" t="str">
        <f t="shared" si="45"/>
        <v>Friday</v>
      </c>
      <c r="H384" t="b">
        <f t="shared" si="46"/>
        <v>0</v>
      </c>
      <c r="I384">
        <f t="shared" si="47"/>
        <v>17</v>
      </c>
      <c r="J384" t="s">
        <v>22</v>
      </c>
      <c r="K384">
        <v>20250117</v>
      </c>
    </row>
    <row r="385" spans="1:11" x14ac:dyDescent="0.3">
      <c r="A385" s="4">
        <v>45675</v>
      </c>
      <c r="B385">
        <f t="shared" si="40"/>
        <v>2025</v>
      </c>
      <c r="C385">
        <f t="shared" si="41"/>
        <v>1</v>
      </c>
      <c r="D385" t="str">
        <f t="shared" si="42"/>
        <v>January</v>
      </c>
      <c r="E385">
        <f t="shared" si="43"/>
        <v>3</v>
      </c>
      <c r="F385">
        <f t="shared" si="44"/>
        <v>18</v>
      </c>
      <c r="G385" t="str">
        <f t="shared" si="45"/>
        <v>Saturday</v>
      </c>
      <c r="H385" t="b">
        <f t="shared" si="46"/>
        <v>1</v>
      </c>
      <c r="I385">
        <f t="shared" si="47"/>
        <v>18</v>
      </c>
      <c r="J385" t="s">
        <v>22</v>
      </c>
      <c r="K385">
        <v>20250118</v>
      </c>
    </row>
    <row r="386" spans="1:11" x14ac:dyDescent="0.3">
      <c r="A386" s="4">
        <v>45676</v>
      </c>
      <c r="B386">
        <f t="shared" si="40"/>
        <v>2025</v>
      </c>
      <c r="C386">
        <f t="shared" si="41"/>
        <v>1</v>
      </c>
      <c r="D386" t="str">
        <f t="shared" si="42"/>
        <v>January</v>
      </c>
      <c r="E386">
        <f t="shared" si="43"/>
        <v>4</v>
      </c>
      <c r="F386">
        <f t="shared" si="44"/>
        <v>19</v>
      </c>
      <c r="G386" t="str">
        <f t="shared" si="45"/>
        <v>Sunday</v>
      </c>
      <c r="H386" t="b">
        <f t="shared" si="46"/>
        <v>1</v>
      </c>
      <c r="I386">
        <f t="shared" si="47"/>
        <v>19</v>
      </c>
      <c r="J386" t="s">
        <v>22</v>
      </c>
      <c r="K386">
        <v>20250119</v>
      </c>
    </row>
    <row r="387" spans="1:11" x14ac:dyDescent="0.3">
      <c r="A387" s="4">
        <v>45677</v>
      </c>
      <c r="B387">
        <f t="shared" ref="B387:B450" si="48">YEAR(A387)</f>
        <v>2025</v>
      </c>
      <c r="C387">
        <f t="shared" ref="C387:C450" si="49">MONTH(A387)</f>
        <v>1</v>
      </c>
      <c r="D387" t="str">
        <f t="shared" ref="D387:D450" si="50">TEXT(A387,"mmmm")</f>
        <v>January</v>
      </c>
      <c r="E387">
        <f t="shared" ref="E387:E450" si="51">WEEKNUM(A387)</f>
        <v>4</v>
      </c>
      <c r="F387">
        <f t="shared" ref="F387:F450" si="52">DAY(A387)</f>
        <v>20</v>
      </c>
      <c r="G387" t="str">
        <f t="shared" ref="G387:G450" si="53">TEXT((A387),"dddd")</f>
        <v>Monday</v>
      </c>
      <c r="H387" t="b">
        <f t="shared" ref="H387:H450" si="54">IF(OR(G387="Saturday",G387="Sunday"),TRUE,FALSE)</f>
        <v>0</v>
      </c>
      <c r="I387">
        <f t="shared" ref="I387:I450" si="55">A387-DATE(YEAR(A387),1,1)+1</f>
        <v>20</v>
      </c>
      <c r="J387" t="s">
        <v>22</v>
      </c>
      <c r="K387">
        <v>20250120</v>
      </c>
    </row>
    <row r="388" spans="1:11" x14ac:dyDescent="0.3">
      <c r="A388" s="4">
        <v>45678</v>
      </c>
      <c r="B388">
        <f t="shared" si="48"/>
        <v>2025</v>
      </c>
      <c r="C388">
        <f t="shared" si="49"/>
        <v>1</v>
      </c>
      <c r="D388" t="str">
        <f t="shared" si="50"/>
        <v>January</v>
      </c>
      <c r="E388">
        <f t="shared" si="51"/>
        <v>4</v>
      </c>
      <c r="F388">
        <f t="shared" si="52"/>
        <v>21</v>
      </c>
      <c r="G388" t="str">
        <f t="shared" si="53"/>
        <v>Tuesday</v>
      </c>
      <c r="H388" t="b">
        <f t="shared" si="54"/>
        <v>0</v>
      </c>
      <c r="I388">
        <f t="shared" si="55"/>
        <v>21</v>
      </c>
      <c r="J388" t="s">
        <v>22</v>
      </c>
      <c r="K388">
        <v>20250121</v>
      </c>
    </row>
    <row r="389" spans="1:11" x14ac:dyDescent="0.3">
      <c r="A389" s="4">
        <v>45679</v>
      </c>
      <c r="B389">
        <f t="shared" si="48"/>
        <v>2025</v>
      </c>
      <c r="C389">
        <f t="shared" si="49"/>
        <v>1</v>
      </c>
      <c r="D389" t="str">
        <f t="shared" si="50"/>
        <v>January</v>
      </c>
      <c r="E389">
        <f t="shared" si="51"/>
        <v>4</v>
      </c>
      <c r="F389">
        <f t="shared" si="52"/>
        <v>22</v>
      </c>
      <c r="G389" t="str">
        <f t="shared" si="53"/>
        <v>Wednesday</v>
      </c>
      <c r="H389" t="b">
        <f t="shared" si="54"/>
        <v>0</v>
      </c>
      <c r="I389">
        <f t="shared" si="55"/>
        <v>22</v>
      </c>
      <c r="J389" t="s">
        <v>22</v>
      </c>
      <c r="K389">
        <v>20250122</v>
      </c>
    </row>
    <row r="390" spans="1:11" x14ac:dyDescent="0.3">
      <c r="A390" s="4">
        <v>45680</v>
      </c>
      <c r="B390">
        <f t="shared" si="48"/>
        <v>2025</v>
      </c>
      <c r="C390">
        <f t="shared" si="49"/>
        <v>1</v>
      </c>
      <c r="D390" t="str">
        <f t="shared" si="50"/>
        <v>January</v>
      </c>
      <c r="E390">
        <f t="shared" si="51"/>
        <v>4</v>
      </c>
      <c r="F390">
        <f t="shared" si="52"/>
        <v>23</v>
      </c>
      <c r="G390" t="str">
        <f t="shared" si="53"/>
        <v>Thursday</v>
      </c>
      <c r="H390" t="b">
        <f t="shared" si="54"/>
        <v>0</v>
      </c>
      <c r="I390">
        <f t="shared" si="55"/>
        <v>23</v>
      </c>
      <c r="J390" t="s">
        <v>22</v>
      </c>
      <c r="K390">
        <v>20250123</v>
      </c>
    </row>
    <row r="391" spans="1:11" x14ac:dyDescent="0.3">
      <c r="A391" s="4">
        <v>45681</v>
      </c>
      <c r="B391">
        <f t="shared" si="48"/>
        <v>2025</v>
      </c>
      <c r="C391">
        <f t="shared" si="49"/>
        <v>1</v>
      </c>
      <c r="D391" t="str">
        <f t="shared" si="50"/>
        <v>January</v>
      </c>
      <c r="E391">
        <f t="shared" si="51"/>
        <v>4</v>
      </c>
      <c r="F391">
        <f t="shared" si="52"/>
        <v>24</v>
      </c>
      <c r="G391" t="str">
        <f t="shared" si="53"/>
        <v>Friday</v>
      </c>
      <c r="H391" t="b">
        <f t="shared" si="54"/>
        <v>0</v>
      </c>
      <c r="I391">
        <f t="shared" si="55"/>
        <v>24</v>
      </c>
      <c r="J391" t="s">
        <v>22</v>
      </c>
      <c r="K391">
        <v>20250124</v>
      </c>
    </row>
    <row r="392" spans="1:11" x14ac:dyDescent="0.3">
      <c r="A392" s="4">
        <v>45682</v>
      </c>
      <c r="B392">
        <f t="shared" si="48"/>
        <v>2025</v>
      </c>
      <c r="C392">
        <f t="shared" si="49"/>
        <v>1</v>
      </c>
      <c r="D392" t="str">
        <f t="shared" si="50"/>
        <v>January</v>
      </c>
      <c r="E392">
        <f t="shared" si="51"/>
        <v>4</v>
      </c>
      <c r="F392">
        <f t="shared" si="52"/>
        <v>25</v>
      </c>
      <c r="G392" t="str">
        <f t="shared" si="53"/>
        <v>Saturday</v>
      </c>
      <c r="H392" t="b">
        <f t="shared" si="54"/>
        <v>1</v>
      </c>
      <c r="I392">
        <f t="shared" si="55"/>
        <v>25</v>
      </c>
      <c r="J392" t="s">
        <v>22</v>
      </c>
      <c r="K392">
        <v>20250125</v>
      </c>
    </row>
    <row r="393" spans="1:11" x14ac:dyDescent="0.3">
      <c r="A393" s="4">
        <v>45683</v>
      </c>
      <c r="B393">
        <f t="shared" si="48"/>
        <v>2025</v>
      </c>
      <c r="C393">
        <f t="shared" si="49"/>
        <v>1</v>
      </c>
      <c r="D393" t="str">
        <f t="shared" si="50"/>
        <v>January</v>
      </c>
      <c r="E393">
        <f t="shared" si="51"/>
        <v>5</v>
      </c>
      <c r="F393">
        <f t="shared" si="52"/>
        <v>26</v>
      </c>
      <c r="G393" t="str">
        <f t="shared" si="53"/>
        <v>Sunday</v>
      </c>
      <c r="H393" t="b">
        <f t="shared" si="54"/>
        <v>1</v>
      </c>
      <c r="I393">
        <f t="shared" si="55"/>
        <v>26</v>
      </c>
      <c r="J393" t="s">
        <v>22</v>
      </c>
      <c r="K393">
        <v>20250126</v>
      </c>
    </row>
    <row r="394" spans="1:11" x14ac:dyDescent="0.3">
      <c r="A394" s="4">
        <v>45684</v>
      </c>
      <c r="B394">
        <f t="shared" si="48"/>
        <v>2025</v>
      </c>
      <c r="C394">
        <f t="shared" si="49"/>
        <v>1</v>
      </c>
      <c r="D394" t="str">
        <f t="shared" si="50"/>
        <v>January</v>
      </c>
      <c r="E394">
        <f t="shared" si="51"/>
        <v>5</v>
      </c>
      <c r="F394">
        <f t="shared" si="52"/>
        <v>27</v>
      </c>
      <c r="G394" t="str">
        <f t="shared" si="53"/>
        <v>Monday</v>
      </c>
      <c r="H394" t="b">
        <f t="shared" si="54"/>
        <v>0</v>
      </c>
      <c r="I394">
        <f t="shared" si="55"/>
        <v>27</v>
      </c>
      <c r="J394" t="s">
        <v>22</v>
      </c>
      <c r="K394">
        <v>20250127</v>
      </c>
    </row>
    <row r="395" spans="1:11" x14ac:dyDescent="0.3">
      <c r="A395" s="4">
        <v>45685</v>
      </c>
      <c r="B395">
        <f t="shared" si="48"/>
        <v>2025</v>
      </c>
      <c r="C395">
        <f t="shared" si="49"/>
        <v>1</v>
      </c>
      <c r="D395" t="str">
        <f t="shared" si="50"/>
        <v>January</v>
      </c>
      <c r="E395">
        <f t="shared" si="51"/>
        <v>5</v>
      </c>
      <c r="F395">
        <f t="shared" si="52"/>
        <v>28</v>
      </c>
      <c r="G395" t="str">
        <f t="shared" si="53"/>
        <v>Tuesday</v>
      </c>
      <c r="H395" t="b">
        <f t="shared" si="54"/>
        <v>0</v>
      </c>
      <c r="I395">
        <f t="shared" si="55"/>
        <v>28</v>
      </c>
      <c r="J395" t="s">
        <v>22</v>
      </c>
      <c r="K395">
        <v>20250128</v>
      </c>
    </row>
    <row r="396" spans="1:11" x14ac:dyDescent="0.3">
      <c r="A396" s="4">
        <v>45686</v>
      </c>
      <c r="B396">
        <f t="shared" si="48"/>
        <v>2025</v>
      </c>
      <c r="C396">
        <f t="shared" si="49"/>
        <v>1</v>
      </c>
      <c r="D396" t="str">
        <f t="shared" si="50"/>
        <v>January</v>
      </c>
      <c r="E396">
        <f t="shared" si="51"/>
        <v>5</v>
      </c>
      <c r="F396">
        <f t="shared" si="52"/>
        <v>29</v>
      </c>
      <c r="G396" t="str">
        <f t="shared" si="53"/>
        <v>Wednesday</v>
      </c>
      <c r="H396" t="b">
        <f t="shared" si="54"/>
        <v>0</v>
      </c>
      <c r="I396">
        <f t="shared" si="55"/>
        <v>29</v>
      </c>
      <c r="J396" t="s">
        <v>22</v>
      </c>
      <c r="K396">
        <v>20250129</v>
      </c>
    </row>
    <row r="397" spans="1:11" x14ac:dyDescent="0.3">
      <c r="A397" s="4">
        <v>45687</v>
      </c>
      <c r="B397">
        <f t="shared" si="48"/>
        <v>2025</v>
      </c>
      <c r="C397">
        <f t="shared" si="49"/>
        <v>1</v>
      </c>
      <c r="D397" t="str">
        <f t="shared" si="50"/>
        <v>January</v>
      </c>
      <c r="E397">
        <f t="shared" si="51"/>
        <v>5</v>
      </c>
      <c r="F397">
        <f t="shared" si="52"/>
        <v>30</v>
      </c>
      <c r="G397" t="str">
        <f t="shared" si="53"/>
        <v>Thursday</v>
      </c>
      <c r="H397" t="b">
        <f t="shared" si="54"/>
        <v>0</v>
      </c>
      <c r="I397">
        <f t="shared" si="55"/>
        <v>30</v>
      </c>
      <c r="J397" t="s">
        <v>22</v>
      </c>
      <c r="K397">
        <v>20250130</v>
      </c>
    </row>
    <row r="398" spans="1:11" x14ac:dyDescent="0.3">
      <c r="A398" s="4">
        <v>45688</v>
      </c>
      <c r="B398">
        <f t="shared" si="48"/>
        <v>2025</v>
      </c>
      <c r="C398">
        <f t="shared" si="49"/>
        <v>1</v>
      </c>
      <c r="D398" t="str">
        <f t="shared" si="50"/>
        <v>January</v>
      </c>
      <c r="E398">
        <f t="shared" si="51"/>
        <v>5</v>
      </c>
      <c r="F398">
        <f t="shared" si="52"/>
        <v>31</v>
      </c>
      <c r="G398" t="str">
        <f t="shared" si="53"/>
        <v>Friday</v>
      </c>
      <c r="H398" t="b">
        <f t="shared" si="54"/>
        <v>0</v>
      </c>
      <c r="I398">
        <f t="shared" si="55"/>
        <v>31</v>
      </c>
      <c r="J398" t="s">
        <v>22</v>
      </c>
      <c r="K398">
        <v>20250131</v>
      </c>
    </row>
    <row r="399" spans="1:11" x14ac:dyDescent="0.3">
      <c r="A399" s="4">
        <v>45689</v>
      </c>
      <c r="B399">
        <f t="shared" si="48"/>
        <v>2025</v>
      </c>
      <c r="C399">
        <f t="shared" si="49"/>
        <v>2</v>
      </c>
      <c r="D399" t="str">
        <f t="shared" si="50"/>
        <v>February</v>
      </c>
      <c r="E399">
        <f t="shared" si="51"/>
        <v>5</v>
      </c>
      <c r="F399">
        <f t="shared" si="52"/>
        <v>1</v>
      </c>
      <c r="G399" t="str">
        <f t="shared" si="53"/>
        <v>Saturday</v>
      </c>
      <c r="H399" t="b">
        <f t="shared" si="54"/>
        <v>1</v>
      </c>
      <c r="I399">
        <f t="shared" si="55"/>
        <v>32</v>
      </c>
      <c r="J399" t="s">
        <v>22</v>
      </c>
      <c r="K399">
        <v>20250201</v>
      </c>
    </row>
    <row r="400" spans="1:11" x14ac:dyDescent="0.3">
      <c r="A400" s="4">
        <v>45690</v>
      </c>
      <c r="B400">
        <f t="shared" si="48"/>
        <v>2025</v>
      </c>
      <c r="C400">
        <f t="shared" si="49"/>
        <v>2</v>
      </c>
      <c r="D400" t="str">
        <f t="shared" si="50"/>
        <v>February</v>
      </c>
      <c r="E400">
        <f t="shared" si="51"/>
        <v>6</v>
      </c>
      <c r="F400">
        <f t="shared" si="52"/>
        <v>2</v>
      </c>
      <c r="G400" t="str">
        <f t="shared" si="53"/>
        <v>Sunday</v>
      </c>
      <c r="H400" t="b">
        <f t="shared" si="54"/>
        <v>1</v>
      </c>
      <c r="I400">
        <f t="shared" si="55"/>
        <v>33</v>
      </c>
      <c r="J400" t="s">
        <v>22</v>
      </c>
      <c r="K400">
        <v>20250202</v>
      </c>
    </row>
    <row r="401" spans="1:11" x14ac:dyDescent="0.3">
      <c r="A401" s="4">
        <v>45691</v>
      </c>
      <c r="B401">
        <f t="shared" si="48"/>
        <v>2025</v>
      </c>
      <c r="C401">
        <f t="shared" si="49"/>
        <v>2</v>
      </c>
      <c r="D401" t="str">
        <f t="shared" si="50"/>
        <v>February</v>
      </c>
      <c r="E401">
        <f t="shared" si="51"/>
        <v>6</v>
      </c>
      <c r="F401">
        <f t="shared" si="52"/>
        <v>3</v>
      </c>
      <c r="G401" t="str">
        <f t="shared" si="53"/>
        <v>Monday</v>
      </c>
      <c r="H401" t="b">
        <f t="shared" si="54"/>
        <v>0</v>
      </c>
      <c r="I401">
        <f t="shared" si="55"/>
        <v>34</v>
      </c>
      <c r="J401" t="s">
        <v>22</v>
      </c>
      <c r="K401">
        <v>20250203</v>
      </c>
    </row>
    <row r="402" spans="1:11" x14ac:dyDescent="0.3">
      <c r="A402" s="4">
        <v>45692</v>
      </c>
      <c r="B402">
        <f t="shared" si="48"/>
        <v>2025</v>
      </c>
      <c r="C402">
        <f t="shared" si="49"/>
        <v>2</v>
      </c>
      <c r="D402" t="str">
        <f t="shared" si="50"/>
        <v>February</v>
      </c>
      <c r="E402">
        <f t="shared" si="51"/>
        <v>6</v>
      </c>
      <c r="F402">
        <f t="shared" si="52"/>
        <v>4</v>
      </c>
      <c r="G402" t="str">
        <f t="shared" si="53"/>
        <v>Tuesday</v>
      </c>
      <c r="H402" t="b">
        <f t="shared" si="54"/>
        <v>0</v>
      </c>
      <c r="I402">
        <f t="shared" si="55"/>
        <v>35</v>
      </c>
      <c r="J402" t="s">
        <v>22</v>
      </c>
      <c r="K402">
        <v>20250204</v>
      </c>
    </row>
    <row r="403" spans="1:11" x14ac:dyDescent="0.3">
      <c r="A403" s="4">
        <v>45693</v>
      </c>
      <c r="B403">
        <f t="shared" si="48"/>
        <v>2025</v>
      </c>
      <c r="C403">
        <f t="shared" si="49"/>
        <v>2</v>
      </c>
      <c r="D403" t="str">
        <f t="shared" si="50"/>
        <v>February</v>
      </c>
      <c r="E403">
        <f t="shared" si="51"/>
        <v>6</v>
      </c>
      <c r="F403">
        <f t="shared" si="52"/>
        <v>5</v>
      </c>
      <c r="G403" t="str">
        <f t="shared" si="53"/>
        <v>Wednesday</v>
      </c>
      <c r="H403" t="b">
        <f t="shared" si="54"/>
        <v>0</v>
      </c>
      <c r="I403">
        <f t="shared" si="55"/>
        <v>36</v>
      </c>
      <c r="J403" t="s">
        <v>22</v>
      </c>
      <c r="K403">
        <v>20250205</v>
      </c>
    </row>
    <row r="404" spans="1:11" x14ac:dyDescent="0.3">
      <c r="A404" s="4">
        <v>45694</v>
      </c>
      <c r="B404">
        <f t="shared" si="48"/>
        <v>2025</v>
      </c>
      <c r="C404">
        <f t="shared" si="49"/>
        <v>2</v>
      </c>
      <c r="D404" t="str">
        <f t="shared" si="50"/>
        <v>February</v>
      </c>
      <c r="E404">
        <f t="shared" si="51"/>
        <v>6</v>
      </c>
      <c r="F404">
        <f t="shared" si="52"/>
        <v>6</v>
      </c>
      <c r="G404" t="str">
        <f t="shared" si="53"/>
        <v>Thursday</v>
      </c>
      <c r="H404" t="b">
        <f t="shared" si="54"/>
        <v>0</v>
      </c>
      <c r="I404">
        <f t="shared" si="55"/>
        <v>37</v>
      </c>
      <c r="J404" t="s">
        <v>22</v>
      </c>
      <c r="K404">
        <v>20250206</v>
      </c>
    </row>
    <row r="405" spans="1:11" x14ac:dyDescent="0.3">
      <c r="A405" s="4">
        <v>45695</v>
      </c>
      <c r="B405">
        <f t="shared" si="48"/>
        <v>2025</v>
      </c>
      <c r="C405">
        <f t="shared" si="49"/>
        <v>2</v>
      </c>
      <c r="D405" t="str">
        <f t="shared" si="50"/>
        <v>February</v>
      </c>
      <c r="E405">
        <f t="shared" si="51"/>
        <v>6</v>
      </c>
      <c r="F405">
        <f t="shared" si="52"/>
        <v>7</v>
      </c>
      <c r="G405" t="str">
        <f t="shared" si="53"/>
        <v>Friday</v>
      </c>
      <c r="H405" t="b">
        <f t="shared" si="54"/>
        <v>0</v>
      </c>
      <c r="I405">
        <f t="shared" si="55"/>
        <v>38</v>
      </c>
      <c r="J405" t="s">
        <v>22</v>
      </c>
      <c r="K405">
        <v>20250207</v>
      </c>
    </row>
    <row r="406" spans="1:11" x14ac:dyDescent="0.3">
      <c r="A406" s="4">
        <v>45696</v>
      </c>
      <c r="B406">
        <f t="shared" si="48"/>
        <v>2025</v>
      </c>
      <c r="C406">
        <f t="shared" si="49"/>
        <v>2</v>
      </c>
      <c r="D406" t="str">
        <f t="shared" si="50"/>
        <v>February</v>
      </c>
      <c r="E406">
        <f t="shared" si="51"/>
        <v>6</v>
      </c>
      <c r="F406">
        <f t="shared" si="52"/>
        <v>8</v>
      </c>
      <c r="G406" t="str">
        <f t="shared" si="53"/>
        <v>Saturday</v>
      </c>
      <c r="H406" t="b">
        <f t="shared" si="54"/>
        <v>1</v>
      </c>
      <c r="I406">
        <f t="shared" si="55"/>
        <v>39</v>
      </c>
      <c r="J406" t="s">
        <v>22</v>
      </c>
      <c r="K406">
        <v>20250208</v>
      </c>
    </row>
    <row r="407" spans="1:11" x14ac:dyDescent="0.3">
      <c r="A407" s="4">
        <v>45697</v>
      </c>
      <c r="B407">
        <f t="shared" si="48"/>
        <v>2025</v>
      </c>
      <c r="C407">
        <f t="shared" si="49"/>
        <v>2</v>
      </c>
      <c r="D407" t="str">
        <f t="shared" si="50"/>
        <v>February</v>
      </c>
      <c r="E407">
        <f t="shared" si="51"/>
        <v>7</v>
      </c>
      <c r="F407">
        <f t="shared" si="52"/>
        <v>9</v>
      </c>
      <c r="G407" t="str">
        <f t="shared" si="53"/>
        <v>Sunday</v>
      </c>
      <c r="H407" t="b">
        <f t="shared" si="54"/>
        <v>1</v>
      </c>
      <c r="I407">
        <f t="shared" si="55"/>
        <v>40</v>
      </c>
      <c r="J407" t="s">
        <v>22</v>
      </c>
      <c r="K407">
        <v>20250209</v>
      </c>
    </row>
    <row r="408" spans="1:11" x14ac:dyDescent="0.3">
      <c r="A408" s="4">
        <v>45698</v>
      </c>
      <c r="B408">
        <f t="shared" si="48"/>
        <v>2025</v>
      </c>
      <c r="C408">
        <f t="shared" si="49"/>
        <v>2</v>
      </c>
      <c r="D408" t="str">
        <f t="shared" si="50"/>
        <v>February</v>
      </c>
      <c r="E408">
        <f t="shared" si="51"/>
        <v>7</v>
      </c>
      <c r="F408">
        <f t="shared" si="52"/>
        <v>10</v>
      </c>
      <c r="G408" t="str">
        <f t="shared" si="53"/>
        <v>Monday</v>
      </c>
      <c r="H408" t="b">
        <f t="shared" si="54"/>
        <v>0</v>
      </c>
      <c r="I408">
        <f t="shared" si="55"/>
        <v>41</v>
      </c>
      <c r="J408" t="s">
        <v>22</v>
      </c>
      <c r="K408">
        <v>20250210</v>
      </c>
    </row>
    <row r="409" spans="1:11" x14ac:dyDescent="0.3">
      <c r="A409" s="4">
        <v>45699</v>
      </c>
      <c r="B409">
        <f t="shared" si="48"/>
        <v>2025</v>
      </c>
      <c r="C409">
        <f t="shared" si="49"/>
        <v>2</v>
      </c>
      <c r="D409" t="str">
        <f t="shared" si="50"/>
        <v>February</v>
      </c>
      <c r="E409">
        <f t="shared" si="51"/>
        <v>7</v>
      </c>
      <c r="F409">
        <f t="shared" si="52"/>
        <v>11</v>
      </c>
      <c r="G409" t="str">
        <f t="shared" si="53"/>
        <v>Tuesday</v>
      </c>
      <c r="H409" t="b">
        <f t="shared" si="54"/>
        <v>0</v>
      </c>
      <c r="I409">
        <f t="shared" si="55"/>
        <v>42</v>
      </c>
      <c r="J409" t="s">
        <v>22</v>
      </c>
      <c r="K409">
        <v>20250211</v>
      </c>
    </row>
    <row r="410" spans="1:11" x14ac:dyDescent="0.3">
      <c r="A410" s="4">
        <v>45700</v>
      </c>
      <c r="B410">
        <f t="shared" si="48"/>
        <v>2025</v>
      </c>
      <c r="C410">
        <f t="shared" si="49"/>
        <v>2</v>
      </c>
      <c r="D410" t="str">
        <f t="shared" si="50"/>
        <v>February</v>
      </c>
      <c r="E410">
        <f t="shared" si="51"/>
        <v>7</v>
      </c>
      <c r="F410">
        <f t="shared" si="52"/>
        <v>12</v>
      </c>
      <c r="G410" t="str">
        <f t="shared" si="53"/>
        <v>Wednesday</v>
      </c>
      <c r="H410" t="b">
        <f t="shared" si="54"/>
        <v>0</v>
      </c>
      <c r="I410">
        <f t="shared" si="55"/>
        <v>43</v>
      </c>
      <c r="J410" t="s">
        <v>22</v>
      </c>
      <c r="K410">
        <v>20250212</v>
      </c>
    </row>
    <row r="411" spans="1:11" x14ac:dyDescent="0.3">
      <c r="A411" s="4">
        <v>45701</v>
      </c>
      <c r="B411">
        <f t="shared" si="48"/>
        <v>2025</v>
      </c>
      <c r="C411">
        <f t="shared" si="49"/>
        <v>2</v>
      </c>
      <c r="D411" t="str">
        <f t="shared" si="50"/>
        <v>February</v>
      </c>
      <c r="E411">
        <f t="shared" si="51"/>
        <v>7</v>
      </c>
      <c r="F411">
        <f t="shared" si="52"/>
        <v>13</v>
      </c>
      <c r="G411" t="str">
        <f t="shared" si="53"/>
        <v>Thursday</v>
      </c>
      <c r="H411" t="b">
        <f t="shared" si="54"/>
        <v>0</v>
      </c>
      <c r="I411">
        <f t="shared" si="55"/>
        <v>44</v>
      </c>
      <c r="J411" t="s">
        <v>22</v>
      </c>
      <c r="K411">
        <v>20250213</v>
      </c>
    </row>
    <row r="412" spans="1:11" x14ac:dyDescent="0.3">
      <c r="A412" s="4">
        <v>45702</v>
      </c>
      <c r="B412">
        <f t="shared" si="48"/>
        <v>2025</v>
      </c>
      <c r="C412">
        <f t="shared" si="49"/>
        <v>2</v>
      </c>
      <c r="D412" t="str">
        <f t="shared" si="50"/>
        <v>February</v>
      </c>
      <c r="E412">
        <f t="shared" si="51"/>
        <v>7</v>
      </c>
      <c r="F412">
        <f t="shared" si="52"/>
        <v>14</v>
      </c>
      <c r="G412" t="str">
        <f t="shared" si="53"/>
        <v>Friday</v>
      </c>
      <c r="H412" t="b">
        <f t="shared" si="54"/>
        <v>0</v>
      </c>
      <c r="I412">
        <f t="shared" si="55"/>
        <v>45</v>
      </c>
      <c r="J412" t="s">
        <v>22</v>
      </c>
      <c r="K412">
        <v>20250214</v>
      </c>
    </row>
    <row r="413" spans="1:11" x14ac:dyDescent="0.3">
      <c r="A413" s="4">
        <v>45703</v>
      </c>
      <c r="B413">
        <f t="shared" si="48"/>
        <v>2025</v>
      </c>
      <c r="C413">
        <f t="shared" si="49"/>
        <v>2</v>
      </c>
      <c r="D413" t="str">
        <f t="shared" si="50"/>
        <v>February</v>
      </c>
      <c r="E413">
        <f t="shared" si="51"/>
        <v>7</v>
      </c>
      <c r="F413">
        <f t="shared" si="52"/>
        <v>15</v>
      </c>
      <c r="G413" t="str">
        <f t="shared" si="53"/>
        <v>Saturday</v>
      </c>
      <c r="H413" t="b">
        <f t="shared" si="54"/>
        <v>1</v>
      </c>
      <c r="I413">
        <f t="shared" si="55"/>
        <v>46</v>
      </c>
      <c r="J413" t="s">
        <v>22</v>
      </c>
      <c r="K413">
        <v>20250215</v>
      </c>
    </row>
    <row r="414" spans="1:11" x14ac:dyDescent="0.3">
      <c r="A414" s="4">
        <v>45704</v>
      </c>
      <c r="B414">
        <f t="shared" si="48"/>
        <v>2025</v>
      </c>
      <c r="C414">
        <f t="shared" si="49"/>
        <v>2</v>
      </c>
      <c r="D414" t="str">
        <f t="shared" si="50"/>
        <v>February</v>
      </c>
      <c r="E414">
        <f t="shared" si="51"/>
        <v>8</v>
      </c>
      <c r="F414">
        <f t="shared" si="52"/>
        <v>16</v>
      </c>
      <c r="G414" t="str">
        <f t="shared" si="53"/>
        <v>Sunday</v>
      </c>
      <c r="H414" t="b">
        <f t="shared" si="54"/>
        <v>1</v>
      </c>
      <c r="I414">
        <f t="shared" si="55"/>
        <v>47</v>
      </c>
      <c r="J414" t="s">
        <v>22</v>
      </c>
      <c r="K414">
        <v>20250216</v>
      </c>
    </row>
    <row r="415" spans="1:11" x14ac:dyDescent="0.3">
      <c r="A415" s="4">
        <v>45705</v>
      </c>
      <c r="B415">
        <f t="shared" si="48"/>
        <v>2025</v>
      </c>
      <c r="C415">
        <f t="shared" si="49"/>
        <v>2</v>
      </c>
      <c r="D415" t="str">
        <f t="shared" si="50"/>
        <v>February</v>
      </c>
      <c r="E415">
        <f t="shared" si="51"/>
        <v>8</v>
      </c>
      <c r="F415">
        <f t="shared" si="52"/>
        <v>17</v>
      </c>
      <c r="G415" t="str">
        <f t="shared" si="53"/>
        <v>Monday</v>
      </c>
      <c r="H415" t="b">
        <f t="shared" si="54"/>
        <v>0</v>
      </c>
      <c r="I415">
        <f t="shared" si="55"/>
        <v>48</v>
      </c>
      <c r="J415" t="s">
        <v>22</v>
      </c>
      <c r="K415">
        <v>20250217</v>
      </c>
    </row>
    <row r="416" spans="1:11" x14ac:dyDescent="0.3">
      <c r="A416" s="4">
        <v>45706</v>
      </c>
      <c r="B416">
        <f t="shared" si="48"/>
        <v>2025</v>
      </c>
      <c r="C416">
        <f t="shared" si="49"/>
        <v>2</v>
      </c>
      <c r="D416" t="str">
        <f t="shared" si="50"/>
        <v>February</v>
      </c>
      <c r="E416">
        <f t="shared" si="51"/>
        <v>8</v>
      </c>
      <c r="F416">
        <f t="shared" si="52"/>
        <v>18</v>
      </c>
      <c r="G416" t="str">
        <f t="shared" si="53"/>
        <v>Tuesday</v>
      </c>
      <c r="H416" t="b">
        <f t="shared" si="54"/>
        <v>0</v>
      </c>
      <c r="I416">
        <f t="shared" si="55"/>
        <v>49</v>
      </c>
      <c r="J416" t="s">
        <v>22</v>
      </c>
      <c r="K416">
        <v>20250218</v>
      </c>
    </row>
    <row r="417" spans="1:11" x14ac:dyDescent="0.3">
      <c r="A417" s="4">
        <v>45707</v>
      </c>
      <c r="B417">
        <f t="shared" si="48"/>
        <v>2025</v>
      </c>
      <c r="C417">
        <f t="shared" si="49"/>
        <v>2</v>
      </c>
      <c r="D417" t="str">
        <f t="shared" si="50"/>
        <v>February</v>
      </c>
      <c r="E417">
        <f t="shared" si="51"/>
        <v>8</v>
      </c>
      <c r="F417">
        <f t="shared" si="52"/>
        <v>19</v>
      </c>
      <c r="G417" t="str">
        <f t="shared" si="53"/>
        <v>Wednesday</v>
      </c>
      <c r="H417" t="b">
        <f t="shared" si="54"/>
        <v>0</v>
      </c>
      <c r="I417">
        <f t="shared" si="55"/>
        <v>50</v>
      </c>
      <c r="J417" t="s">
        <v>22</v>
      </c>
      <c r="K417">
        <v>20250219</v>
      </c>
    </row>
    <row r="418" spans="1:11" x14ac:dyDescent="0.3">
      <c r="A418" s="4">
        <v>45708</v>
      </c>
      <c r="B418">
        <f t="shared" si="48"/>
        <v>2025</v>
      </c>
      <c r="C418">
        <f t="shared" si="49"/>
        <v>2</v>
      </c>
      <c r="D418" t="str">
        <f t="shared" si="50"/>
        <v>February</v>
      </c>
      <c r="E418">
        <f t="shared" si="51"/>
        <v>8</v>
      </c>
      <c r="F418">
        <f t="shared" si="52"/>
        <v>20</v>
      </c>
      <c r="G418" t="str">
        <f t="shared" si="53"/>
        <v>Thursday</v>
      </c>
      <c r="H418" t="b">
        <f t="shared" si="54"/>
        <v>0</v>
      </c>
      <c r="I418">
        <f t="shared" si="55"/>
        <v>51</v>
      </c>
      <c r="J418" t="s">
        <v>22</v>
      </c>
      <c r="K418">
        <v>20250220</v>
      </c>
    </row>
    <row r="419" spans="1:11" x14ac:dyDescent="0.3">
      <c r="A419" s="4">
        <v>45709</v>
      </c>
      <c r="B419">
        <f t="shared" si="48"/>
        <v>2025</v>
      </c>
      <c r="C419">
        <f t="shared" si="49"/>
        <v>2</v>
      </c>
      <c r="D419" t="str">
        <f t="shared" si="50"/>
        <v>February</v>
      </c>
      <c r="E419">
        <f t="shared" si="51"/>
        <v>8</v>
      </c>
      <c r="F419">
        <f t="shared" si="52"/>
        <v>21</v>
      </c>
      <c r="G419" t="str">
        <f t="shared" si="53"/>
        <v>Friday</v>
      </c>
      <c r="H419" t="b">
        <f t="shared" si="54"/>
        <v>0</v>
      </c>
      <c r="I419">
        <f t="shared" si="55"/>
        <v>52</v>
      </c>
      <c r="J419" t="s">
        <v>22</v>
      </c>
      <c r="K419">
        <v>20250221</v>
      </c>
    </row>
    <row r="420" spans="1:11" x14ac:dyDescent="0.3">
      <c r="A420" s="4">
        <v>45710</v>
      </c>
      <c r="B420">
        <f t="shared" si="48"/>
        <v>2025</v>
      </c>
      <c r="C420">
        <f t="shared" si="49"/>
        <v>2</v>
      </c>
      <c r="D420" t="str">
        <f t="shared" si="50"/>
        <v>February</v>
      </c>
      <c r="E420">
        <f t="shared" si="51"/>
        <v>8</v>
      </c>
      <c r="F420">
        <f t="shared" si="52"/>
        <v>22</v>
      </c>
      <c r="G420" t="str">
        <f t="shared" si="53"/>
        <v>Saturday</v>
      </c>
      <c r="H420" t="b">
        <f t="shared" si="54"/>
        <v>1</v>
      </c>
      <c r="I420">
        <f t="shared" si="55"/>
        <v>53</v>
      </c>
      <c r="J420" t="s">
        <v>22</v>
      </c>
      <c r="K420">
        <v>20250222</v>
      </c>
    </row>
    <row r="421" spans="1:11" x14ac:dyDescent="0.3">
      <c r="A421" s="4">
        <v>45711</v>
      </c>
      <c r="B421">
        <f t="shared" si="48"/>
        <v>2025</v>
      </c>
      <c r="C421">
        <f t="shared" si="49"/>
        <v>2</v>
      </c>
      <c r="D421" t="str">
        <f t="shared" si="50"/>
        <v>February</v>
      </c>
      <c r="E421">
        <f t="shared" si="51"/>
        <v>9</v>
      </c>
      <c r="F421">
        <f t="shared" si="52"/>
        <v>23</v>
      </c>
      <c r="G421" t="str">
        <f t="shared" si="53"/>
        <v>Sunday</v>
      </c>
      <c r="H421" t="b">
        <f t="shared" si="54"/>
        <v>1</v>
      </c>
      <c r="I421">
        <f t="shared" si="55"/>
        <v>54</v>
      </c>
      <c r="J421" t="s">
        <v>22</v>
      </c>
      <c r="K421">
        <v>20250223</v>
      </c>
    </row>
    <row r="422" spans="1:11" x14ac:dyDescent="0.3">
      <c r="A422" s="4">
        <v>45712</v>
      </c>
      <c r="B422">
        <f t="shared" si="48"/>
        <v>2025</v>
      </c>
      <c r="C422">
        <f t="shared" si="49"/>
        <v>2</v>
      </c>
      <c r="D422" t="str">
        <f t="shared" si="50"/>
        <v>February</v>
      </c>
      <c r="E422">
        <f t="shared" si="51"/>
        <v>9</v>
      </c>
      <c r="F422">
        <f t="shared" si="52"/>
        <v>24</v>
      </c>
      <c r="G422" t="str">
        <f t="shared" si="53"/>
        <v>Monday</v>
      </c>
      <c r="H422" t="b">
        <f t="shared" si="54"/>
        <v>0</v>
      </c>
      <c r="I422">
        <f t="shared" si="55"/>
        <v>55</v>
      </c>
      <c r="J422" t="s">
        <v>22</v>
      </c>
      <c r="K422">
        <v>20250224</v>
      </c>
    </row>
    <row r="423" spans="1:11" x14ac:dyDescent="0.3">
      <c r="A423" s="4">
        <v>45713</v>
      </c>
      <c r="B423">
        <f t="shared" si="48"/>
        <v>2025</v>
      </c>
      <c r="C423">
        <f t="shared" si="49"/>
        <v>2</v>
      </c>
      <c r="D423" t="str">
        <f t="shared" si="50"/>
        <v>February</v>
      </c>
      <c r="E423">
        <f t="shared" si="51"/>
        <v>9</v>
      </c>
      <c r="F423">
        <f t="shared" si="52"/>
        <v>25</v>
      </c>
      <c r="G423" t="str">
        <f t="shared" si="53"/>
        <v>Tuesday</v>
      </c>
      <c r="H423" t="b">
        <f t="shared" si="54"/>
        <v>0</v>
      </c>
      <c r="I423">
        <f t="shared" si="55"/>
        <v>56</v>
      </c>
      <c r="J423" t="s">
        <v>22</v>
      </c>
      <c r="K423">
        <v>20250225</v>
      </c>
    </row>
    <row r="424" spans="1:11" x14ac:dyDescent="0.3">
      <c r="A424" s="4">
        <v>45714</v>
      </c>
      <c r="B424">
        <f t="shared" si="48"/>
        <v>2025</v>
      </c>
      <c r="C424">
        <f t="shared" si="49"/>
        <v>2</v>
      </c>
      <c r="D424" t="str">
        <f t="shared" si="50"/>
        <v>February</v>
      </c>
      <c r="E424">
        <f t="shared" si="51"/>
        <v>9</v>
      </c>
      <c r="F424">
        <f t="shared" si="52"/>
        <v>26</v>
      </c>
      <c r="G424" t="str">
        <f t="shared" si="53"/>
        <v>Wednesday</v>
      </c>
      <c r="H424" t="b">
        <f t="shared" si="54"/>
        <v>0</v>
      </c>
      <c r="I424">
        <f t="shared" si="55"/>
        <v>57</v>
      </c>
      <c r="J424" t="s">
        <v>22</v>
      </c>
      <c r="K424">
        <v>20250226</v>
      </c>
    </row>
    <row r="425" spans="1:11" x14ac:dyDescent="0.3">
      <c r="A425" s="4">
        <v>45715</v>
      </c>
      <c r="B425">
        <f t="shared" si="48"/>
        <v>2025</v>
      </c>
      <c r="C425">
        <f t="shared" si="49"/>
        <v>2</v>
      </c>
      <c r="D425" t="str">
        <f t="shared" si="50"/>
        <v>February</v>
      </c>
      <c r="E425">
        <f t="shared" si="51"/>
        <v>9</v>
      </c>
      <c r="F425">
        <f t="shared" si="52"/>
        <v>27</v>
      </c>
      <c r="G425" t="str">
        <f t="shared" si="53"/>
        <v>Thursday</v>
      </c>
      <c r="H425" t="b">
        <f t="shared" si="54"/>
        <v>0</v>
      </c>
      <c r="I425">
        <f t="shared" si="55"/>
        <v>58</v>
      </c>
      <c r="J425" t="s">
        <v>22</v>
      </c>
      <c r="K425">
        <v>20250227</v>
      </c>
    </row>
    <row r="426" spans="1:11" x14ac:dyDescent="0.3">
      <c r="A426" s="4">
        <v>45716</v>
      </c>
      <c r="B426">
        <f t="shared" si="48"/>
        <v>2025</v>
      </c>
      <c r="C426">
        <f t="shared" si="49"/>
        <v>2</v>
      </c>
      <c r="D426" t="str">
        <f t="shared" si="50"/>
        <v>February</v>
      </c>
      <c r="E426">
        <f t="shared" si="51"/>
        <v>9</v>
      </c>
      <c r="F426">
        <f t="shared" si="52"/>
        <v>28</v>
      </c>
      <c r="G426" t="str">
        <f t="shared" si="53"/>
        <v>Friday</v>
      </c>
      <c r="H426" t="b">
        <f t="shared" si="54"/>
        <v>0</v>
      </c>
      <c r="I426">
        <f t="shared" si="55"/>
        <v>59</v>
      </c>
      <c r="J426" t="s">
        <v>22</v>
      </c>
      <c r="K426">
        <v>20250228</v>
      </c>
    </row>
    <row r="427" spans="1:11" x14ac:dyDescent="0.3">
      <c r="A427" s="4">
        <v>45717</v>
      </c>
      <c r="B427">
        <f t="shared" si="48"/>
        <v>2025</v>
      </c>
      <c r="C427">
        <f t="shared" si="49"/>
        <v>3</v>
      </c>
      <c r="D427" t="str">
        <f t="shared" si="50"/>
        <v>March</v>
      </c>
      <c r="E427">
        <f t="shared" si="51"/>
        <v>9</v>
      </c>
      <c r="F427">
        <f t="shared" si="52"/>
        <v>1</v>
      </c>
      <c r="G427" t="str">
        <f t="shared" si="53"/>
        <v>Saturday</v>
      </c>
      <c r="H427" t="b">
        <f t="shared" si="54"/>
        <v>1</v>
      </c>
      <c r="I427">
        <f t="shared" si="55"/>
        <v>60</v>
      </c>
      <c r="J427" t="s">
        <v>25</v>
      </c>
      <c r="K427">
        <v>20250301</v>
      </c>
    </row>
    <row r="428" spans="1:11" x14ac:dyDescent="0.3">
      <c r="A428" s="4">
        <v>45718</v>
      </c>
      <c r="B428">
        <f t="shared" si="48"/>
        <v>2025</v>
      </c>
      <c r="C428">
        <f t="shared" si="49"/>
        <v>3</v>
      </c>
      <c r="D428" t="str">
        <f t="shared" si="50"/>
        <v>March</v>
      </c>
      <c r="E428">
        <f t="shared" si="51"/>
        <v>10</v>
      </c>
      <c r="F428">
        <f t="shared" si="52"/>
        <v>2</v>
      </c>
      <c r="G428" t="str">
        <f t="shared" si="53"/>
        <v>Sunday</v>
      </c>
      <c r="H428" t="b">
        <f t="shared" si="54"/>
        <v>1</v>
      </c>
      <c r="I428">
        <f t="shared" si="55"/>
        <v>61</v>
      </c>
      <c r="J428" t="s">
        <v>25</v>
      </c>
      <c r="K428">
        <v>20250302</v>
      </c>
    </row>
    <row r="429" spans="1:11" x14ac:dyDescent="0.3">
      <c r="A429" s="4">
        <v>45719</v>
      </c>
      <c r="B429">
        <f t="shared" si="48"/>
        <v>2025</v>
      </c>
      <c r="C429">
        <f t="shared" si="49"/>
        <v>3</v>
      </c>
      <c r="D429" t="str">
        <f t="shared" si="50"/>
        <v>March</v>
      </c>
      <c r="E429">
        <f t="shared" si="51"/>
        <v>10</v>
      </c>
      <c r="F429">
        <f t="shared" si="52"/>
        <v>3</v>
      </c>
      <c r="G429" t="str">
        <f t="shared" si="53"/>
        <v>Monday</v>
      </c>
      <c r="H429" t="b">
        <f t="shared" si="54"/>
        <v>0</v>
      </c>
      <c r="I429">
        <f t="shared" si="55"/>
        <v>62</v>
      </c>
      <c r="J429" t="s">
        <v>25</v>
      </c>
      <c r="K429">
        <v>20250303</v>
      </c>
    </row>
    <row r="430" spans="1:11" x14ac:dyDescent="0.3">
      <c r="A430" s="4">
        <v>45720</v>
      </c>
      <c r="B430">
        <f t="shared" si="48"/>
        <v>2025</v>
      </c>
      <c r="C430">
        <f t="shared" si="49"/>
        <v>3</v>
      </c>
      <c r="D430" t="str">
        <f t="shared" si="50"/>
        <v>March</v>
      </c>
      <c r="E430">
        <f t="shared" si="51"/>
        <v>10</v>
      </c>
      <c r="F430">
        <f t="shared" si="52"/>
        <v>4</v>
      </c>
      <c r="G430" t="str">
        <f t="shared" si="53"/>
        <v>Tuesday</v>
      </c>
      <c r="H430" t="b">
        <f t="shared" si="54"/>
        <v>0</v>
      </c>
      <c r="I430">
        <f t="shared" si="55"/>
        <v>63</v>
      </c>
      <c r="J430" t="s">
        <v>25</v>
      </c>
      <c r="K430">
        <v>20250304</v>
      </c>
    </row>
    <row r="431" spans="1:11" x14ac:dyDescent="0.3">
      <c r="A431" s="4">
        <v>45721</v>
      </c>
      <c r="B431">
        <f t="shared" si="48"/>
        <v>2025</v>
      </c>
      <c r="C431">
        <f t="shared" si="49"/>
        <v>3</v>
      </c>
      <c r="D431" t="str">
        <f t="shared" si="50"/>
        <v>March</v>
      </c>
      <c r="E431">
        <f t="shared" si="51"/>
        <v>10</v>
      </c>
      <c r="F431">
        <f t="shared" si="52"/>
        <v>5</v>
      </c>
      <c r="G431" t="str">
        <f t="shared" si="53"/>
        <v>Wednesday</v>
      </c>
      <c r="H431" t="b">
        <f t="shared" si="54"/>
        <v>0</v>
      </c>
      <c r="I431">
        <f t="shared" si="55"/>
        <v>64</v>
      </c>
      <c r="J431" t="s">
        <v>25</v>
      </c>
      <c r="K431">
        <v>20250305</v>
      </c>
    </row>
    <row r="432" spans="1:11" x14ac:dyDescent="0.3">
      <c r="A432" s="4">
        <v>45722</v>
      </c>
      <c r="B432">
        <f t="shared" si="48"/>
        <v>2025</v>
      </c>
      <c r="C432">
        <f t="shared" si="49"/>
        <v>3</v>
      </c>
      <c r="D432" t="str">
        <f t="shared" si="50"/>
        <v>March</v>
      </c>
      <c r="E432">
        <f t="shared" si="51"/>
        <v>10</v>
      </c>
      <c r="F432">
        <f t="shared" si="52"/>
        <v>6</v>
      </c>
      <c r="G432" t="str">
        <f t="shared" si="53"/>
        <v>Thursday</v>
      </c>
      <c r="H432" t="b">
        <f t="shared" si="54"/>
        <v>0</v>
      </c>
      <c r="I432">
        <f t="shared" si="55"/>
        <v>65</v>
      </c>
      <c r="J432" t="s">
        <v>25</v>
      </c>
      <c r="K432">
        <v>20250306</v>
      </c>
    </row>
    <row r="433" spans="1:11" x14ac:dyDescent="0.3">
      <c r="A433" s="4">
        <v>45723</v>
      </c>
      <c r="B433">
        <f t="shared" si="48"/>
        <v>2025</v>
      </c>
      <c r="C433">
        <f t="shared" si="49"/>
        <v>3</v>
      </c>
      <c r="D433" t="str">
        <f t="shared" si="50"/>
        <v>March</v>
      </c>
      <c r="E433">
        <f t="shared" si="51"/>
        <v>10</v>
      </c>
      <c r="F433">
        <f t="shared" si="52"/>
        <v>7</v>
      </c>
      <c r="G433" t="str">
        <f t="shared" si="53"/>
        <v>Friday</v>
      </c>
      <c r="H433" t="b">
        <f t="shared" si="54"/>
        <v>0</v>
      </c>
      <c r="I433">
        <f t="shared" si="55"/>
        <v>66</v>
      </c>
      <c r="J433" t="s">
        <v>25</v>
      </c>
      <c r="K433">
        <v>20250307</v>
      </c>
    </row>
    <row r="434" spans="1:11" x14ac:dyDescent="0.3">
      <c r="A434" s="4">
        <v>45724</v>
      </c>
      <c r="B434">
        <f t="shared" si="48"/>
        <v>2025</v>
      </c>
      <c r="C434">
        <f t="shared" si="49"/>
        <v>3</v>
      </c>
      <c r="D434" t="str">
        <f t="shared" si="50"/>
        <v>March</v>
      </c>
      <c r="E434">
        <f t="shared" si="51"/>
        <v>10</v>
      </c>
      <c r="F434">
        <f t="shared" si="52"/>
        <v>8</v>
      </c>
      <c r="G434" t="str">
        <f t="shared" si="53"/>
        <v>Saturday</v>
      </c>
      <c r="H434" t="b">
        <f t="shared" si="54"/>
        <v>1</v>
      </c>
      <c r="I434">
        <f t="shared" si="55"/>
        <v>67</v>
      </c>
      <c r="J434" t="s">
        <v>25</v>
      </c>
      <c r="K434">
        <v>20250308</v>
      </c>
    </row>
    <row r="435" spans="1:11" x14ac:dyDescent="0.3">
      <c r="A435" s="4">
        <v>45725</v>
      </c>
      <c r="B435">
        <f t="shared" si="48"/>
        <v>2025</v>
      </c>
      <c r="C435">
        <f t="shared" si="49"/>
        <v>3</v>
      </c>
      <c r="D435" t="str">
        <f t="shared" si="50"/>
        <v>March</v>
      </c>
      <c r="E435">
        <f t="shared" si="51"/>
        <v>11</v>
      </c>
      <c r="F435">
        <f t="shared" si="52"/>
        <v>9</v>
      </c>
      <c r="G435" t="str">
        <f t="shared" si="53"/>
        <v>Sunday</v>
      </c>
      <c r="H435" t="b">
        <f t="shared" si="54"/>
        <v>1</v>
      </c>
      <c r="I435">
        <f t="shared" si="55"/>
        <v>68</v>
      </c>
      <c r="J435" t="s">
        <v>25</v>
      </c>
      <c r="K435">
        <v>20250309</v>
      </c>
    </row>
    <row r="436" spans="1:11" x14ac:dyDescent="0.3">
      <c r="A436" s="4">
        <v>45726</v>
      </c>
      <c r="B436">
        <f t="shared" si="48"/>
        <v>2025</v>
      </c>
      <c r="C436">
        <f t="shared" si="49"/>
        <v>3</v>
      </c>
      <c r="D436" t="str">
        <f t="shared" si="50"/>
        <v>March</v>
      </c>
      <c r="E436">
        <f t="shared" si="51"/>
        <v>11</v>
      </c>
      <c r="F436">
        <f t="shared" si="52"/>
        <v>10</v>
      </c>
      <c r="G436" t="str">
        <f t="shared" si="53"/>
        <v>Monday</v>
      </c>
      <c r="H436" t="b">
        <f t="shared" si="54"/>
        <v>0</v>
      </c>
      <c r="I436">
        <f t="shared" si="55"/>
        <v>69</v>
      </c>
      <c r="J436" t="s">
        <v>25</v>
      </c>
      <c r="K436">
        <v>20250310</v>
      </c>
    </row>
    <row r="437" spans="1:11" x14ac:dyDescent="0.3">
      <c r="A437" s="4">
        <v>45727</v>
      </c>
      <c r="B437">
        <f t="shared" si="48"/>
        <v>2025</v>
      </c>
      <c r="C437">
        <f t="shared" si="49"/>
        <v>3</v>
      </c>
      <c r="D437" t="str">
        <f t="shared" si="50"/>
        <v>March</v>
      </c>
      <c r="E437">
        <f t="shared" si="51"/>
        <v>11</v>
      </c>
      <c r="F437">
        <f t="shared" si="52"/>
        <v>11</v>
      </c>
      <c r="G437" t="str">
        <f t="shared" si="53"/>
        <v>Tuesday</v>
      </c>
      <c r="H437" t="b">
        <f t="shared" si="54"/>
        <v>0</v>
      </c>
      <c r="I437">
        <f t="shared" si="55"/>
        <v>70</v>
      </c>
      <c r="J437" t="s">
        <v>25</v>
      </c>
      <c r="K437">
        <v>20250311</v>
      </c>
    </row>
    <row r="438" spans="1:11" x14ac:dyDescent="0.3">
      <c r="A438" s="4">
        <v>45728</v>
      </c>
      <c r="B438">
        <f t="shared" si="48"/>
        <v>2025</v>
      </c>
      <c r="C438">
        <f t="shared" si="49"/>
        <v>3</v>
      </c>
      <c r="D438" t="str">
        <f t="shared" si="50"/>
        <v>March</v>
      </c>
      <c r="E438">
        <f t="shared" si="51"/>
        <v>11</v>
      </c>
      <c r="F438">
        <f t="shared" si="52"/>
        <v>12</v>
      </c>
      <c r="G438" t="str">
        <f t="shared" si="53"/>
        <v>Wednesday</v>
      </c>
      <c r="H438" t="b">
        <f t="shared" si="54"/>
        <v>0</v>
      </c>
      <c r="I438">
        <f t="shared" si="55"/>
        <v>71</v>
      </c>
      <c r="J438" t="s">
        <v>25</v>
      </c>
      <c r="K438">
        <v>20250312</v>
      </c>
    </row>
    <row r="439" spans="1:11" x14ac:dyDescent="0.3">
      <c r="A439" s="4">
        <v>45729</v>
      </c>
      <c r="B439">
        <f t="shared" si="48"/>
        <v>2025</v>
      </c>
      <c r="C439">
        <f t="shared" si="49"/>
        <v>3</v>
      </c>
      <c r="D439" t="str">
        <f t="shared" si="50"/>
        <v>March</v>
      </c>
      <c r="E439">
        <f t="shared" si="51"/>
        <v>11</v>
      </c>
      <c r="F439">
        <f t="shared" si="52"/>
        <v>13</v>
      </c>
      <c r="G439" t="str">
        <f t="shared" si="53"/>
        <v>Thursday</v>
      </c>
      <c r="H439" t="b">
        <f t="shared" si="54"/>
        <v>0</v>
      </c>
      <c r="I439">
        <f t="shared" si="55"/>
        <v>72</v>
      </c>
      <c r="J439" t="s">
        <v>25</v>
      </c>
      <c r="K439">
        <v>20250313</v>
      </c>
    </row>
    <row r="440" spans="1:11" x14ac:dyDescent="0.3">
      <c r="A440" s="4">
        <v>45730</v>
      </c>
      <c r="B440">
        <f t="shared" si="48"/>
        <v>2025</v>
      </c>
      <c r="C440">
        <f t="shared" si="49"/>
        <v>3</v>
      </c>
      <c r="D440" t="str">
        <f t="shared" si="50"/>
        <v>March</v>
      </c>
      <c r="E440">
        <f t="shared" si="51"/>
        <v>11</v>
      </c>
      <c r="F440">
        <f t="shared" si="52"/>
        <v>14</v>
      </c>
      <c r="G440" t="str">
        <f t="shared" si="53"/>
        <v>Friday</v>
      </c>
      <c r="H440" t="b">
        <f t="shared" si="54"/>
        <v>0</v>
      </c>
      <c r="I440">
        <f t="shared" si="55"/>
        <v>73</v>
      </c>
      <c r="J440" t="s">
        <v>25</v>
      </c>
      <c r="K440">
        <v>20250314</v>
      </c>
    </row>
    <row r="441" spans="1:11" x14ac:dyDescent="0.3">
      <c r="A441" s="4">
        <v>45731</v>
      </c>
      <c r="B441">
        <f t="shared" si="48"/>
        <v>2025</v>
      </c>
      <c r="C441">
        <f t="shared" si="49"/>
        <v>3</v>
      </c>
      <c r="D441" t="str">
        <f t="shared" si="50"/>
        <v>March</v>
      </c>
      <c r="E441">
        <f t="shared" si="51"/>
        <v>11</v>
      </c>
      <c r="F441">
        <f t="shared" si="52"/>
        <v>15</v>
      </c>
      <c r="G441" t="str">
        <f t="shared" si="53"/>
        <v>Saturday</v>
      </c>
      <c r="H441" t="b">
        <f t="shared" si="54"/>
        <v>1</v>
      </c>
      <c r="I441">
        <f t="shared" si="55"/>
        <v>74</v>
      </c>
      <c r="J441" t="s">
        <v>25</v>
      </c>
      <c r="K441">
        <v>20250315</v>
      </c>
    </row>
    <row r="442" spans="1:11" x14ac:dyDescent="0.3">
      <c r="A442" s="4">
        <v>45732</v>
      </c>
      <c r="B442">
        <f t="shared" si="48"/>
        <v>2025</v>
      </c>
      <c r="C442">
        <f t="shared" si="49"/>
        <v>3</v>
      </c>
      <c r="D442" t="str">
        <f t="shared" si="50"/>
        <v>March</v>
      </c>
      <c r="E442">
        <f t="shared" si="51"/>
        <v>12</v>
      </c>
      <c r="F442">
        <f t="shared" si="52"/>
        <v>16</v>
      </c>
      <c r="G442" t="str">
        <f t="shared" si="53"/>
        <v>Sunday</v>
      </c>
      <c r="H442" t="b">
        <f t="shared" si="54"/>
        <v>1</v>
      </c>
      <c r="I442">
        <f t="shared" si="55"/>
        <v>75</v>
      </c>
      <c r="J442" t="s">
        <v>25</v>
      </c>
      <c r="K442">
        <v>20250316</v>
      </c>
    </row>
    <row r="443" spans="1:11" x14ac:dyDescent="0.3">
      <c r="A443" s="4">
        <v>45733</v>
      </c>
      <c r="B443">
        <f t="shared" si="48"/>
        <v>2025</v>
      </c>
      <c r="C443">
        <f t="shared" si="49"/>
        <v>3</v>
      </c>
      <c r="D443" t="str">
        <f t="shared" si="50"/>
        <v>March</v>
      </c>
      <c r="E443">
        <f t="shared" si="51"/>
        <v>12</v>
      </c>
      <c r="F443">
        <f t="shared" si="52"/>
        <v>17</v>
      </c>
      <c r="G443" t="str">
        <f t="shared" si="53"/>
        <v>Monday</v>
      </c>
      <c r="H443" t="b">
        <f t="shared" si="54"/>
        <v>0</v>
      </c>
      <c r="I443">
        <f t="shared" si="55"/>
        <v>76</v>
      </c>
      <c r="J443" t="s">
        <v>25</v>
      </c>
      <c r="K443">
        <v>20250317</v>
      </c>
    </row>
    <row r="444" spans="1:11" x14ac:dyDescent="0.3">
      <c r="A444" s="4">
        <v>45734</v>
      </c>
      <c r="B444">
        <f t="shared" si="48"/>
        <v>2025</v>
      </c>
      <c r="C444">
        <f t="shared" si="49"/>
        <v>3</v>
      </c>
      <c r="D444" t="str">
        <f t="shared" si="50"/>
        <v>March</v>
      </c>
      <c r="E444">
        <f t="shared" si="51"/>
        <v>12</v>
      </c>
      <c r="F444">
        <f t="shared" si="52"/>
        <v>18</v>
      </c>
      <c r="G444" t="str">
        <f t="shared" si="53"/>
        <v>Tuesday</v>
      </c>
      <c r="H444" t="b">
        <f t="shared" si="54"/>
        <v>0</v>
      </c>
      <c r="I444">
        <f t="shared" si="55"/>
        <v>77</v>
      </c>
      <c r="J444" t="s">
        <v>25</v>
      </c>
      <c r="K444">
        <v>20250318</v>
      </c>
    </row>
    <row r="445" spans="1:11" x14ac:dyDescent="0.3">
      <c r="A445" s="4">
        <v>45735</v>
      </c>
      <c r="B445">
        <f t="shared" si="48"/>
        <v>2025</v>
      </c>
      <c r="C445">
        <f t="shared" si="49"/>
        <v>3</v>
      </c>
      <c r="D445" t="str">
        <f t="shared" si="50"/>
        <v>March</v>
      </c>
      <c r="E445">
        <f t="shared" si="51"/>
        <v>12</v>
      </c>
      <c r="F445">
        <f t="shared" si="52"/>
        <v>19</v>
      </c>
      <c r="G445" t="str">
        <f t="shared" si="53"/>
        <v>Wednesday</v>
      </c>
      <c r="H445" t="b">
        <f t="shared" si="54"/>
        <v>0</v>
      </c>
      <c r="I445">
        <f t="shared" si="55"/>
        <v>78</v>
      </c>
      <c r="J445" t="s">
        <v>25</v>
      </c>
      <c r="K445">
        <v>20250319</v>
      </c>
    </row>
    <row r="446" spans="1:11" x14ac:dyDescent="0.3">
      <c r="A446" s="4">
        <v>45736</v>
      </c>
      <c r="B446">
        <f t="shared" si="48"/>
        <v>2025</v>
      </c>
      <c r="C446">
        <f t="shared" si="49"/>
        <v>3</v>
      </c>
      <c r="D446" t="str">
        <f t="shared" si="50"/>
        <v>March</v>
      </c>
      <c r="E446">
        <f t="shared" si="51"/>
        <v>12</v>
      </c>
      <c r="F446">
        <f t="shared" si="52"/>
        <v>20</v>
      </c>
      <c r="G446" t="str">
        <f t="shared" si="53"/>
        <v>Thursday</v>
      </c>
      <c r="H446" t="b">
        <f t="shared" si="54"/>
        <v>0</v>
      </c>
      <c r="I446">
        <f t="shared" si="55"/>
        <v>79</v>
      </c>
      <c r="J446" t="s">
        <v>25</v>
      </c>
      <c r="K446">
        <v>20250320</v>
      </c>
    </row>
    <row r="447" spans="1:11" x14ac:dyDescent="0.3">
      <c r="A447" s="4">
        <v>45737</v>
      </c>
      <c r="B447">
        <f t="shared" si="48"/>
        <v>2025</v>
      </c>
      <c r="C447">
        <f t="shared" si="49"/>
        <v>3</v>
      </c>
      <c r="D447" t="str">
        <f t="shared" si="50"/>
        <v>March</v>
      </c>
      <c r="E447">
        <f t="shared" si="51"/>
        <v>12</v>
      </c>
      <c r="F447">
        <f t="shared" si="52"/>
        <v>21</v>
      </c>
      <c r="G447" t="str">
        <f t="shared" si="53"/>
        <v>Friday</v>
      </c>
      <c r="H447" t="b">
        <f t="shared" si="54"/>
        <v>0</v>
      </c>
      <c r="I447">
        <f t="shared" si="55"/>
        <v>80</v>
      </c>
      <c r="J447" t="s">
        <v>25</v>
      </c>
      <c r="K447">
        <v>20250321</v>
      </c>
    </row>
    <row r="448" spans="1:11" x14ac:dyDescent="0.3">
      <c r="A448" s="4">
        <v>45738</v>
      </c>
      <c r="B448">
        <f t="shared" si="48"/>
        <v>2025</v>
      </c>
      <c r="C448">
        <f t="shared" si="49"/>
        <v>3</v>
      </c>
      <c r="D448" t="str">
        <f t="shared" si="50"/>
        <v>March</v>
      </c>
      <c r="E448">
        <f t="shared" si="51"/>
        <v>12</v>
      </c>
      <c r="F448">
        <f t="shared" si="52"/>
        <v>22</v>
      </c>
      <c r="G448" t="str">
        <f t="shared" si="53"/>
        <v>Saturday</v>
      </c>
      <c r="H448" t="b">
        <f t="shared" si="54"/>
        <v>1</v>
      </c>
      <c r="I448">
        <f t="shared" si="55"/>
        <v>81</v>
      </c>
      <c r="J448" t="s">
        <v>25</v>
      </c>
      <c r="K448">
        <v>20250322</v>
      </c>
    </row>
    <row r="449" spans="1:11" x14ac:dyDescent="0.3">
      <c r="A449" s="4">
        <v>45739</v>
      </c>
      <c r="B449">
        <f t="shared" si="48"/>
        <v>2025</v>
      </c>
      <c r="C449">
        <f t="shared" si="49"/>
        <v>3</v>
      </c>
      <c r="D449" t="str">
        <f t="shared" si="50"/>
        <v>March</v>
      </c>
      <c r="E449">
        <f t="shared" si="51"/>
        <v>13</v>
      </c>
      <c r="F449">
        <f t="shared" si="52"/>
        <v>23</v>
      </c>
      <c r="G449" t="str">
        <f t="shared" si="53"/>
        <v>Sunday</v>
      </c>
      <c r="H449" t="b">
        <f t="shared" si="54"/>
        <v>1</v>
      </c>
      <c r="I449">
        <f t="shared" si="55"/>
        <v>82</v>
      </c>
      <c r="J449" t="s">
        <v>25</v>
      </c>
      <c r="K449">
        <v>20250323</v>
      </c>
    </row>
    <row r="450" spans="1:11" x14ac:dyDescent="0.3">
      <c r="A450" s="4">
        <v>45740</v>
      </c>
      <c r="B450">
        <f t="shared" si="48"/>
        <v>2025</v>
      </c>
      <c r="C450">
        <f t="shared" si="49"/>
        <v>3</v>
      </c>
      <c r="D450" t="str">
        <f t="shared" si="50"/>
        <v>March</v>
      </c>
      <c r="E450">
        <f t="shared" si="51"/>
        <v>13</v>
      </c>
      <c r="F450">
        <f t="shared" si="52"/>
        <v>24</v>
      </c>
      <c r="G450" t="str">
        <f t="shared" si="53"/>
        <v>Monday</v>
      </c>
      <c r="H450" t="b">
        <f t="shared" si="54"/>
        <v>0</v>
      </c>
      <c r="I450">
        <f t="shared" si="55"/>
        <v>83</v>
      </c>
      <c r="J450" t="s">
        <v>25</v>
      </c>
      <c r="K450">
        <v>20250324</v>
      </c>
    </row>
    <row r="451" spans="1:11" x14ac:dyDescent="0.3">
      <c r="A451" s="4">
        <v>45741</v>
      </c>
      <c r="B451">
        <f t="shared" ref="B451:B514" si="56">YEAR(A451)</f>
        <v>2025</v>
      </c>
      <c r="C451">
        <f t="shared" ref="C451:C514" si="57">MONTH(A451)</f>
        <v>3</v>
      </c>
      <c r="D451" t="str">
        <f t="shared" ref="D451:D514" si="58">TEXT(A451,"mmmm")</f>
        <v>March</v>
      </c>
      <c r="E451">
        <f t="shared" ref="E451:E514" si="59">WEEKNUM(A451)</f>
        <v>13</v>
      </c>
      <c r="F451">
        <f t="shared" ref="F451:F514" si="60">DAY(A451)</f>
        <v>25</v>
      </c>
      <c r="G451" t="str">
        <f t="shared" ref="G451:G514" si="61">TEXT((A451),"dddd")</f>
        <v>Tuesday</v>
      </c>
      <c r="H451" t="b">
        <f t="shared" ref="H451:H514" si="62">IF(OR(G451="Saturday",G451="Sunday"),TRUE,FALSE)</f>
        <v>0</v>
      </c>
      <c r="I451">
        <f t="shared" ref="I451:I514" si="63">A451-DATE(YEAR(A451),1,1)+1</f>
        <v>84</v>
      </c>
      <c r="J451" t="s">
        <v>25</v>
      </c>
      <c r="K451">
        <v>20250325</v>
      </c>
    </row>
    <row r="452" spans="1:11" x14ac:dyDescent="0.3">
      <c r="A452" s="4">
        <v>45742</v>
      </c>
      <c r="B452">
        <f t="shared" si="56"/>
        <v>2025</v>
      </c>
      <c r="C452">
        <f t="shared" si="57"/>
        <v>3</v>
      </c>
      <c r="D452" t="str">
        <f t="shared" si="58"/>
        <v>March</v>
      </c>
      <c r="E452">
        <f t="shared" si="59"/>
        <v>13</v>
      </c>
      <c r="F452">
        <f t="shared" si="60"/>
        <v>26</v>
      </c>
      <c r="G452" t="str">
        <f t="shared" si="61"/>
        <v>Wednesday</v>
      </c>
      <c r="H452" t="b">
        <f t="shared" si="62"/>
        <v>0</v>
      </c>
      <c r="I452">
        <f t="shared" si="63"/>
        <v>85</v>
      </c>
      <c r="J452" t="s">
        <v>25</v>
      </c>
      <c r="K452">
        <v>20250326</v>
      </c>
    </row>
    <row r="453" spans="1:11" x14ac:dyDescent="0.3">
      <c r="A453" s="4">
        <v>45743</v>
      </c>
      <c r="B453">
        <f t="shared" si="56"/>
        <v>2025</v>
      </c>
      <c r="C453">
        <f t="shared" si="57"/>
        <v>3</v>
      </c>
      <c r="D453" t="str">
        <f t="shared" si="58"/>
        <v>March</v>
      </c>
      <c r="E453">
        <f t="shared" si="59"/>
        <v>13</v>
      </c>
      <c r="F453">
        <f t="shared" si="60"/>
        <v>27</v>
      </c>
      <c r="G453" t="str">
        <f t="shared" si="61"/>
        <v>Thursday</v>
      </c>
      <c r="H453" t="b">
        <f t="shared" si="62"/>
        <v>0</v>
      </c>
      <c r="I453">
        <f t="shared" si="63"/>
        <v>86</v>
      </c>
      <c r="J453" t="s">
        <v>25</v>
      </c>
      <c r="K453">
        <v>20250327</v>
      </c>
    </row>
    <row r="454" spans="1:11" x14ac:dyDescent="0.3">
      <c r="A454" s="4">
        <v>45744</v>
      </c>
      <c r="B454">
        <f t="shared" si="56"/>
        <v>2025</v>
      </c>
      <c r="C454">
        <f t="shared" si="57"/>
        <v>3</v>
      </c>
      <c r="D454" t="str">
        <f t="shared" si="58"/>
        <v>March</v>
      </c>
      <c r="E454">
        <f t="shared" si="59"/>
        <v>13</v>
      </c>
      <c r="F454">
        <f t="shared" si="60"/>
        <v>28</v>
      </c>
      <c r="G454" t="str">
        <f t="shared" si="61"/>
        <v>Friday</v>
      </c>
      <c r="H454" t="b">
        <f t="shared" si="62"/>
        <v>0</v>
      </c>
      <c r="I454">
        <f t="shared" si="63"/>
        <v>87</v>
      </c>
      <c r="J454" t="s">
        <v>25</v>
      </c>
      <c r="K454">
        <v>20250328</v>
      </c>
    </row>
    <row r="455" spans="1:11" x14ac:dyDescent="0.3">
      <c r="A455" s="4">
        <v>45745</v>
      </c>
      <c r="B455">
        <f t="shared" si="56"/>
        <v>2025</v>
      </c>
      <c r="C455">
        <f t="shared" si="57"/>
        <v>3</v>
      </c>
      <c r="D455" t="str">
        <f t="shared" si="58"/>
        <v>March</v>
      </c>
      <c r="E455">
        <f t="shared" si="59"/>
        <v>13</v>
      </c>
      <c r="F455">
        <f t="shared" si="60"/>
        <v>29</v>
      </c>
      <c r="G455" t="str">
        <f t="shared" si="61"/>
        <v>Saturday</v>
      </c>
      <c r="H455" t="b">
        <f t="shared" si="62"/>
        <v>1</v>
      </c>
      <c r="I455">
        <f t="shared" si="63"/>
        <v>88</v>
      </c>
      <c r="J455" t="s">
        <v>25</v>
      </c>
      <c r="K455">
        <v>20250329</v>
      </c>
    </row>
    <row r="456" spans="1:11" x14ac:dyDescent="0.3">
      <c r="A456" s="4">
        <v>45746</v>
      </c>
      <c r="B456">
        <f t="shared" si="56"/>
        <v>2025</v>
      </c>
      <c r="C456">
        <f t="shared" si="57"/>
        <v>3</v>
      </c>
      <c r="D456" t="str">
        <f t="shared" si="58"/>
        <v>March</v>
      </c>
      <c r="E456">
        <f t="shared" si="59"/>
        <v>14</v>
      </c>
      <c r="F456">
        <f t="shared" si="60"/>
        <v>30</v>
      </c>
      <c r="G456" t="str">
        <f t="shared" si="61"/>
        <v>Sunday</v>
      </c>
      <c r="H456" t="b">
        <f t="shared" si="62"/>
        <v>1</v>
      </c>
      <c r="I456">
        <f t="shared" si="63"/>
        <v>89</v>
      </c>
      <c r="J456" t="s">
        <v>25</v>
      </c>
      <c r="K456">
        <v>20250330</v>
      </c>
    </row>
    <row r="457" spans="1:11" x14ac:dyDescent="0.3">
      <c r="A457" s="4">
        <v>45747</v>
      </c>
      <c r="B457">
        <f t="shared" si="56"/>
        <v>2025</v>
      </c>
      <c r="C457">
        <f t="shared" si="57"/>
        <v>3</v>
      </c>
      <c r="D457" t="str">
        <f t="shared" si="58"/>
        <v>March</v>
      </c>
      <c r="E457">
        <f t="shared" si="59"/>
        <v>14</v>
      </c>
      <c r="F457">
        <f t="shared" si="60"/>
        <v>31</v>
      </c>
      <c r="G457" t="str">
        <f t="shared" si="61"/>
        <v>Monday</v>
      </c>
      <c r="H457" t="b">
        <f t="shared" si="62"/>
        <v>0</v>
      </c>
      <c r="I457">
        <f t="shared" si="63"/>
        <v>90</v>
      </c>
      <c r="J457" t="s">
        <v>25</v>
      </c>
      <c r="K457">
        <v>20250331</v>
      </c>
    </row>
    <row r="458" spans="1:11" x14ac:dyDescent="0.3">
      <c r="A458" s="4">
        <v>45748</v>
      </c>
      <c r="B458">
        <f t="shared" si="56"/>
        <v>2025</v>
      </c>
      <c r="C458">
        <f t="shared" si="57"/>
        <v>4</v>
      </c>
      <c r="D458" t="str">
        <f t="shared" si="58"/>
        <v>April</v>
      </c>
      <c r="E458">
        <f t="shared" si="59"/>
        <v>14</v>
      </c>
      <c r="F458">
        <f t="shared" si="60"/>
        <v>1</v>
      </c>
      <c r="G458" t="str">
        <f t="shared" si="61"/>
        <v>Tuesday</v>
      </c>
      <c r="H458" t="b">
        <f t="shared" si="62"/>
        <v>0</v>
      </c>
      <c r="I458">
        <f t="shared" si="63"/>
        <v>91</v>
      </c>
      <c r="J458" t="s">
        <v>25</v>
      </c>
      <c r="K458">
        <v>20250401</v>
      </c>
    </row>
    <row r="459" spans="1:11" x14ac:dyDescent="0.3">
      <c r="A459" s="4">
        <v>45749</v>
      </c>
      <c r="B459">
        <f t="shared" si="56"/>
        <v>2025</v>
      </c>
      <c r="C459">
        <f t="shared" si="57"/>
        <v>4</v>
      </c>
      <c r="D459" t="str">
        <f t="shared" si="58"/>
        <v>April</v>
      </c>
      <c r="E459">
        <f t="shared" si="59"/>
        <v>14</v>
      </c>
      <c r="F459">
        <f t="shared" si="60"/>
        <v>2</v>
      </c>
      <c r="G459" t="str">
        <f t="shared" si="61"/>
        <v>Wednesday</v>
      </c>
      <c r="H459" t="b">
        <f t="shared" si="62"/>
        <v>0</v>
      </c>
      <c r="I459">
        <f t="shared" si="63"/>
        <v>92</v>
      </c>
      <c r="J459" t="s">
        <v>25</v>
      </c>
      <c r="K459">
        <v>20250402</v>
      </c>
    </row>
    <row r="460" spans="1:11" x14ac:dyDescent="0.3">
      <c r="A460" s="4">
        <v>45750</v>
      </c>
      <c r="B460">
        <f t="shared" si="56"/>
        <v>2025</v>
      </c>
      <c r="C460">
        <f t="shared" si="57"/>
        <v>4</v>
      </c>
      <c r="D460" t="str">
        <f t="shared" si="58"/>
        <v>April</v>
      </c>
      <c r="E460">
        <f t="shared" si="59"/>
        <v>14</v>
      </c>
      <c r="F460">
        <f t="shared" si="60"/>
        <v>3</v>
      </c>
      <c r="G460" t="str">
        <f t="shared" si="61"/>
        <v>Thursday</v>
      </c>
      <c r="H460" t="b">
        <f t="shared" si="62"/>
        <v>0</v>
      </c>
      <c r="I460">
        <f t="shared" si="63"/>
        <v>93</v>
      </c>
      <c r="J460" t="s">
        <v>25</v>
      </c>
      <c r="K460">
        <v>20250403</v>
      </c>
    </row>
    <row r="461" spans="1:11" x14ac:dyDescent="0.3">
      <c r="A461" s="4">
        <v>45751</v>
      </c>
      <c r="B461">
        <f t="shared" si="56"/>
        <v>2025</v>
      </c>
      <c r="C461">
        <f t="shared" si="57"/>
        <v>4</v>
      </c>
      <c r="D461" t="str">
        <f t="shared" si="58"/>
        <v>April</v>
      </c>
      <c r="E461">
        <f t="shared" si="59"/>
        <v>14</v>
      </c>
      <c r="F461">
        <f t="shared" si="60"/>
        <v>4</v>
      </c>
      <c r="G461" t="str">
        <f t="shared" si="61"/>
        <v>Friday</v>
      </c>
      <c r="H461" t="b">
        <f t="shared" si="62"/>
        <v>0</v>
      </c>
      <c r="I461">
        <f t="shared" si="63"/>
        <v>94</v>
      </c>
      <c r="J461" t="s">
        <v>25</v>
      </c>
      <c r="K461">
        <v>20250404</v>
      </c>
    </row>
    <row r="462" spans="1:11" x14ac:dyDescent="0.3">
      <c r="A462" s="4">
        <v>45752</v>
      </c>
      <c r="B462">
        <f t="shared" si="56"/>
        <v>2025</v>
      </c>
      <c r="C462">
        <f t="shared" si="57"/>
        <v>4</v>
      </c>
      <c r="D462" t="str">
        <f t="shared" si="58"/>
        <v>April</v>
      </c>
      <c r="E462">
        <f t="shared" si="59"/>
        <v>14</v>
      </c>
      <c r="F462">
        <f t="shared" si="60"/>
        <v>5</v>
      </c>
      <c r="G462" t="str">
        <f t="shared" si="61"/>
        <v>Saturday</v>
      </c>
      <c r="H462" t="b">
        <f t="shared" si="62"/>
        <v>1</v>
      </c>
      <c r="I462">
        <f t="shared" si="63"/>
        <v>95</v>
      </c>
      <c r="J462" t="s">
        <v>25</v>
      </c>
      <c r="K462">
        <v>20250405</v>
      </c>
    </row>
    <row r="463" spans="1:11" x14ac:dyDescent="0.3">
      <c r="A463" s="4">
        <v>45753</v>
      </c>
      <c r="B463">
        <f t="shared" si="56"/>
        <v>2025</v>
      </c>
      <c r="C463">
        <f t="shared" si="57"/>
        <v>4</v>
      </c>
      <c r="D463" t="str">
        <f t="shared" si="58"/>
        <v>April</v>
      </c>
      <c r="E463">
        <f t="shared" si="59"/>
        <v>15</v>
      </c>
      <c r="F463">
        <f t="shared" si="60"/>
        <v>6</v>
      </c>
      <c r="G463" t="str">
        <f t="shared" si="61"/>
        <v>Sunday</v>
      </c>
      <c r="H463" t="b">
        <f t="shared" si="62"/>
        <v>1</v>
      </c>
      <c r="I463">
        <f t="shared" si="63"/>
        <v>96</v>
      </c>
      <c r="J463" t="s">
        <v>25</v>
      </c>
      <c r="K463">
        <v>20250406</v>
      </c>
    </row>
    <row r="464" spans="1:11" x14ac:dyDescent="0.3">
      <c r="A464" s="4">
        <v>45754</v>
      </c>
      <c r="B464">
        <f t="shared" si="56"/>
        <v>2025</v>
      </c>
      <c r="C464">
        <f t="shared" si="57"/>
        <v>4</v>
      </c>
      <c r="D464" t="str">
        <f t="shared" si="58"/>
        <v>April</v>
      </c>
      <c r="E464">
        <f t="shared" si="59"/>
        <v>15</v>
      </c>
      <c r="F464">
        <f t="shared" si="60"/>
        <v>7</v>
      </c>
      <c r="G464" t="str">
        <f t="shared" si="61"/>
        <v>Monday</v>
      </c>
      <c r="H464" t="b">
        <f t="shared" si="62"/>
        <v>0</v>
      </c>
      <c r="I464">
        <f t="shared" si="63"/>
        <v>97</v>
      </c>
      <c r="J464" t="s">
        <v>25</v>
      </c>
      <c r="K464">
        <v>20250407</v>
      </c>
    </row>
    <row r="465" spans="1:11" x14ac:dyDescent="0.3">
      <c r="A465" s="4">
        <v>45755</v>
      </c>
      <c r="B465">
        <f t="shared" si="56"/>
        <v>2025</v>
      </c>
      <c r="C465">
        <f t="shared" si="57"/>
        <v>4</v>
      </c>
      <c r="D465" t="str">
        <f t="shared" si="58"/>
        <v>April</v>
      </c>
      <c r="E465">
        <f t="shared" si="59"/>
        <v>15</v>
      </c>
      <c r="F465">
        <f t="shared" si="60"/>
        <v>8</v>
      </c>
      <c r="G465" t="str">
        <f t="shared" si="61"/>
        <v>Tuesday</v>
      </c>
      <c r="H465" t="b">
        <f t="shared" si="62"/>
        <v>0</v>
      </c>
      <c r="I465">
        <f t="shared" si="63"/>
        <v>98</v>
      </c>
      <c r="J465" t="s">
        <v>25</v>
      </c>
      <c r="K465">
        <v>20250408</v>
      </c>
    </row>
    <row r="466" spans="1:11" x14ac:dyDescent="0.3">
      <c r="A466" s="4">
        <v>45756</v>
      </c>
      <c r="B466">
        <f t="shared" si="56"/>
        <v>2025</v>
      </c>
      <c r="C466">
        <f t="shared" si="57"/>
        <v>4</v>
      </c>
      <c r="D466" t="str">
        <f t="shared" si="58"/>
        <v>April</v>
      </c>
      <c r="E466">
        <f t="shared" si="59"/>
        <v>15</v>
      </c>
      <c r="F466">
        <f t="shared" si="60"/>
        <v>9</v>
      </c>
      <c r="G466" t="str">
        <f t="shared" si="61"/>
        <v>Wednesday</v>
      </c>
      <c r="H466" t="b">
        <f t="shared" si="62"/>
        <v>0</v>
      </c>
      <c r="I466">
        <f t="shared" si="63"/>
        <v>99</v>
      </c>
      <c r="J466" t="s">
        <v>25</v>
      </c>
      <c r="K466">
        <v>20250409</v>
      </c>
    </row>
    <row r="467" spans="1:11" x14ac:dyDescent="0.3">
      <c r="A467" s="4">
        <v>45757</v>
      </c>
      <c r="B467">
        <f t="shared" si="56"/>
        <v>2025</v>
      </c>
      <c r="C467">
        <f t="shared" si="57"/>
        <v>4</v>
      </c>
      <c r="D467" t="str">
        <f t="shared" si="58"/>
        <v>April</v>
      </c>
      <c r="E467">
        <f t="shared" si="59"/>
        <v>15</v>
      </c>
      <c r="F467">
        <f t="shared" si="60"/>
        <v>10</v>
      </c>
      <c r="G467" t="str">
        <f t="shared" si="61"/>
        <v>Thursday</v>
      </c>
      <c r="H467" t="b">
        <f t="shared" si="62"/>
        <v>0</v>
      </c>
      <c r="I467">
        <f t="shared" si="63"/>
        <v>100</v>
      </c>
      <c r="J467" t="s">
        <v>25</v>
      </c>
      <c r="K467">
        <v>20250410</v>
      </c>
    </row>
    <row r="468" spans="1:11" x14ac:dyDescent="0.3">
      <c r="A468" s="4">
        <v>45758</v>
      </c>
      <c r="B468">
        <f t="shared" si="56"/>
        <v>2025</v>
      </c>
      <c r="C468">
        <f t="shared" si="57"/>
        <v>4</v>
      </c>
      <c r="D468" t="str">
        <f t="shared" si="58"/>
        <v>April</v>
      </c>
      <c r="E468">
        <f t="shared" si="59"/>
        <v>15</v>
      </c>
      <c r="F468">
        <f t="shared" si="60"/>
        <v>11</v>
      </c>
      <c r="G468" t="str">
        <f t="shared" si="61"/>
        <v>Friday</v>
      </c>
      <c r="H468" t="b">
        <f t="shared" si="62"/>
        <v>0</v>
      </c>
      <c r="I468">
        <f t="shared" si="63"/>
        <v>101</v>
      </c>
      <c r="J468" t="s">
        <v>25</v>
      </c>
      <c r="K468">
        <v>20250411</v>
      </c>
    </row>
    <row r="469" spans="1:11" x14ac:dyDescent="0.3">
      <c r="A469" s="4">
        <v>45759</v>
      </c>
      <c r="B469">
        <f t="shared" si="56"/>
        <v>2025</v>
      </c>
      <c r="C469">
        <f t="shared" si="57"/>
        <v>4</v>
      </c>
      <c r="D469" t="str">
        <f t="shared" si="58"/>
        <v>April</v>
      </c>
      <c r="E469">
        <f t="shared" si="59"/>
        <v>15</v>
      </c>
      <c r="F469">
        <f t="shared" si="60"/>
        <v>12</v>
      </c>
      <c r="G469" t="str">
        <f t="shared" si="61"/>
        <v>Saturday</v>
      </c>
      <c r="H469" t="b">
        <f t="shared" si="62"/>
        <v>1</v>
      </c>
      <c r="I469">
        <f t="shared" si="63"/>
        <v>102</v>
      </c>
      <c r="J469" t="s">
        <v>25</v>
      </c>
      <c r="K469">
        <v>20250412</v>
      </c>
    </row>
    <row r="470" spans="1:11" x14ac:dyDescent="0.3">
      <c r="A470" s="4">
        <v>45760</v>
      </c>
      <c r="B470">
        <f t="shared" si="56"/>
        <v>2025</v>
      </c>
      <c r="C470">
        <f t="shared" si="57"/>
        <v>4</v>
      </c>
      <c r="D470" t="str">
        <f t="shared" si="58"/>
        <v>April</v>
      </c>
      <c r="E470">
        <f t="shared" si="59"/>
        <v>16</v>
      </c>
      <c r="F470">
        <f t="shared" si="60"/>
        <v>13</v>
      </c>
      <c r="G470" t="str">
        <f t="shared" si="61"/>
        <v>Sunday</v>
      </c>
      <c r="H470" t="b">
        <f t="shared" si="62"/>
        <v>1</v>
      </c>
      <c r="I470">
        <f t="shared" si="63"/>
        <v>103</v>
      </c>
      <c r="J470" t="s">
        <v>25</v>
      </c>
      <c r="K470">
        <v>20250413</v>
      </c>
    </row>
    <row r="471" spans="1:11" x14ac:dyDescent="0.3">
      <c r="A471" s="4">
        <v>45761</v>
      </c>
      <c r="B471">
        <f t="shared" si="56"/>
        <v>2025</v>
      </c>
      <c r="C471">
        <f t="shared" si="57"/>
        <v>4</v>
      </c>
      <c r="D471" t="str">
        <f t="shared" si="58"/>
        <v>April</v>
      </c>
      <c r="E471">
        <f t="shared" si="59"/>
        <v>16</v>
      </c>
      <c r="F471">
        <f t="shared" si="60"/>
        <v>14</v>
      </c>
      <c r="G471" t="str">
        <f t="shared" si="61"/>
        <v>Monday</v>
      </c>
      <c r="H471" t="b">
        <f t="shared" si="62"/>
        <v>0</v>
      </c>
      <c r="I471">
        <f t="shared" si="63"/>
        <v>104</v>
      </c>
      <c r="J471" t="s">
        <v>25</v>
      </c>
      <c r="K471">
        <v>20250414</v>
      </c>
    </row>
    <row r="472" spans="1:11" x14ac:dyDescent="0.3">
      <c r="A472" s="4">
        <v>45762</v>
      </c>
      <c r="B472">
        <f t="shared" si="56"/>
        <v>2025</v>
      </c>
      <c r="C472">
        <f t="shared" si="57"/>
        <v>4</v>
      </c>
      <c r="D472" t="str">
        <f t="shared" si="58"/>
        <v>April</v>
      </c>
      <c r="E472">
        <f t="shared" si="59"/>
        <v>16</v>
      </c>
      <c r="F472">
        <f t="shared" si="60"/>
        <v>15</v>
      </c>
      <c r="G472" t="str">
        <f t="shared" si="61"/>
        <v>Tuesday</v>
      </c>
      <c r="H472" t="b">
        <f t="shared" si="62"/>
        <v>0</v>
      </c>
      <c r="I472">
        <f t="shared" si="63"/>
        <v>105</v>
      </c>
      <c r="J472" t="s">
        <v>25</v>
      </c>
      <c r="K472">
        <v>20250415</v>
      </c>
    </row>
    <row r="473" spans="1:11" x14ac:dyDescent="0.3">
      <c r="A473" s="4">
        <v>45763</v>
      </c>
      <c r="B473">
        <f t="shared" si="56"/>
        <v>2025</v>
      </c>
      <c r="C473">
        <f t="shared" si="57"/>
        <v>4</v>
      </c>
      <c r="D473" t="str">
        <f t="shared" si="58"/>
        <v>April</v>
      </c>
      <c r="E473">
        <f t="shared" si="59"/>
        <v>16</v>
      </c>
      <c r="F473">
        <f t="shared" si="60"/>
        <v>16</v>
      </c>
      <c r="G473" t="str">
        <f t="shared" si="61"/>
        <v>Wednesday</v>
      </c>
      <c r="H473" t="b">
        <f t="shared" si="62"/>
        <v>0</v>
      </c>
      <c r="I473">
        <f t="shared" si="63"/>
        <v>106</v>
      </c>
      <c r="J473" t="s">
        <v>25</v>
      </c>
      <c r="K473">
        <v>20250416</v>
      </c>
    </row>
    <row r="474" spans="1:11" x14ac:dyDescent="0.3">
      <c r="A474" s="4">
        <v>45764</v>
      </c>
      <c r="B474">
        <f t="shared" si="56"/>
        <v>2025</v>
      </c>
      <c r="C474">
        <f t="shared" si="57"/>
        <v>4</v>
      </c>
      <c r="D474" t="str">
        <f t="shared" si="58"/>
        <v>April</v>
      </c>
      <c r="E474">
        <f t="shared" si="59"/>
        <v>16</v>
      </c>
      <c r="F474">
        <f t="shared" si="60"/>
        <v>17</v>
      </c>
      <c r="G474" t="str">
        <f t="shared" si="61"/>
        <v>Thursday</v>
      </c>
      <c r="H474" t="b">
        <f t="shared" si="62"/>
        <v>0</v>
      </c>
      <c r="I474">
        <f t="shared" si="63"/>
        <v>107</v>
      </c>
      <c r="J474" t="s">
        <v>25</v>
      </c>
      <c r="K474">
        <v>20250417</v>
      </c>
    </row>
    <row r="475" spans="1:11" x14ac:dyDescent="0.3">
      <c r="A475" s="4">
        <v>45765</v>
      </c>
      <c r="B475">
        <f t="shared" si="56"/>
        <v>2025</v>
      </c>
      <c r="C475">
        <f t="shared" si="57"/>
        <v>4</v>
      </c>
      <c r="D475" t="str">
        <f t="shared" si="58"/>
        <v>April</v>
      </c>
      <c r="E475">
        <f t="shared" si="59"/>
        <v>16</v>
      </c>
      <c r="F475">
        <f t="shared" si="60"/>
        <v>18</v>
      </c>
      <c r="G475" t="str">
        <f t="shared" si="61"/>
        <v>Friday</v>
      </c>
      <c r="H475" t="b">
        <f t="shared" si="62"/>
        <v>0</v>
      </c>
      <c r="I475">
        <f t="shared" si="63"/>
        <v>108</v>
      </c>
      <c r="J475" t="s">
        <v>25</v>
      </c>
      <c r="K475">
        <v>20250418</v>
      </c>
    </row>
    <row r="476" spans="1:11" x14ac:dyDescent="0.3">
      <c r="A476" s="4">
        <v>45766</v>
      </c>
      <c r="B476">
        <f t="shared" si="56"/>
        <v>2025</v>
      </c>
      <c r="C476">
        <f t="shared" si="57"/>
        <v>4</v>
      </c>
      <c r="D476" t="str">
        <f t="shared" si="58"/>
        <v>April</v>
      </c>
      <c r="E476">
        <f t="shared" si="59"/>
        <v>16</v>
      </c>
      <c r="F476">
        <f t="shared" si="60"/>
        <v>19</v>
      </c>
      <c r="G476" t="str">
        <f t="shared" si="61"/>
        <v>Saturday</v>
      </c>
      <c r="H476" t="b">
        <f t="shared" si="62"/>
        <v>1</v>
      </c>
      <c r="I476">
        <f t="shared" si="63"/>
        <v>109</v>
      </c>
      <c r="J476" t="s">
        <v>25</v>
      </c>
      <c r="K476">
        <v>20250419</v>
      </c>
    </row>
    <row r="477" spans="1:11" x14ac:dyDescent="0.3">
      <c r="A477" s="4">
        <v>45767</v>
      </c>
      <c r="B477">
        <f t="shared" si="56"/>
        <v>2025</v>
      </c>
      <c r="C477">
        <f t="shared" si="57"/>
        <v>4</v>
      </c>
      <c r="D477" t="str">
        <f t="shared" si="58"/>
        <v>April</v>
      </c>
      <c r="E477">
        <f t="shared" si="59"/>
        <v>17</v>
      </c>
      <c r="F477">
        <f t="shared" si="60"/>
        <v>20</v>
      </c>
      <c r="G477" t="str">
        <f t="shared" si="61"/>
        <v>Sunday</v>
      </c>
      <c r="H477" t="b">
        <f t="shared" si="62"/>
        <v>1</v>
      </c>
      <c r="I477">
        <f t="shared" si="63"/>
        <v>110</v>
      </c>
      <c r="J477" t="s">
        <v>25</v>
      </c>
      <c r="K477">
        <v>20250420</v>
      </c>
    </row>
    <row r="478" spans="1:11" x14ac:dyDescent="0.3">
      <c r="A478" s="4">
        <v>45768</v>
      </c>
      <c r="B478">
        <f t="shared" si="56"/>
        <v>2025</v>
      </c>
      <c r="C478">
        <f t="shared" si="57"/>
        <v>4</v>
      </c>
      <c r="D478" t="str">
        <f t="shared" si="58"/>
        <v>April</v>
      </c>
      <c r="E478">
        <f t="shared" si="59"/>
        <v>17</v>
      </c>
      <c r="F478">
        <f t="shared" si="60"/>
        <v>21</v>
      </c>
      <c r="G478" t="str">
        <f t="shared" si="61"/>
        <v>Monday</v>
      </c>
      <c r="H478" t="b">
        <f t="shared" si="62"/>
        <v>0</v>
      </c>
      <c r="I478">
        <f t="shared" si="63"/>
        <v>111</v>
      </c>
      <c r="J478" t="s">
        <v>25</v>
      </c>
      <c r="K478">
        <v>20250421</v>
      </c>
    </row>
    <row r="479" spans="1:11" x14ac:dyDescent="0.3">
      <c r="A479" s="4">
        <v>45769</v>
      </c>
      <c r="B479">
        <f t="shared" si="56"/>
        <v>2025</v>
      </c>
      <c r="C479">
        <f t="shared" si="57"/>
        <v>4</v>
      </c>
      <c r="D479" t="str">
        <f t="shared" si="58"/>
        <v>April</v>
      </c>
      <c r="E479">
        <f t="shared" si="59"/>
        <v>17</v>
      </c>
      <c r="F479">
        <f t="shared" si="60"/>
        <v>22</v>
      </c>
      <c r="G479" t="str">
        <f t="shared" si="61"/>
        <v>Tuesday</v>
      </c>
      <c r="H479" t="b">
        <f t="shared" si="62"/>
        <v>0</v>
      </c>
      <c r="I479">
        <f t="shared" si="63"/>
        <v>112</v>
      </c>
      <c r="J479" t="s">
        <v>25</v>
      </c>
      <c r="K479">
        <v>20250422</v>
      </c>
    </row>
    <row r="480" spans="1:11" x14ac:dyDescent="0.3">
      <c r="A480" s="4">
        <v>45770</v>
      </c>
      <c r="B480">
        <f t="shared" si="56"/>
        <v>2025</v>
      </c>
      <c r="C480">
        <f t="shared" si="57"/>
        <v>4</v>
      </c>
      <c r="D480" t="str">
        <f t="shared" si="58"/>
        <v>April</v>
      </c>
      <c r="E480">
        <f t="shared" si="59"/>
        <v>17</v>
      </c>
      <c r="F480">
        <f t="shared" si="60"/>
        <v>23</v>
      </c>
      <c r="G480" t="str">
        <f t="shared" si="61"/>
        <v>Wednesday</v>
      </c>
      <c r="H480" t="b">
        <f t="shared" si="62"/>
        <v>0</v>
      </c>
      <c r="I480">
        <f t="shared" si="63"/>
        <v>113</v>
      </c>
      <c r="J480" t="s">
        <v>25</v>
      </c>
      <c r="K480">
        <v>20250423</v>
      </c>
    </row>
    <row r="481" spans="1:11" x14ac:dyDescent="0.3">
      <c r="A481" s="4">
        <v>45771</v>
      </c>
      <c r="B481">
        <f t="shared" si="56"/>
        <v>2025</v>
      </c>
      <c r="C481">
        <f t="shared" si="57"/>
        <v>4</v>
      </c>
      <c r="D481" t="str">
        <f t="shared" si="58"/>
        <v>April</v>
      </c>
      <c r="E481">
        <f t="shared" si="59"/>
        <v>17</v>
      </c>
      <c r="F481">
        <f t="shared" si="60"/>
        <v>24</v>
      </c>
      <c r="G481" t="str">
        <f t="shared" si="61"/>
        <v>Thursday</v>
      </c>
      <c r="H481" t="b">
        <f t="shared" si="62"/>
        <v>0</v>
      </c>
      <c r="I481">
        <f t="shared" si="63"/>
        <v>114</v>
      </c>
      <c r="J481" t="s">
        <v>25</v>
      </c>
      <c r="K481">
        <v>20250424</v>
      </c>
    </row>
    <row r="482" spans="1:11" x14ac:dyDescent="0.3">
      <c r="A482" s="4">
        <v>45772</v>
      </c>
      <c r="B482">
        <f t="shared" si="56"/>
        <v>2025</v>
      </c>
      <c r="C482">
        <f t="shared" si="57"/>
        <v>4</v>
      </c>
      <c r="D482" t="str">
        <f t="shared" si="58"/>
        <v>April</v>
      </c>
      <c r="E482">
        <f t="shared" si="59"/>
        <v>17</v>
      </c>
      <c r="F482">
        <f t="shared" si="60"/>
        <v>25</v>
      </c>
      <c r="G482" t="str">
        <f t="shared" si="61"/>
        <v>Friday</v>
      </c>
      <c r="H482" t="b">
        <f t="shared" si="62"/>
        <v>0</v>
      </c>
      <c r="I482">
        <f t="shared" si="63"/>
        <v>115</v>
      </c>
      <c r="J482" t="s">
        <v>25</v>
      </c>
      <c r="K482">
        <v>20250425</v>
      </c>
    </row>
    <row r="483" spans="1:11" x14ac:dyDescent="0.3">
      <c r="A483" s="4">
        <v>45773</v>
      </c>
      <c r="B483">
        <f t="shared" si="56"/>
        <v>2025</v>
      </c>
      <c r="C483">
        <f t="shared" si="57"/>
        <v>4</v>
      </c>
      <c r="D483" t="str">
        <f t="shared" si="58"/>
        <v>April</v>
      </c>
      <c r="E483">
        <f t="shared" si="59"/>
        <v>17</v>
      </c>
      <c r="F483">
        <f t="shared" si="60"/>
        <v>26</v>
      </c>
      <c r="G483" t="str">
        <f t="shared" si="61"/>
        <v>Saturday</v>
      </c>
      <c r="H483" t="b">
        <f t="shared" si="62"/>
        <v>1</v>
      </c>
      <c r="I483">
        <f t="shared" si="63"/>
        <v>116</v>
      </c>
      <c r="J483" t="s">
        <v>25</v>
      </c>
      <c r="K483">
        <v>20250426</v>
      </c>
    </row>
    <row r="484" spans="1:11" x14ac:dyDescent="0.3">
      <c r="A484" s="4">
        <v>45774</v>
      </c>
      <c r="B484">
        <f t="shared" si="56"/>
        <v>2025</v>
      </c>
      <c r="C484">
        <f t="shared" si="57"/>
        <v>4</v>
      </c>
      <c r="D484" t="str">
        <f t="shared" si="58"/>
        <v>April</v>
      </c>
      <c r="E484">
        <f t="shared" si="59"/>
        <v>18</v>
      </c>
      <c r="F484">
        <f t="shared" si="60"/>
        <v>27</v>
      </c>
      <c r="G484" t="str">
        <f t="shared" si="61"/>
        <v>Sunday</v>
      </c>
      <c r="H484" t="b">
        <f t="shared" si="62"/>
        <v>1</v>
      </c>
      <c r="I484">
        <f t="shared" si="63"/>
        <v>117</v>
      </c>
      <c r="J484" t="s">
        <v>25</v>
      </c>
      <c r="K484">
        <v>20250427</v>
      </c>
    </row>
    <row r="485" spans="1:11" x14ac:dyDescent="0.3">
      <c r="A485" s="4">
        <v>45775</v>
      </c>
      <c r="B485">
        <f t="shared" si="56"/>
        <v>2025</v>
      </c>
      <c r="C485">
        <f t="shared" si="57"/>
        <v>4</v>
      </c>
      <c r="D485" t="str">
        <f t="shared" si="58"/>
        <v>April</v>
      </c>
      <c r="E485">
        <f t="shared" si="59"/>
        <v>18</v>
      </c>
      <c r="F485">
        <f t="shared" si="60"/>
        <v>28</v>
      </c>
      <c r="G485" t="str">
        <f t="shared" si="61"/>
        <v>Monday</v>
      </c>
      <c r="H485" t="b">
        <f t="shared" si="62"/>
        <v>0</v>
      </c>
      <c r="I485">
        <f t="shared" si="63"/>
        <v>118</v>
      </c>
      <c r="J485" t="s">
        <v>25</v>
      </c>
      <c r="K485">
        <v>20250428</v>
      </c>
    </row>
    <row r="486" spans="1:11" x14ac:dyDescent="0.3">
      <c r="A486" s="4">
        <v>45776</v>
      </c>
      <c r="B486">
        <f t="shared" si="56"/>
        <v>2025</v>
      </c>
      <c r="C486">
        <f t="shared" si="57"/>
        <v>4</v>
      </c>
      <c r="D486" t="str">
        <f t="shared" si="58"/>
        <v>April</v>
      </c>
      <c r="E486">
        <f t="shared" si="59"/>
        <v>18</v>
      </c>
      <c r="F486">
        <f t="shared" si="60"/>
        <v>29</v>
      </c>
      <c r="G486" t="str">
        <f t="shared" si="61"/>
        <v>Tuesday</v>
      </c>
      <c r="H486" t="b">
        <f t="shared" si="62"/>
        <v>0</v>
      </c>
      <c r="I486">
        <f t="shared" si="63"/>
        <v>119</v>
      </c>
      <c r="J486" t="s">
        <v>25</v>
      </c>
      <c r="K486">
        <v>20250429</v>
      </c>
    </row>
    <row r="487" spans="1:11" x14ac:dyDescent="0.3">
      <c r="A487" s="4">
        <v>45777</v>
      </c>
      <c r="B487">
        <f t="shared" si="56"/>
        <v>2025</v>
      </c>
      <c r="C487">
        <f t="shared" si="57"/>
        <v>4</v>
      </c>
      <c r="D487" t="str">
        <f t="shared" si="58"/>
        <v>April</v>
      </c>
      <c r="E487">
        <f t="shared" si="59"/>
        <v>18</v>
      </c>
      <c r="F487">
        <f t="shared" si="60"/>
        <v>30</v>
      </c>
      <c r="G487" t="str">
        <f t="shared" si="61"/>
        <v>Wednesday</v>
      </c>
      <c r="H487" t="b">
        <f t="shared" si="62"/>
        <v>0</v>
      </c>
      <c r="I487">
        <f t="shared" si="63"/>
        <v>120</v>
      </c>
      <c r="J487" t="s">
        <v>25</v>
      </c>
      <c r="K487">
        <v>20250430</v>
      </c>
    </row>
    <row r="488" spans="1:11" x14ac:dyDescent="0.3">
      <c r="A488" s="4">
        <v>45778</v>
      </c>
      <c r="B488">
        <f t="shared" si="56"/>
        <v>2025</v>
      </c>
      <c r="C488">
        <f t="shared" si="57"/>
        <v>5</v>
      </c>
      <c r="D488" t="str">
        <f t="shared" si="58"/>
        <v>May</v>
      </c>
      <c r="E488">
        <f t="shared" si="59"/>
        <v>18</v>
      </c>
      <c r="F488">
        <f t="shared" si="60"/>
        <v>1</v>
      </c>
      <c r="G488" t="str">
        <f t="shared" si="61"/>
        <v>Thursday</v>
      </c>
      <c r="H488" t="b">
        <f t="shared" si="62"/>
        <v>0</v>
      </c>
      <c r="I488">
        <f t="shared" si="63"/>
        <v>121</v>
      </c>
      <c r="J488" t="s">
        <v>28</v>
      </c>
      <c r="K488">
        <v>20250501</v>
      </c>
    </row>
    <row r="489" spans="1:11" x14ac:dyDescent="0.3">
      <c r="A489" s="4">
        <v>45779</v>
      </c>
      <c r="B489">
        <f t="shared" si="56"/>
        <v>2025</v>
      </c>
      <c r="C489">
        <f t="shared" si="57"/>
        <v>5</v>
      </c>
      <c r="D489" t="str">
        <f t="shared" si="58"/>
        <v>May</v>
      </c>
      <c r="E489">
        <f t="shared" si="59"/>
        <v>18</v>
      </c>
      <c r="F489">
        <f t="shared" si="60"/>
        <v>2</v>
      </c>
      <c r="G489" t="str">
        <f t="shared" si="61"/>
        <v>Friday</v>
      </c>
      <c r="H489" t="b">
        <f t="shared" si="62"/>
        <v>0</v>
      </c>
      <c r="I489">
        <f t="shared" si="63"/>
        <v>122</v>
      </c>
      <c r="J489" t="s">
        <v>28</v>
      </c>
      <c r="K489">
        <v>20250502</v>
      </c>
    </row>
    <row r="490" spans="1:11" x14ac:dyDescent="0.3">
      <c r="A490" s="4">
        <v>45780</v>
      </c>
      <c r="B490">
        <f t="shared" si="56"/>
        <v>2025</v>
      </c>
      <c r="C490">
        <f t="shared" si="57"/>
        <v>5</v>
      </c>
      <c r="D490" t="str">
        <f t="shared" si="58"/>
        <v>May</v>
      </c>
      <c r="E490">
        <f t="shared" si="59"/>
        <v>18</v>
      </c>
      <c r="F490">
        <f t="shared" si="60"/>
        <v>3</v>
      </c>
      <c r="G490" t="str">
        <f t="shared" si="61"/>
        <v>Saturday</v>
      </c>
      <c r="H490" t="b">
        <f t="shared" si="62"/>
        <v>1</v>
      </c>
      <c r="I490">
        <f t="shared" si="63"/>
        <v>123</v>
      </c>
      <c r="J490" t="s">
        <v>28</v>
      </c>
      <c r="K490">
        <v>20250503</v>
      </c>
    </row>
    <row r="491" spans="1:11" x14ac:dyDescent="0.3">
      <c r="A491" s="4">
        <v>45781</v>
      </c>
      <c r="B491">
        <f t="shared" si="56"/>
        <v>2025</v>
      </c>
      <c r="C491">
        <f t="shared" si="57"/>
        <v>5</v>
      </c>
      <c r="D491" t="str">
        <f t="shared" si="58"/>
        <v>May</v>
      </c>
      <c r="E491">
        <f t="shared" si="59"/>
        <v>19</v>
      </c>
      <c r="F491">
        <f t="shared" si="60"/>
        <v>4</v>
      </c>
      <c r="G491" t="str">
        <f t="shared" si="61"/>
        <v>Sunday</v>
      </c>
      <c r="H491" t="b">
        <f t="shared" si="62"/>
        <v>1</v>
      </c>
      <c r="I491">
        <f t="shared" si="63"/>
        <v>124</v>
      </c>
      <c r="J491" t="s">
        <v>28</v>
      </c>
      <c r="K491">
        <v>20250504</v>
      </c>
    </row>
    <row r="492" spans="1:11" x14ac:dyDescent="0.3">
      <c r="A492" s="4">
        <v>45782</v>
      </c>
      <c r="B492">
        <f t="shared" si="56"/>
        <v>2025</v>
      </c>
      <c r="C492">
        <f t="shared" si="57"/>
        <v>5</v>
      </c>
      <c r="D492" t="str">
        <f t="shared" si="58"/>
        <v>May</v>
      </c>
      <c r="E492">
        <f t="shared" si="59"/>
        <v>19</v>
      </c>
      <c r="F492">
        <f t="shared" si="60"/>
        <v>5</v>
      </c>
      <c r="G492" t="str">
        <f t="shared" si="61"/>
        <v>Monday</v>
      </c>
      <c r="H492" t="b">
        <f t="shared" si="62"/>
        <v>0</v>
      </c>
      <c r="I492">
        <f t="shared" si="63"/>
        <v>125</v>
      </c>
      <c r="J492" t="s">
        <v>28</v>
      </c>
      <c r="K492">
        <v>20250505</v>
      </c>
    </row>
    <row r="493" spans="1:11" x14ac:dyDescent="0.3">
      <c r="A493" s="4">
        <v>45783</v>
      </c>
      <c r="B493">
        <f t="shared" si="56"/>
        <v>2025</v>
      </c>
      <c r="C493">
        <f t="shared" si="57"/>
        <v>5</v>
      </c>
      <c r="D493" t="str">
        <f t="shared" si="58"/>
        <v>May</v>
      </c>
      <c r="E493">
        <f t="shared" si="59"/>
        <v>19</v>
      </c>
      <c r="F493">
        <f t="shared" si="60"/>
        <v>6</v>
      </c>
      <c r="G493" t="str">
        <f t="shared" si="61"/>
        <v>Tuesday</v>
      </c>
      <c r="H493" t="b">
        <f t="shared" si="62"/>
        <v>0</v>
      </c>
      <c r="I493">
        <f t="shared" si="63"/>
        <v>126</v>
      </c>
      <c r="J493" t="s">
        <v>28</v>
      </c>
      <c r="K493">
        <v>20250506</v>
      </c>
    </row>
    <row r="494" spans="1:11" x14ac:dyDescent="0.3">
      <c r="A494" s="4">
        <v>45784</v>
      </c>
      <c r="B494">
        <f t="shared" si="56"/>
        <v>2025</v>
      </c>
      <c r="C494">
        <f t="shared" si="57"/>
        <v>5</v>
      </c>
      <c r="D494" t="str">
        <f t="shared" si="58"/>
        <v>May</v>
      </c>
      <c r="E494">
        <f t="shared" si="59"/>
        <v>19</v>
      </c>
      <c r="F494">
        <f t="shared" si="60"/>
        <v>7</v>
      </c>
      <c r="G494" t="str">
        <f t="shared" si="61"/>
        <v>Wednesday</v>
      </c>
      <c r="H494" t="b">
        <f t="shared" si="62"/>
        <v>0</v>
      </c>
      <c r="I494">
        <f t="shared" si="63"/>
        <v>127</v>
      </c>
      <c r="J494" t="s">
        <v>28</v>
      </c>
      <c r="K494">
        <v>20250507</v>
      </c>
    </row>
    <row r="495" spans="1:11" x14ac:dyDescent="0.3">
      <c r="A495" s="4">
        <v>45785</v>
      </c>
      <c r="B495">
        <f t="shared" si="56"/>
        <v>2025</v>
      </c>
      <c r="C495">
        <f t="shared" si="57"/>
        <v>5</v>
      </c>
      <c r="D495" t="str">
        <f t="shared" si="58"/>
        <v>May</v>
      </c>
      <c r="E495">
        <f t="shared" si="59"/>
        <v>19</v>
      </c>
      <c r="F495">
        <f t="shared" si="60"/>
        <v>8</v>
      </c>
      <c r="G495" t="str">
        <f t="shared" si="61"/>
        <v>Thursday</v>
      </c>
      <c r="H495" t="b">
        <f t="shared" si="62"/>
        <v>0</v>
      </c>
      <c r="I495">
        <f t="shared" si="63"/>
        <v>128</v>
      </c>
      <c r="J495" t="s">
        <v>28</v>
      </c>
      <c r="K495">
        <v>20250508</v>
      </c>
    </row>
    <row r="496" spans="1:11" x14ac:dyDescent="0.3">
      <c r="A496" s="4">
        <v>45786</v>
      </c>
      <c r="B496">
        <f t="shared" si="56"/>
        <v>2025</v>
      </c>
      <c r="C496">
        <f t="shared" si="57"/>
        <v>5</v>
      </c>
      <c r="D496" t="str">
        <f t="shared" si="58"/>
        <v>May</v>
      </c>
      <c r="E496">
        <f t="shared" si="59"/>
        <v>19</v>
      </c>
      <c r="F496">
        <f t="shared" si="60"/>
        <v>9</v>
      </c>
      <c r="G496" t="str">
        <f t="shared" si="61"/>
        <v>Friday</v>
      </c>
      <c r="H496" t="b">
        <f t="shared" si="62"/>
        <v>0</v>
      </c>
      <c r="I496">
        <f t="shared" si="63"/>
        <v>129</v>
      </c>
      <c r="J496" t="s">
        <v>28</v>
      </c>
      <c r="K496">
        <v>20250509</v>
      </c>
    </row>
    <row r="497" spans="1:11" x14ac:dyDescent="0.3">
      <c r="A497" s="4">
        <v>45787</v>
      </c>
      <c r="B497">
        <f t="shared" si="56"/>
        <v>2025</v>
      </c>
      <c r="C497">
        <f t="shared" si="57"/>
        <v>5</v>
      </c>
      <c r="D497" t="str">
        <f t="shared" si="58"/>
        <v>May</v>
      </c>
      <c r="E497">
        <f t="shared" si="59"/>
        <v>19</v>
      </c>
      <c r="F497">
        <f t="shared" si="60"/>
        <v>10</v>
      </c>
      <c r="G497" t="str">
        <f t="shared" si="61"/>
        <v>Saturday</v>
      </c>
      <c r="H497" t="b">
        <f t="shared" si="62"/>
        <v>1</v>
      </c>
      <c r="I497">
        <f t="shared" si="63"/>
        <v>130</v>
      </c>
      <c r="J497" t="s">
        <v>28</v>
      </c>
      <c r="K497">
        <v>20250510</v>
      </c>
    </row>
    <row r="498" spans="1:11" x14ac:dyDescent="0.3">
      <c r="A498" s="4">
        <v>45788</v>
      </c>
      <c r="B498">
        <f t="shared" si="56"/>
        <v>2025</v>
      </c>
      <c r="C498">
        <f t="shared" si="57"/>
        <v>5</v>
      </c>
      <c r="D498" t="str">
        <f t="shared" si="58"/>
        <v>May</v>
      </c>
      <c r="E498">
        <f t="shared" si="59"/>
        <v>20</v>
      </c>
      <c r="F498">
        <f t="shared" si="60"/>
        <v>11</v>
      </c>
      <c r="G498" t="str">
        <f t="shared" si="61"/>
        <v>Sunday</v>
      </c>
      <c r="H498" t="b">
        <f t="shared" si="62"/>
        <v>1</v>
      </c>
      <c r="I498">
        <f t="shared" si="63"/>
        <v>131</v>
      </c>
      <c r="J498" t="s">
        <v>28</v>
      </c>
      <c r="K498">
        <v>20250511</v>
      </c>
    </row>
    <row r="499" spans="1:11" x14ac:dyDescent="0.3">
      <c r="A499" s="4">
        <v>45789</v>
      </c>
      <c r="B499">
        <f t="shared" si="56"/>
        <v>2025</v>
      </c>
      <c r="C499">
        <f t="shared" si="57"/>
        <v>5</v>
      </c>
      <c r="D499" t="str">
        <f t="shared" si="58"/>
        <v>May</v>
      </c>
      <c r="E499">
        <f t="shared" si="59"/>
        <v>20</v>
      </c>
      <c r="F499">
        <f t="shared" si="60"/>
        <v>12</v>
      </c>
      <c r="G499" t="str">
        <f t="shared" si="61"/>
        <v>Monday</v>
      </c>
      <c r="H499" t="b">
        <f t="shared" si="62"/>
        <v>0</v>
      </c>
      <c r="I499">
        <f t="shared" si="63"/>
        <v>132</v>
      </c>
      <c r="J499" t="s">
        <v>28</v>
      </c>
      <c r="K499">
        <v>20250512</v>
      </c>
    </row>
    <row r="500" spans="1:11" x14ac:dyDescent="0.3">
      <c r="A500" s="4">
        <v>45790</v>
      </c>
      <c r="B500">
        <f t="shared" si="56"/>
        <v>2025</v>
      </c>
      <c r="C500">
        <f t="shared" si="57"/>
        <v>5</v>
      </c>
      <c r="D500" t="str">
        <f t="shared" si="58"/>
        <v>May</v>
      </c>
      <c r="E500">
        <f t="shared" si="59"/>
        <v>20</v>
      </c>
      <c r="F500">
        <f t="shared" si="60"/>
        <v>13</v>
      </c>
      <c r="G500" t="str">
        <f t="shared" si="61"/>
        <v>Tuesday</v>
      </c>
      <c r="H500" t="b">
        <f t="shared" si="62"/>
        <v>0</v>
      </c>
      <c r="I500">
        <f t="shared" si="63"/>
        <v>133</v>
      </c>
      <c r="J500" t="s">
        <v>28</v>
      </c>
      <c r="K500">
        <v>20250513</v>
      </c>
    </row>
    <row r="501" spans="1:11" x14ac:dyDescent="0.3">
      <c r="A501" s="4">
        <v>45791</v>
      </c>
      <c r="B501">
        <f t="shared" si="56"/>
        <v>2025</v>
      </c>
      <c r="C501">
        <f t="shared" si="57"/>
        <v>5</v>
      </c>
      <c r="D501" t="str">
        <f t="shared" si="58"/>
        <v>May</v>
      </c>
      <c r="E501">
        <f t="shared" si="59"/>
        <v>20</v>
      </c>
      <c r="F501">
        <f t="shared" si="60"/>
        <v>14</v>
      </c>
      <c r="G501" t="str">
        <f t="shared" si="61"/>
        <v>Wednesday</v>
      </c>
      <c r="H501" t="b">
        <f t="shared" si="62"/>
        <v>0</v>
      </c>
      <c r="I501">
        <f t="shared" si="63"/>
        <v>134</v>
      </c>
      <c r="J501" t="s">
        <v>28</v>
      </c>
      <c r="K501">
        <v>20250514</v>
      </c>
    </row>
    <row r="502" spans="1:11" x14ac:dyDescent="0.3">
      <c r="A502" s="4">
        <v>45792</v>
      </c>
      <c r="B502">
        <f t="shared" si="56"/>
        <v>2025</v>
      </c>
      <c r="C502">
        <f t="shared" si="57"/>
        <v>5</v>
      </c>
      <c r="D502" t="str">
        <f t="shared" si="58"/>
        <v>May</v>
      </c>
      <c r="E502">
        <f t="shared" si="59"/>
        <v>20</v>
      </c>
      <c r="F502">
        <f t="shared" si="60"/>
        <v>15</v>
      </c>
      <c r="G502" t="str">
        <f t="shared" si="61"/>
        <v>Thursday</v>
      </c>
      <c r="H502" t="b">
        <f t="shared" si="62"/>
        <v>0</v>
      </c>
      <c r="I502">
        <f t="shared" si="63"/>
        <v>135</v>
      </c>
      <c r="J502" t="s">
        <v>28</v>
      </c>
      <c r="K502">
        <v>20250515</v>
      </c>
    </row>
    <row r="503" spans="1:11" x14ac:dyDescent="0.3">
      <c r="A503" s="4">
        <v>45793</v>
      </c>
      <c r="B503">
        <f t="shared" si="56"/>
        <v>2025</v>
      </c>
      <c r="C503">
        <f t="shared" si="57"/>
        <v>5</v>
      </c>
      <c r="D503" t="str">
        <f t="shared" si="58"/>
        <v>May</v>
      </c>
      <c r="E503">
        <f t="shared" si="59"/>
        <v>20</v>
      </c>
      <c r="F503">
        <f t="shared" si="60"/>
        <v>16</v>
      </c>
      <c r="G503" t="str">
        <f t="shared" si="61"/>
        <v>Friday</v>
      </c>
      <c r="H503" t="b">
        <f t="shared" si="62"/>
        <v>0</v>
      </c>
      <c r="I503">
        <f t="shared" si="63"/>
        <v>136</v>
      </c>
      <c r="J503" t="s">
        <v>28</v>
      </c>
      <c r="K503">
        <v>20250516</v>
      </c>
    </row>
    <row r="504" spans="1:11" x14ac:dyDescent="0.3">
      <c r="A504" s="4">
        <v>45794</v>
      </c>
      <c r="B504">
        <f t="shared" si="56"/>
        <v>2025</v>
      </c>
      <c r="C504">
        <f t="shared" si="57"/>
        <v>5</v>
      </c>
      <c r="D504" t="str">
        <f t="shared" si="58"/>
        <v>May</v>
      </c>
      <c r="E504">
        <f t="shared" si="59"/>
        <v>20</v>
      </c>
      <c r="F504">
        <f t="shared" si="60"/>
        <v>17</v>
      </c>
      <c r="G504" t="str">
        <f t="shared" si="61"/>
        <v>Saturday</v>
      </c>
      <c r="H504" t="b">
        <f t="shared" si="62"/>
        <v>1</v>
      </c>
      <c r="I504">
        <f t="shared" si="63"/>
        <v>137</v>
      </c>
      <c r="J504" t="s">
        <v>28</v>
      </c>
      <c r="K504">
        <v>20250517</v>
      </c>
    </row>
    <row r="505" spans="1:11" x14ac:dyDescent="0.3">
      <c r="A505" s="4">
        <v>45795</v>
      </c>
      <c r="B505">
        <f t="shared" si="56"/>
        <v>2025</v>
      </c>
      <c r="C505">
        <f t="shared" si="57"/>
        <v>5</v>
      </c>
      <c r="D505" t="str">
        <f t="shared" si="58"/>
        <v>May</v>
      </c>
      <c r="E505">
        <f t="shared" si="59"/>
        <v>21</v>
      </c>
      <c r="F505">
        <f t="shared" si="60"/>
        <v>18</v>
      </c>
      <c r="G505" t="str">
        <f t="shared" si="61"/>
        <v>Sunday</v>
      </c>
      <c r="H505" t="b">
        <f t="shared" si="62"/>
        <v>1</v>
      </c>
      <c r="I505">
        <f t="shared" si="63"/>
        <v>138</v>
      </c>
      <c r="J505" t="s">
        <v>28</v>
      </c>
      <c r="K505">
        <v>20250518</v>
      </c>
    </row>
    <row r="506" spans="1:11" x14ac:dyDescent="0.3">
      <c r="A506" s="4">
        <v>45796</v>
      </c>
      <c r="B506">
        <f t="shared" si="56"/>
        <v>2025</v>
      </c>
      <c r="C506">
        <f t="shared" si="57"/>
        <v>5</v>
      </c>
      <c r="D506" t="str">
        <f t="shared" si="58"/>
        <v>May</v>
      </c>
      <c r="E506">
        <f t="shared" si="59"/>
        <v>21</v>
      </c>
      <c r="F506">
        <f t="shared" si="60"/>
        <v>19</v>
      </c>
      <c r="G506" t="str">
        <f t="shared" si="61"/>
        <v>Monday</v>
      </c>
      <c r="H506" t="b">
        <f t="shared" si="62"/>
        <v>0</v>
      </c>
      <c r="I506">
        <f t="shared" si="63"/>
        <v>139</v>
      </c>
      <c r="J506" t="s">
        <v>28</v>
      </c>
      <c r="K506">
        <v>20250519</v>
      </c>
    </row>
    <row r="507" spans="1:11" x14ac:dyDescent="0.3">
      <c r="A507" s="4">
        <v>45797</v>
      </c>
      <c r="B507">
        <f t="shared" si="56"/>
        <v>2025</v>
      </c>
      <c r="C507">
        <f t="shared" si="57"/>
        <v>5</v>
      </c>
      <c r="D507" t="str">
        <f t="shared" si="58"/>
        <v>May</v>
      </c>
      <c r="E507">
        <f t="shared" si="59"/>
        <v>21</v>
      </c>
      <c r="F507">
        <f t="shared" si="60"/>
        <v>20</v>
      </c>
      <c r="G507" t="str">
        <f t="shared" si="61"/>
        <v>Tuesday</v>
      </c>
      <c r="H507" t="b">
        <f t="shared" si="62"/>
        <v>0</v>
      </c>
      <c r="I507">
        <f t="shared" si="63"/>
        <v>140</v>
      </c>
      <c r="J507" t="s">
        <v>28</v>
      </c>
      <c r="K507">
        <v>20250520</v>
      </c>
    </row>
    <row r="508" spans="1:11" x14ac:dyDescent="0.3">
      <c r="A508" s="4">
        <v>45798</v>
      </c>
      <c r="B508">
        <f t="shared" si="56"/>
        <v>2025</v>
      </c>
      <c r="C508">
        <f t="shared" si="57"/>
        <v>5</v>
      </c>
      <c r="D508" t="str">
        <f t="shared" si="58"/>
        <v>May</v>
      </c>
      <c r="E508">
        <f t="shared" si="59"/>
        <v>21</v>
      </c>
      <c r="F508">
        <f t="shared" si="60"/>
        <v>21</v>
      </c>
      <c r="G508" t="str">
        <f t="shared" si="61"/>
        <v>Wednesday</v>
      </c>
      <c r="H508" t="b">
        <f t="shared" si="62"/>
        <v>0</v>
      </c>
      <c r="I508">
        <f t="shared" si="63"/>
        <v>141</v>
      </c>
      <c r="J508" t="s">
        <v>28</v>
      </c>
      <c r="K508">
        <v>20250521</v>
      </c>
    </row>
    <row r="509" spans="1:11" x14ac:dyDescent="0.3">
      <c r="A509" s="4">
        <v>45799</v>
      </c>
      <c r="B509">
        <f t="shared" si="56"/>
        <v>2025</v>
      </c>
      <c r="C509">
        <f t="shared" si="57"/>
        <v>5</v>
      </c>
      <c r="D509" t="str">
        <f t="shared" si="58"/>
        <v>May</v>
      </c>
      <c r="E509">
        <f t="shared" si="59"/>
        <v>21</v>
      </c>
      <c r="F509">
        <f t="shared" si="60"/>
        <v>22</v>
      </c>
      <c r="G509" t="str">
        <f t="shared" si="61"/>
        <v>Thursday</v>
      </c>
      <c r="H509" t="b">
        <f t="shared" si="62"/>
        <v>0</v>
      </c>
      <c r="I509">
        <f t="shared" si="63"/>
        <v>142</v>
      </c>
      <c r="J509" t="s">
        <v>28</v>
      </c>
      <c r="K509">
        <v>20250522</v>
      </c>
    </row>
    <row r="510" spans="1:11" x14ac:dyDescent="0.3">
      <c r="A510" s="4">
        <v>45800</v>
      </c>
      <c r="B510">
        <f t="shared" si="56"/>
        <v>2025</v>
      </c>
      <c r="C510">
        <f t="shared" si="57"/>
        <v>5</v>
      </c>
      <c r="D510" t="str">
        <f t="shared" si="58"/>
        <v>May</v>
      </c>
      <c r="E510">
        <f t="shared" si="59"/>
        <v>21</v>
      </c>
      <c r="F510">
        <f t="shared" si="60"/>
        <v>23</v>
      </c>
      <c r="G510" t="str">
        <f t="shared" si="61"/>
        <v>Friday</v>
      </c>
      <c r="H510" t="b">
        <f t="shared" si="62"/>
        <v>0</v>
      </c>
      <c r="I510">
        <f t="shared" si="63"/>
        <v>143</v>
      </c>
      <c r="J510" t="s">
        <v>28</v>
      </c>
      <c r="K510">
        <v>20250523</v>
      </c>
    </row>
    <row r="511" spans="1:11" x14ac:dyDescent="0.3">
      <c r="A511" s="4">
        <v>45801</v>
      </c>
      <c r="B511">
        <f t="shared" si="56"/>
        <v>2025</v>
      </c>
      <c r="C511">
        <f t="shared" si="57"/>
        <v>5</v>
      </c>
      <c r="D511" t="str">
        <f t="shared" si="58"/>
        <v>May</v>
      </c>
      <c r="E511">
        <f t="shared" si="59"/>
        <v>21</v>
      </c>
      <c r="F511">
        <f t="shared" si="60"/>
        <v>24</v>
      </c>
      <c r="G511" t="str">
        <f t="shared" si="61"/>
        <v>Saturday</v>
      </c>
      <c r="H511" t="b">
        <f t="shared" si="62"/>
        <v>1</v>
      </c>
      <c r="I511">
        <f t="shared" si="63"/>
        <v>144</v>
      </c>
      <c r="J511" t="s">
        <v>28</v>
      </c>
      <c r="K511">
        <v>20250524</v>
      </c>
    </row>
    <row r="512" spans="1:11" x14ac:dyDescent="0.3">
      <c r="A512" s="4">
        <v>45802</v>
      </c>
      <c r="B512">
        <f t="shared" si="56"/>
        <v>2025</v>
      </c>
      <c r="C512">
        <f t="shared" si="57"/>
        <v>5</v>
      </c>
      <c r="D512" t="str">
        <f t="shared" si="58"/>
        <v>May</v>
      </c>
      <c r="E512">
        <f t="shared" si="59"/>
        <v>22</v>
      </c>
      <c r="F512">
        <f t="shared" si="60"/>
        <v>25</v>
      </c>
      <c r="G512" t="str">
        <f t="shared" si="61"/>
        <v>Sunday</v>
      </c>
      <c r="H512" t="b">
        <f t="shared" si="62"/>
        <v>1</v>
      </c>
      <c r="I512">
        <f t="shared" si="63"/>
        <v>145</v>
      </c>
      <c r="J512" t="s">
        <v>28</v>
      </c>
      <c r="K512">
        <v>20250525</v>
      </c>
    </row>
    <row r="513" spans="1:11" x14ac:dyDescent="0.3">
      <c r="A513" s="4">
        <v>45803</v>
      </c>
      <c r="B513">
        <f t="shared" si="56"/>
        <v>2025</v>
      </c>
      <c r="C513">
        <f t="shared" si="57"/>
        <v>5</v>
      </c>
      <c r="D513" t="str">
        <f t="shared" si="58"/>
        <v>May</v>
      </c>
      <c r="E513">
        <f t="shared" si="59"/>
        <v>22</v>
      </c>
      <c r="F513">
        <f t="shared" si="60"/>
        <v>26</v>
      </c>
      <c r="G513" t="str">
        <f t="shared" si="61"/>
        <v>Monday</v>
      </c>
      <c r="H513" t="b">
        <f t="shared" si="62"/>
        <v>0</v>
      </c>
      <c r="I513">
        <f t="shared" si="63"/>
        <v>146</v>
      </c>
      <c r="J513" t="s">
        <v>28</v>
      </c>
      <c r="K513">
        <v>20250526</v>
      </c>
    </row>
    <row r="514" spans="1:11" x14ac:dyDescent="0.3">
      <c r="A514" s="4">
        <v>45804</v>
      </c>
      <c r="B514">
        <f t="shared" si="56"/>
        <v>2025</v>
      </c>
      <c r="C514">
        <f t="shared" si="57"/>
        <v>5</v>
      </c>
      <c r="D514" t="str">
        <f t="shared" si="58"/>
        <v>May</v>
      </c>
      <c r="E514">
        <f t="shared" si="59"/>
        <v>22</v>
      </c>
      <c r="F514">
        <f t="shared" si="60"/>
        <v>27</v>
      </c>
      <c r="G514" t="str">
        <f t="shared" si="61"/>
        <v>Tuesday</v>
      </c>
      <c r="H514" t="b">
        <f t="shared" si="62"/>
        <v>0</v>
      </c>
      <c r="I514">
        <f t="shared" si="63"/>
        <v>147</v>
      </c>
      <c r="J514" t="s">
        <v>28</v>
      </c>
      <c r="K514">
        <v>20250527</v>
      </c>
    </row>
    <row r="515" spans="1:11" x14ac:dyDescent="0.3">
      <c r="A515" s="4">
        <v>45805</v>
      </c>
      <c r="B515">
        <f t="shared" ref="B515:B578" si="64">YEAR(A515)</f>
        <v>2025</v>
      </c>
      <c r="C515">
        <f t="shared" ref="C515:C578" si="65">MONTH(A515)</f>
        <v>5</v>
      </c>
      <c r="D515" t="str">
        <f t="shared" ref="D515:D578" si="66">TEXT(A515,"mmmm")</f>
        <v>May</v>
      </c>
      <c r="E515">
        <f t="shared" ref="E515:E578" si="67">WEEKNUM(A515)</f>
        <v>22</v>
      </c>
      <c r="F515">
        <f t="shared" ref="F515:F578" si="68">DAY(A515)</f>
        <v>28</v>
      </c>
      <c r="G515" t="str">
        <f t="shared" ref="G515:G578" si="69">TEXT((A515),"dddd")</f>
        <v>Wednesday</v>
      </c>
      <c r="H515" t="b">
        <f t="shared" ref="H515:H578" si="70">IF(OR(G515="Saturday",G515="Sunday"),TRUE,FALSE)</f>
        <v>0</v>
      </c>
      <c r="I515">
        <f t="shared" ref="I515:I578" si="71">A515-DATE(YEAR(A515),1,1)+1</f>
        <v>148</v>
      </c>
      <c r="J515" t="s">
        <v>28</v>
      </c>
      <c r="K515">
        <v>20250528</v>
      </c>
    </row>
    <row r="516" spans="1:11" x14ac:dyDescent="0.3">
      <c r="A516" s="4">
        <v>45806</v>
      </c>
      <c r="B516">
        <f t="shared" si="64"/>
        <v>2025</v>
      </c>
      <c r="C516">
        <f t="shared" si="65"/>
        <v>5</v>
      </c>
      <c r="D516" t="str">
        <f t="shared" si="66"/>
        <v>May</v>
      </c>
      <c r="E516">
        <f t="shared" si="67"/>
        <v>22</v>
      </c>
      <c r="F516">
        <f t="shared" si="68"/>
        <v>29</v>
      </c>
      <c r="G516" t="str">
        <f t="shared" si="69"/>
        <v>Thursday</v>
      </c>
      <c r="H516" t="b">
        <f t="shared" si="70"/>
        <v>0</v>
      </c>
      <c r="I516">
        <f t="shared" si="71"/>
        <v>149</v>
      </c>
      <c r="J516" t="s">
        <v>28</v>
      </c>
      <c r="K516">
        <v>20250529</v>
      </c>
    </row>
    <row r="517" spans="1:11" x14ac:dyDescent="0.3">
      <c r="A517" s="4">
        <v>45807</v>
      </c>
      <c r="B517">
        <f t="shared" si="64"/>
        <v>2025</v>
      </c>
      <c r="C517">
        <f t="shared" si="65"/>
        <v>5</v>
      </c>
      <c r="D517" t="str">
        <f t="shared" si="66"/>
        <v>May</v>
      </c>
      <c r="E517">
        <f t="shared" si="67"/>
        <v>22</v>
      </c>
      <c r="F517">
        <f t="shared" si="68"/>
        <v>30</v>
      </c>
      <c r="G517" t="str">
        <f t="shared" si="69"/>
        <v>Friday</v>
      </c>
      <c r="H517" t="b">
        <f t="shared" si="70"/>
        <v>0</v>
      </c>
      <c r="I517">
        <f t="shared" si="71"/>
        <v>150</v>
      </c>
      <c r="J517" t="s">
        <v>28</v>
      </c>
      <c r="K517">
        <v>20250530</v>
      </c>
    </row>
    <row r="518" spans="1:11" x14ac:dyDescent="0.3">
      <c r="A518" s="4">
        <v>45808</v>
      </c>
      <c r="B518">
        <f t="shared" si="64"/>
        <v>2025</v>
      </c>
      <c r="C518">
        <f t="shared" si="65"/>
        <v>5</v>
      </c>
      <c r="D518" t="str">
        <f t="shared" si="66"/>
        <v>May</v>
      </c>
      <c r="E518">
        <f t="shared" si="67"/>
        <v>22</v>
      </c>
      <c r="F518">
        <f t="shared" si="68"/>
        <v>31</v>
      </c>
      <c r="G518" t="str">
        <f t="shared" si="69"/>
        <v>Saturday</v>
      </c>
      <c r="H518" t="b">
        <f t="shared" si="70"/>
        <v>1</v>
      </c>
      <c r="I518">
        <f t="shared" si="71"/>
        <v>151</v>
      </c>
      <c r="J518" t="s">
        <v>28</v>
      </c>
      <c r="K518">
        <v>20250531</v>
      </c>
    </row>
    <row r="519" spans="1:11" x14ac:dyDescent="0.3">
      <c r="A519" s="4">
        <v>45809</v>
      </c>
      <c r="B519">
        <f t="shared" si="64"/>
        <v>2025</v>
      </c>
      <c r="C519">
        <f t="shared" si="65"/>
        <v>6</v>
      </c>
      <c r="D519" t="str">
        <f t="shared" si="66"/>
        <v>June</v>
      </c>
      <c r="E519">
        <f t="shared" si="67"/>
        <v>23</v>
      </c>
      <c r="F519">
        <f t="shared" si="68"/>
        <v>1</v>
      </c>
      <c r="G519" t="str">
        <f t="shared" si="69"/>
        <v>Sunday</v>
      </c>
      <c r="H519" t="b">
        <f t="shared" si="70"/>
        <v>1</v>
      </c>
      <c r="I519">
        <f t="shared" si="71"/>
        <v>152</v>
      </c>
      <c r="J519" t="s">
        <v>28</v>
      </c>
      <c r="K519">
        <v>20250601</v>
      </c>
    </row>
    <row r="520" spans="1:11" x14ac:dyDescent="0.3">
      <c r="A520" s="4">
        <v>45810</v>
      </c>
      <c r="B520">
        <f t="shared" si="64"/>
        <v>2025</v>
      </c>
      <c r="C520">
        <f t="shared" si="65"/>
        <v>6</v>
      </c>
      <c r="D520" t="str">
        <f t="shared" si="66"/>
        <v>June</v>
      </c>
      <c r="E520">
        <f t="shared" si="67"/>
        <v>23</v>
      </c>
      <c r="F520">
        <f t="shared" si="68"/>
        <v>2</v>
      </c>
      <c r="G520" t="str">
        <f t="shared" si="69"/>
        <v>Monday</v>
      </c>
      <c r="H520" t="b">
        <f t="shared" si="70"/>
        <v>0</v>
      </c>
      <c r="I520">
        <f t="shared" si="71"/>
        <v>153</v>
      </c>
      <c r="J520" t="s">
        <v>28</v>
      </c>
      <c r="K520">
        <v>20250602</v>
      </c>
    </row>
    <row r="521" spans="1:11" x14ac:dyDescent="0.3">
      <c r="A521" s="4">
        <v>45811</v>
      </c>
      <c r="B521">
        <f t="shared" si="64"/>
        <v>2025</v>
      </c>
      <c r="C521">
        <f t="shared" si="65"/>
        <v>6</v>
      </c>
      <c r="D521" t="str">
        <f t="shared" si="66"/>
        <v>June</v>
      </c>
      <c r="E521">
        <f t="shared" si="67"/>
        <v>23</v>
      </c>
      <c r="F521">
        <f t="shared" si="68"/>
        <v>3</v>
      </c>
      <c r="G521" t="str">
        <f t="shared" si="69"/>
        <v>Tuesday</v>
      </c>
      <c r="H521" t="b">
        <f t="shared" si="70"/>
        <v>0</v>
      </c>
      <c r="I521">
        <f t="shared" si="71"/>
        <v>154</v>
      </c>
      <c r="J521" t="s">
        <v>28</v>
      </c>
      <c r="K521">
        <v>20250603</v>
      </c>
    </row>
    <row r="522" spans="1:11" x14ac:dyDescent="0.3">
      <c r="A522" s="4">
        <v>45812</v>
      </c>
      <c r="B522">
        <f t="shared" si="64"/>
        <v>2025</v>
      </c>
      <c r="C522">
        <f t="shared" si="65"/>
        <v>6</v>
      </c>
      <c r="D522" t="str">
        <f t="shared" si="66"/>
        <v>June</v>
      </c>
      <c r="E522">
        <f t="shared" si="67"/>
        <v>23</v>
      </c>
      <c r="F522">
        <f t="shared" si="68"/>
        <v>4</v>
      </c>
      <c r="G522" t="str">
        <f t="shared" si="69"/>
        <v>Wednesday</v>
      </c>
      <c r="H522" t="b">
        <f t="shared" si="70"/>
        <v>0</v>
      </c>
      <c r="I522">
        <f t="shared" si="71"/>
        <v>155</v>
      </c>
      <c r="J522" t="s">
        <v>28</v>
      </c>
      <c r="K522">
        <v>20250604</v>
      </c>
    </row>
    <row r="523" spans="1:11" x14ac:dyDescent="0.3">
      <c r="A523" s="4">
        <v>45813</v>
      </c>
      <c r="B523">
        <f t="shared" si="64"/>
        <v>2025</v>
      </c>
      <c r="C523">
        <f t="shared" si="65"/>
        <v>6</v>
      </c>
      <c r="D523" t="str">
        <f t="shared" si="66"/>
        <v>June</v>
      </c>
      <c r="E523">
        <f t="shared" si="67"/>
        <v>23</v>
      </c>
      <c r="F523">
        <f t="shared" si="68"/>
        <v>5</v>
      </c>
      <c r="G523" t="str">
        <f t="shared" si="69"/>
        <v>Thursday</v>
      </c>
      <c r="H523" t="b">
        <f t="shared" si="70"/>
        <v>0</v>
      </c>
      <c r="I523">
        <f t="shared" si="71"/>
        <v>156</v>
      </c>
      <c r="J523" t="s">
        <v>28</v>
      </c>
      <c r="K523">
        <v>20250605</v>
      </c>
    </row>
    <row r="524" spans="1:11" x14ac:dyDescent="0.3">
      <c r="A524" s="4">
        <v>45814</v>
      </c>
      <c r="B524">
        <f t="shared" si="64"/>
        <v>2025</v>
      </c>
      <c r="C524">
        <f t="shared" si="65"/>
        <v>6</v>
      </c>
      <c r="D524" t="str">
        <f t="shared" si="66"/>
        <v>June</v>
      </c>
      <c r="E524">
        <f t="shared" si="67"/>
        <v>23</v>
      </c>
      <c r="F524">
        <f t="shared" si="68"/>
        <v>6</v>
      </c>
      <c r="G524" t="str">
        <f t="shared" si="69"/>
        <v>Friday</v>
      </c>
      <c r="H524" t="b">
        <f t="shared" si="70"/>
        <v>0</v>
      </c>
      <c r="I524">
        <f t="shared" si="71"/>
        <v>157</v>
      </c>
      <c r="J524" t="s">
        <v>28</v>
      </c>
      <c r="K524">
        <v>20250606</v>
      </c>
    </row>
    <row r="525" spans="1:11" x14ac:dyDescent="0.3">
      <c r="A525" s="4">
        <v>45815</v>
      </c>
      <c r="B525">
        <f t="shared" si="64"/>
        <v>2025</v>
      </c>
      <c r="C525">
        <f t="shared" si="65"/>
        <v>6</v>
      </c>
      <c r="D525" t="str">
        <f t="shared" si="66"/>
        <v>June</v>
      </c>
      <c r="E525">
        <f t="shared" si="67"/>
        <v>23</v>
      </c>
      <c r="F525">
        <f t="shared" si="68"/>
        <v>7</v>
      </c>
      <c r="G525" t="str">
        <f t="shared" si="69"/>
        <v>Saturday</v>
      </c>
      <c r="H525" t="b">
        <f t="shared" si="70"/>
        <v>1</v>
      </c>
      <c r="I525">
        <f t="shared" si="71"/>
        <v>158</v>
      </c>
      <c r="J525" t="s">
        <v>28</v>
      </c>
      <c r="K525">
        <v>20250607</v>
      </c>
    </row>
    <row r="526" spans="1:11" x14ac:dyDescent="0.3">
      <c r="A526" s="4">
        <v>45816</v>
      </c>
      <c r="B526">
        <f t="shared" si="64"/>
        <v>2025</v>
      </c>
      <c r="C526">
        <f t="shared" si="65"/>
        <v>6</v>
      </c>
      <c r="D526" t="str">
        <f t="shared" si="66"/>
        <v>June</v>
      </c>
      <c r="E526">
        <f t="shared" si="67"/>
        <v>24</v>
      </c>
      <c r="F526">
        <f t="shared" si="68"/>
        <v>8</v>
      </c>
      <c r="G526" t="str">
        <f t="shared" si="69"/>
        <v>Sunday</v>
      </c>
      <c r="H526" t="b">
        <f t="shared" si="70"/>
        <v>1</v>
      </c>
      <c r="I526">
        <f t="shared" si="71"/>
        <v>159</v>
      </c>
      <c r="J526" t="s">
        <v>28</v>
      </c>
      <c r="K526">
        <v>20250608</v>
      </c>
    </row>
    <row r="527" spans="1:11" x14ac:dyDescent="0.3">
      <c r="A527" s="4">
        <v>45817</v>
      </c>
      <c r="B527">
        <f t="shared" si="64"/>
        <v>2025</v>
      </c>
      <c r="C527">
        <f t="shared" si="65"/>
        <v>6</v>
      </c>
      <c r="D527" t="str">
        <f t="shared" si="66"/>
        <v>June</v>
      </c>
      <c r="E527">
        <f t="shared" si="67"/>
        <v>24</v>
      </c>
      <c r="F527">
        <f t="shared" si="68"/>
        <v>9</v>
      </c>
      <c r="G527" t="str">
        <f t="shared" si="69"/>
        <v>Monday</v>
      </c>
      <c r="H527" t="b">
        <f t="shared" si="70"/>
        <v>0</v>
      </c>
      <c r="I527">
        <f t="shared" si="71"/>
        <v>160</v>
      </c>
      <c r="J527" t="s">
        <v>28</v>
      </c>
      <c r="K527">
        <v>20250609</v>
      </c>
    </row>
    <row r="528" spans="1:11" x14ac:dyDescent="0.3">
      <c r="A528" s="4">
        <v>45818</v>
      </c>
      <c r="B528">
        <f t="shared" si="64"/>
        <v>2025</v>
      </c>
      <c r="C528">
        <f t="shared" si="65"/>
        <v>6</v>
      </c>
      <c r="D528" t="str">
        <f t="shared" si="66"/>
        <v>June</v>
      </c>
      <c r="E528">
        <f t="shared" si="67"/>
        <v>24</v>
      </c>
      <c r="F528">
        <f t="shared" si="68"/>
        <v>10</v>
      </c>
      <c r="G528" t="str">
        <f t="shared" si="69"/>
        <v>Tuesday</v>
      </c>
      <c r="H528" t="b">
        <f t="shared" si="70"/>
        <v>0</v>
      </c>
      <c r="I528">
        <f t="shared" si="71"/>
        <v>161</v>
      </c>
      <c r="J528" t="s">
        <v>28</v>
      </c>
      <c r="K528">
        <v>20250610</v>
      </c>
    </row>
    <row r="529" spans="1:11" x14ac:dyDescent="0.3">
      <c r="A529" s="4">
        <v>45819</v>
      </c>
      <c r="B529">
        <f t="shared" si="64"/>
        <v>2025</v>
      </c>
      <c r="C529">
        <f t="shared" si="65"/>
        <v>6</v>
      </c>
      <c r="D529" t="str">
        <f t="shared" si="66"/>
        <v>June</v>
      </c>
      <c r="E529">
        <f t="shared" si="67"/>
        <v>24</v>
      </c>
      <c r="F529">
        <f t="shared" si="68"/>
        <v>11</v>
      </c>
      <c r="G529" t="str">
        <f t="shared" si="69"/>
        <v>Wednesday</v>
      </c>
      <c r="H529" t="b">
        <f t="shared" si="70"/>
        <v>0</v>
      </c>
      <c r="I529">
        <f t="shared" si="71"/>
        <v>162</v>
      </c>
      <c r="J529" t="s">
        <v>28</v>
      </c>
      <c r="K529">
        <v>20250611</v>
      </c>
    </row>
    <row r="530" spans="1:11" x14ac:dyDescent="0.3">
      <c r="A530" s="4">
        <v>45820</v>
      </c>
      <c r="B530">
        <f t="shared" si="64"/>
        <v>2025</v>
      </c>
      <c r="C530">
        <f t="shared" si="65"/>
        <v>6</v>
      </c>
      <c r="D530" t="str">
        <f t="shared" si="66"/>
        <v>June</v>
      </c>
      <c r="E530">
        <f t="shared" si="67"/>
        <v>24</v>
      </c>
      <c r="F530">
        <f t="shared" si="68"/>
        <v>12</v>
      </c>
      <c r="G530" t="str">
        <f t="shared" si="69"/>
        <v>Thursday</v>
      </c>
      <c r="H530" t="b">
        <f t="shared" si="70"/>
        <v>0</v>
      </c>
      <c r="I530">
        <f t="shared" si="71"/>
        <v>163</v>
      </c>
      <c r="J530" t="s">
        <v>28</v>
      </c>
      <c r="K530">
        <v>20250612</v>
      </c>
    </row>
    <row r="531" spans="1:11" x14ac:dyDescent="0.3">
      <c r="A531" s="4">
        <v>45821</v>
      </c>
      <c r="B531">
        <f t="shared" si="64"/>
        <v>2025</v>
      </c>
      <c r="C531">
        <f t="shared" si="65"/>
        <v>6</v>
      </c>
      <c r="D531" t="str">
        <f t="shared" si="66"/>
        <v>June</v>
      </c>
      <c r="E531">
        <f t="shared" si="67"/>
        <v>24</v>
      </c>
      <c r="F531">
        <f t="shared" si="68"/>
        <v>13</v>
      </c>
      <c r="G531" t="str">
        <f t="shared" si="69"/>
        <v>Friday</v>
      </c>
      <c r="H531" t="b">
        <f t="shared" si="70"/>
        <v>0</v>
      </c>
      <c r="I531">
        <f t="shared" si="71"/>
        <v>164</v>
      </c>
      <c r="J531" t="s">
        <v>28</v>
      </c>
      <c r="K531">
        <v>20250613</v>
      </c>
    </row>
    <row r="532" spans="1:11" x14ac:dyDescent="0.3">
      <c r="A532" s="4">
        <v>45822</v>
      </c>
      <c r="B532">
        <f t="shared" si="64"/>
        <v>2025</v>
      </c>
      <c r="C532">
        <f t="shared" si="65"/>
        <v>6</v>
      </c>
      <c r="D532" t="str">
        <f t="shared" si="66"/>
        <v>June</v>
      </c>
      <c r="E532">
        <f t="shared" si="67"/>
        <v>24</v>
      </c>
      <c r="F532">
        <f t="shared" si="68"/>
        <v>14</v>
      </c>
      <c r="G532" t="str">
        <f t="shared" si="69"/>
        <v>Saturday</v>
      </c>
      <c r="H532" t="b">
        <f t="shared" si="70"/>
        <v>1</v>
      </c>
      <c r="I532">
        <f t="shared" si="71"/>
        <v>165</v>
      </c>
      <c r="J532" t="s">
        <v>28</v>
      </c>
      <c r="K532">
        <v>20250614</v>
      </c>
    </row>
    <row r="533" spans="1:11" x14ac:dyDescent="0.3">
      <c r="A533" s="4">
        <v>45823</v>
      </c>
      <c r="B533">
        <f t="shared" si="64"/>
        <v>2025</v>
      </c>
      <c r="C533">
        <f t="shared" si="65"/>
        <v>6</v>
      </c>
      <c r="D533" t="str">
        <f t="shared" si="66"/>
        <v>June</v>
      </c>
      <c r="E533">
        <f t="shared" si="67"/>
        <v>25</v>
      </c>
      <c r="F533">
        <f t="shared" si="68"/>
        <v>15</v>
      </c>
      <c r="G533" t="str">
        <f t="shared" si="69"/>
        <v>Sunday</v>
      </c>
      <c r="H533" t="b">
        <f t="shared" si="70"/>
        <v>1</v>
      </c>
      <c r="I533">
        <f t="shared" si="71"/>
        <v>166</v>
      </c>
      <c r="J533" t="s">
        <v>28</v>
      </c>
      <c r="K533">
        <v>20250615</v>
      </c>
    </row>
    <row r="534" spans="1:11" x14ac:dyDescent="0.3">
      <c r="A534" s="4">
        <v>45824</v>
      </c>
      <c r="B534">
        <f t="shared" si="64"/>
        <v>2025</v>
      </c>
      <c r="C534">
        <f t="shared" si="65"/>
        <v>6</v>
      </c>
      <c r="D534" t="str">
        <f t="shared" si="66"/>
        <v>June</v>
      </c>
      <c r="E534">
        <f t="shared" si="67"/>
        <v>25</v>
      </c>
      <c r="F534">
        <f t="shared" si="68"/>
        <v>16</v>
      </c>
      <c r="G534" t="str">
        <f t="shared" si="69"/>
        <v>Monday</v>
      </c>
      <c r="H534" t="b">
        <f t="shared" si="70"/>
        <v>0</v>
      </c>
      <c r="I534">
        <f t="shared" si="71"/>
        <v>167</v>
      </c>
      <c r="J534" t="s">
        <v>28</v>
      </c>
      <c r="K534">
        <v>20250616</v>
      </c>
    </row>
    <row r="535" spans="1:11" x14ac:dyDescent="0.3">
      <c r="A535" s="4">
        <v>45825</v>
      </c>
      <c r="B535">
        <f t="shared" si="64"/>
        <v>2025</v>
      </c>
      <c r="C535">
        <f t="shared" si="65"/>
        <v>6</v>
      </c>
      <c r="D535" t="str">
        <f t="shared" si="66"/>
        <v>June</v>
      </c>
      <c r="E535">
        <f t="shared" si="67"/>
        <v>25</v>
      </c>
      <c r="F535">
        <f t="shared" si="68"/>
        <v>17</v>
      </c>
      <c r="G535" t="str">
        <f t="shared" si="69"/>
        <v>Tuesday</v>
      </c>
      <c r="H535" t="b">
        <f t="shared" si="70"/>
        <v>0</v>
      </c>
      <c r="I535">
        <f t="shared" si="71"/>
        <v>168</v>
      </c>
      <c r="J535" t="s">
        <v>28</v>
      </c>
      <c r="K535">
        <v>20250617</v>
      </c>
    </row>
    <row r="536" spans="1:11" x14ac:dyDescent="0.3">
      <c r="A536" s="4">
        <v>45826</v>
      </c>
      <c r="B536">
        <f t="shared" si="64"/>
        <v>2025</v>
      </c>
      <c r="C536">
        <f t="shared" si="65"/>
        <v>6</v>
      </c>
      <c r="D536" t="str">
        <f t="shared" si="66"/>
        <v>June</v>
      </c>
      <c r="E536">
        <f t="shared" si="67"/>
        <v>25</v>
      </c>
      <c r="F536">
        <f t="shared" si="68"/>
        <v>18</v>
      </c>
      <c r="G536" t="str">
        <f t="shared" si="69"/>
        <v>Wednesday</v>
      </c>
      <c r="H536" t="b">
        <f t="shared" si="70"/>
        <v>0</v>
      </c>
      <c r="I536">
        <f t="shared" si="71"/>
        <v>169</v>
      </c>
      <c r="J536" t="s">
        <v>28</v>
      </c>
      <c r="K536">
        <v>20250618</v>
      </c>
    </row>
    <row r="537" spans="1:11" x14ac:dyDescent="0.3">
      <c r="A537" s="4">
        <v>45827</v>
      </c>
      <c r="B537">
        <f t="shared" si="64"/>
        <v>2025</v>
      </c>
      <c r="C537">
        <f t="shared" si="65"/>
        <v>6</v>
      </c>
      <c r="D537" t="str">
        <f t="shared" si="66"/>
        <v>June</v>
      </c>
      <c r="E537">
        <f t="shared" si="67"/>
        <v>25</v>
      </c>
      <c r="F537">
        <f t="shared" si="68"/>
        <v>19</v>
      </c>
      <c r="G537" t="str">
        <f t="shared" si="69"/>
        <v>Thursday</v>
      </c>
      <c r="H537" t="b">
        <f t="shared" si="70"/>
        <v>0</v>
      </c>
      <c r="I537">
        <f t="shared" si="71"/>
        <v>170</v>
      </c>
      <c r="J537" t="s">
        <v>28</v>
      </c>
      <c r="K537">
        <v>20250619</v>
      </c>
    </row>
    <row r="538" spans="1:11" x14ac:dyDescent="0.3">
      <c r="A538" s="4">
        <v>45828</v>
      </c>
      <c r="B538">
        <f t="shared" si="64"/>
        <v>2025</v>
      </c>
      <c r="C538">
        <f t="shared" si="65"/>
        <v>6</v>
      </c>
      <c r="D538" t="str">
        <f t="shared" si="66"/>
        <v>June</v>
      </c>
      <c r="E538">
        <f t="shared" si="67"/>
        <v>25</v>
      </c>
      <c r="F538">
        <f t="shared" si="68"/>
        <v>20</v>
      </c>
      <c r="G538" t="str">
        <f t="shared" si="69"/>
        <v>Friday</v>
      </c>
      <c r="H538" t="b">
        <f t="shared" si="70"/>
        <v>0</v>
      </c>
      <c r="I538">
        <f t="shared" si="71"/>
        <v>171</v>
      </c>
      <c r="J538" t="s">
        <v>28</v>
      </c>
      <c r="K538">
        <v>20250620</v>
      </c>
    </row>
    <row r="539" spans="1:11" x14ac:dyDescent="0.3">
      <c r="A539" s="4">
        <v>45829</v>
      </c>
      <c r="B539">
        <f t="shared" si="64"/>
        <v>2025</v>
      </c>
      <c r="C539">
        <f t="shared" si="65"/>
        <v>6</v>
      </c>
      <c r="D539" t="str">
        <f t="shared" si="66"/>
        <v>June</v>
      </c>
      <c r="E539">
        <f t="shared" si="67"/>
        <v>25</v>
      </c>
      <c r="F539">
        <f t="shared" si="68"/>
        <v>21</v>
      </c>
      <c r="G539" t="str">
        <f t="shared" si="69"/>
        <v>Saturday</v>
      </c>
      <c r="H539" t="b">
        <f t="shared" si="70"/>
        <v>1</v>
      </c>
      <c r="I539">
        <f t="shared" si="71"/>
        <v>172</v>
      </c>
      <c r="J539" t="s">
        <v>28</v>
      </c>
      <c r="K539">
        <v>20250621</v>
      </c>
    </row>
    <row r="540" spans="1:11" x14ac:dyDescent="0.3">
      <c r="A540" s="4">
        <v>45830</v>
      </c>
      <c r="B540">
        <f t="shared" si="64"/>
        <v>2025</v>
      </c>
      <c r="C540">
        <f t="shared" si="65"/>
        <v>6</v>
      </c>
      <c r="D540" t="str">
        <f t="shared" si="66"/>
        <v>June</v>
      </c>
      <c r="E540">
        <f t="shared" si="67"/>
        <v>26</v>
      </c>
      <c r="F540">
        <f t="shared" si="68"/>
        <v>22</v>
      </c>
      <c r="G540" t="str">
        <f t="shared" si="69"/>
        <v>Sunday</v>
      </c>
      <c r="H540" t="b">
        <f t="shared" si="70"/>
        <v>1</v>
      </c>
      <c r="I540">
        <f t="shared" si="71"/>
        <v>173</v>
      </c>
      <c r="J540" t="s">
        <v>28</v>
      </c>
      <c r="K540">
        <v>20250622</v>
      </c>
    </row>
    <row r="541" spans="1:11" x14ac:dyDescent="0.3">
      <c r="A541" s="4">
        <v>45831</v>
      </c>
      <c r="B541">
        <f t="shared" si="64"/>
        <v>2025</v>
      </c>
      <c r="C541">
        <f t="shared" si="65"/>
        <v>6</v>
      </c>
      <c r="D541" t="str">
        <f t="shared" si="66"/>
        <v>June</v>
      </c>
      <c r="E541">
        <f t="shared" si="67"/>
        <v>26</v>
      </c>
      <c r="F541">
        <f t="shared" si="68"/>
        <v>23</v>
      </c>
      <c r="G541" t="str">
        <f t="shared" si="69"/>
        <v>Monday</v>
      </c>
      <c r="H541" t="b">
        <f t="shared" si="70"/>
        <v>0</v>
      </c>
      <c r="I541">
        <f t="shared" si="71"/>
        <v>174</v>
      </c>
      <c r="J541" t="s">
        <v>28</v>
      </c>
      <c r="K541">
        <v>20250623</v>
      </c>
    </row>
    <row r="542" spans="1:11" x14ac:dyDescent="0.3">
      <c r="A542" s="4">
        <v>45832</v>
      </c>
      <c r="B542">
        <f t="shared" si="64"/>
        <v>2025</v>
      </c>
      <c r="C542">
        <f t="shared" si="65"/>
        <v>6</v>
      </c>
      <c r="D542" t="str">
        <f t="shared" si="66"/>
        <v>June</v>
      </c>
      <c r="E542">
        <f t="shared" si="67"/>
        <v>26</v>
      </c>
      <c r="F542">
        <f t="shared" si="68"/>
        <v>24</v>
      </c>
      <c r="G542" t="str">
        <f t="shared" si="69"/>
        <v>Tuesday</v>
      </c>
      <c r="H542" t="b">
        <f t="shared" si="70"/>
        <v>0</v>
      </c>
      <c r="I542">
        <f t="shared" si="71"/>
        <v>175</v>
      </c>
      <c r="J542" t="s">
        <v>28</v>
      </c>
      <c r="K542">
        <v>20250624</v>
      </c>
    </row>
    <row r="543" spans="1:11" x14ac:dyDescent="0.3">
      <c r="A543" s="4">
        <v>45833</v>
      </c>
      <c r="B543">
        <f t="shared" si="64"/>
        <v>2025</v>
      </c>
      <c r="C543">
        <f t="shared" si="65"/>
        <v>6</v>
      </c>
      <c r="D543" t="str">
        <f t="shared" si="66"/>
        <v>June</v>
      </c>
      <c r="E543">
        <f t="shared" si="67"/>
        <v>26</v>
      </c>
      <c r="F543">
        <f t="shared" si="68"/>
        <v>25</v>
      </c>
      <c r="G543" t="str">
        <f t="shared" si="69"/>
        <v>Wednesday</v>
      </c>
      <c r="H543" t="b">
        <f t="shared" si="70"/>
        <v>0</v>
      </c>
      <c r="I543">
        <f t="shared" si="71"/>
        <v>176</v>
      </c>
      <c r="J543" t="s">
        <v>28</v>
      </c>
      <c r="K543">
        <v>20250625</v>
      </c>
    </row>
    <row r="544" spans="1:11" x14ac:dyDescent="0.3">
      <c r="A544" s="4">
        <v>45834</v>
      </c>
      <c r="B544">
        <f t="shared" si="64"/>
        <v>2025</v>
      </c>
      <c r="C544">
        <f t="shared" si="65"/>
        <v>6</v>
      </c>
      <c r="D544" t="str">
        <f t="shared" si="66"/>
        <v>June</v>
      </c>
      <c r="E544">
        <f t="shared" si="67"/>
        <v>26</v>
      </c>
      <c r="F544">
        <f t="shared" si="68"/>
        <v>26</v>
      </c>
      <c r="G544" t="str">
        <f t="shared" si="69"/>
        <v>Thursday</v>
      </c>
      <c r="H544" t="b">
        <f t="shared" si="70"/>
        <v>0</v>
      </c>
      <c r="I544">
        <f t="shared" si="71"/>
        <v>177</v>
      </c>
      <c r="J544" t="s">
        <v>28</v>
      </c>
      <c r="K544">
        <v>20250626</v>
      </c>
    </row>
    <row r="545" spans="1:11" x14ac:dyDescent="0.3">
      <c r="A545" s="4">
        <v>45835</v>
      </c>
      <c r="B545">
        <f t="shared" si="64"/>
        <v>2025</v>
      </c>
      <c r="C545">
        <f t="shared" si="65"/>
        <v>6</v>
      </c>
      <c r="D545" t="str">
        <f t="shared" si="66"/>
        <v>June</v>
      </c>
      <c r="E545">
        <f t="shared" si="67"/>
        <v>26</v>
      </c>
      <c r="F545">
        <f t="shared" si="68"/>
        <v>27</v>
      </c>
      <c r="G545" t="str">
        <f t="shared" si="69"/>
        <v>Friday</v>
      </c>
      <c r="H545" t="b">
        <f t="shared" si="70"/>
        <v>0</v>
      </c>
      <c r="I545">
        <f t="shared" si="71"/>
        <v>178</v>
      </c>
      <c r="J545" t="s">
        <v>28</v>
      </c>
      <c r="K545">
        <v>20250627</v>
      </c>
    </row>
    <row r="546" spans="1:11" x14ac:dyDescent="0.3">
      <c r="A546" s="4">
        <v>45836</v>
      </c>
      <c r="B546">
        <f t="shared" si="64"/>
        <v>2025</v>
      </c>
      <c r="C546">
        <f t="shared" si="65"/>
        <v>6</v>
      </c>
      <c r="D546" t="str">
        <f t="shared" si="66"/>
        <v>June</v>
      </c>
      <c r="E546">
        <f t="shared" si="67"/>
        <v>26</v>
      </c>
      <c r="F546">
        <f t="shared" si="68"/>
        <v>28</v>
      </c>
      <c r="G546" t="str">
        <f t="shared" si="69"/>
        <v>Saturday</v>
      </c>
      <c r="H546" t="b">
        <f t="shared" si="70"/>
        <v>1</v>
      </c>
      <c r="I546">
        <f t="shared" si="71"/>
        <v>179</v>
      </c>
      <c r="J546" t="s">
        <v>28</v>
      </c>
      <c r="K546">
        <v>20250628</v>
      </c>
    </row>
    <row r="547" spans="1:11" x14ac:dyDescent="0.3">
      <c r="A547" s="4">
        <v>45837</v>
      </c>
      <c r="B547">
        <f t="shared" si="64"/>
        <v>2025</v>
      </c>
      <c r="C547">
        <f t="shared" si="65"/>
        <v>6</v>
      </c>
      <c r="D547" t="str">
        <f t="shared" si="66"/>
        <v>June</v>
      </c>
      <c r="E547">
        <f t="shared" si="67"/>
        <v>27</v>
      </c>
      <c r="F547">
        <f t="shared" si="68"/>
        <v>29</v>
      </c>
      <c r="G547" t="str">
        <f t="shared" si="69"/>
        <v>Sunday</v>
      </c>
      <c r="H547" t="b">
        <f t="shared" si="70"/>
        <v>1</v>
      </c>
      <c r="I547">
        <f t="shared" si="71"/>
        <v>180</v>
      </c>
      <c r="J547" t="s">
        <v>28</v>
      </c>
      <c r="K547">
        <v>20250629</v>
      </c>
    </row>
    <row r="548" spans="1:11" x14ac:dyDescent="0.3">
      <c r="A548" s="4">
        <v>45838</v>
      </c>
      <c r="B548">
        <f t="shared" si="64"/>
        <v>2025</v>
      </c>
      <c r="C548">
        <f t="shared" si="65"/>
        <v>6</v>
      </c>
      <c r="D548" t="str">
        <f t="shared" si="66"/>
        <v>June</v>
      </c>
      <c r="E548">
        <f t="shared" si="67"/>
        <v>27</v>
      </c>
      <c r="F548">
        <f t="shared" si="68"/>
        <v>30</v>
      </c>
      <c r="G548" t="str">
        <f t="shared" si="69"/>
        <v>Monday</v>
      </c>
      <c r="H548" t="b">
        <f t="shared" si="70"/>
        <v>0</v>
      </c>
      <c r="I548">
        <f t="shared" si="71"/>
        <v>181</v>
      </c>
      <c r="J548" t="s">
        <v>28</v>
      </c>
      <c r="K548">
        <v>20250630</v>
      </c>
    </row>
    <row r="549" spans="1:11" x14ac:dyDescent="0.3">
      <c r="A549" s="4">
        <v>45839</v>
      </c>
      <c r="B549">
        <f t="shared" si="64"/>
        <v>2025</v>
      </c>
      <c r="C549">
        <f t="shared" si="65"/>
        <v>7</v>
      </c>
      <c r="D549" t="str">
        <f t="shared" si="66"/>
        <v>July</v>
      </c>
      <c r="E549">
        <f t="shared" si="67"/>
        <v>27</v>
      </c>
      <c r="F549">
        <f t="shared" si="68"/>
        <v>1</v>
      </c>
      <c r="G549" t="str">
        <f t="shared" si="69"/>
        <v>Tuesday</v>
      </c>
      <c r="H549" t="b">
        <f t="shared" si="70"/>
        <v>0</v>
      </c>
      <c r="I549">
        <f t="shared" si="71"/>
        <v>182</v>
      </c>
      <c r="J549" t="s">
        <v>28</v>
      </c>
      <c r="K549">
        <v>20250701</v>
      </c>
    </row>
    <row r="550" spans="1:11" x14ac:dyDescent="0.3">
      <c r="A550" s="4">
        <v>45840</v>
      </c>
      <c r="B550">
        <f t="shared" si="64"/>
        <v>2025</v>
      </c>
      <c r="C550">
        <f t="shared" si="65"/>
        <v>7</v>
      </c>
      <c r="D550" t="str">
        <f t="shared" si="66"/>
        <v>July</v>
      </c>
      <c r="E550">
        <f t="shared" si="67"/>
        <v>27</v>
      </c>
      <c r="F550">
        <f t="shared" si="68"/>
        <v>2</v>
      </c>
      <c r="G550" t="str">
        <f t="shared" si="69"/>
        <v>Wednesday</v>
      </c>
      <c r="H550" t="b">
        <f t="shared" si="70"/>
        <v>0</v>
      </c>
      <c r="I550">
        <f t="shared" si="71"/>
        <v>183</v>
      </c>
      <c r="J550" t="s">
        <v>28</v>
      </c>
      <c r="K550">
        <v>20250702</v>
      </c>
    </row>
    <row r="551" spans="1:11" x14ac:dyDescent="0.3">
      <c r="A551" s="4">
        <v>45841</v>
      </c>
      <c r="B551">
        <f t="shared" si="64"/>
        <v>2025</v>
      </c>
      <c r="C551">
        <f t="shared" si="65"/>
        <v>7</v>
      </c>
      <c r="D551" t="str">
        <f t="shared" si="66"/>
        <v>July</v>
      </c>
      <c r="E551">
        <f t="shared" si="67"/>
        <v>27</v>
      </c>
      <c r="F551">
        <f t="shared" si="68"/>
        <v>3</v>
      </c>
      <c r="G551" t="str">
        <f t="shared" si="69"/>
        <v>Thursday</v>
      </c>
      <c r="H551" t="b">
        <f t="shared" si="70"/>
        <v>0</v>
      </c>
      <c r="I551">
        <f t="shared" si="71"/>
        <v>184</v>
      </c>
      <c r="J551" t="s">
        <v>28</v>
      </c>
      <c r="K551">
        <v>20250703</v>
      </c>
    </row>
    <row r="552" spans="1:11" x14ac:dyDescent="0.3">
      <c r="A552" s="4">
        <v>45842</v>
      </c>
      <c r="B552">
        <f t="shared" si="64"/>
        <v>2025</v>
      </c>
      <c r="C552">
        <f t="shared" si="65"/>
        <v>7</v>
      </c>
      <c r="D552" t="str">
        <f t="shared" si="66"/>
        <v>July</v>
      </c>
      <c r="E552">
        <f t="shared" si="67"/>
        <v>27</v>
      </c>
      <c r="F552">
        <f t="shared" si="68"/>
        <v>4</v>
      </c>
      <c r="G552" t="str">
        <f t="shared" si="69"/>
        <v>Friday</v>
      </c>
      <c r="H552" t="b">
        <f t="shared" si="70"/>
        <v>0</v>
      </c>
      <c r="I552">
        <f t="shared" si="71"/>
        <v>185</v>
      </c>
      <c r="J552" t="s">
        <v>28</v>
      </c>
      <c r="K552">
        <v>20250704</v>
      </c>
    </row>
    <row r="553" spans="1:11" x14ac:dyDescent="0.3">
      <c r="A553" s="4">
        <v>45843</v>
      </c>
      <c r="B553">
        <f t="shared" si="64"/>
        <v>2025</v>
      </c>
      <c r="C553">
        <f t="shared" si="65"/>
        <v>7</v>
      </c>
      <c r="D553" t="str">
        <f t="shared" si="66"/>
        <v>July</v>
      </c>
      <c r="E553">
        <f t="shared" si="67"/>
        <v>27</v>
      </c>
      <c r="F553">
        <f t="shared" si="68"/>
        <v>5</v>
      </c>
      <c r="G553" t="str">
        <f t="shared" si="69"/>
        <v>Saturday</v>
      </c>
      <c r="H553" t="b">
        <f t="shared" si="70"/>
        <v>1</v>
      </c>
      <c r="I553">
        <f t="shared" si="71"/>
        <v>186</v>
      </c>
      <c r="J553" t="s">
        <v>28</v>
      </c>
      <c r="K553">
        <v>20250705</v>
      </c>
    </row>
    <row r="554" spans="1:11" x14ac:dyDescent="0.3">
      <c r="A554" s="4">
        <v>45844</v>
      </c>
      <c r="B554">
        <f t="shared" si="64"/>
        <v>2025</v>
      </c>
      <c r="C554">
        <f t="shared" si="65"/>
        <v>7</v>
      </c>
      <c r="D554" t="str">
        <f t="shared" si="66"/>
        <v>July</v>
      </c>
      <c r="E554">
        <f t="shared" si="67"/>
        <v>28</v>
      </c>
      <c r="F554">
        <f t="shared" si="68"/>
        <v>6</v>
      </c>
      <c r="G554" t="str">
        <f t="shared" si="69"/>
        <v>Sunday</v>
      </c>
      <c r="H554" t="b">
        <f t="shared" si="70"/>
        <v>1</v>
      </c>
      <c r="I554">
        <f t="shared" si="71"/>
        <v>187</v>
      </c>
      <c r="J554" t="s">
        <v>28</v>
      </c>
      <c r="K554">
        <v>20250706</v>
      </c>
    </row>
    <row r="555" spans="1:11" x14ac:dyDescent="0.3">
      <c r="A555" s="4">
        <v>45845</v>
      </c>
      <c r="B555">
        <f t="shared" si="64"/>
        <v>2025</v>
      </c>
      <c r="C555">
        <f t="shared" si="65"/>
        <v>7</v>
      </c>
      <c r="D555" t="str">
        <f t="shared" si="66"/>
        <v>July</v>
      </c>
      <c r="E555">
        <f t="shared" si="67"/>
        <v>28</v>
      </c>
      <c r="F555">
        <f t="shared" si="68"/>
        <v>7</v>
      </c>
      <c r="G555" t="str">
        <f t="shared" si="69"/>
        <v>Monday</v>
      </c>
      <c r="H555" t="b">
        <f t="shared" si="70"/>
        <v>0</v>
      </c>
      <c r="I555">
        <f t="shared" si="71"/>
        <v>188</v>
      </c>
      <c r="J555" t="s">
        <v>28</v>
      </c>
      <c r="K555">
        <v>20250707</v>
      </c>
    </row>
    <row r="556" spans="1:11" x14ac:dyDescent="0.3">
      <c r="A556" s="4">
        <v>45846</v>
      </c>
      <c r="B556">
        <f t="shared" si="64"/>
        <v>2025</v>
      </c>
      <c r="C556">
        <f t="shared" si="65"/>
        <v>7</v>
      </c>
      <c r="D556" t="str">
        <f t="shared" si="66"/>
        <v>July</v>
      </c>
      <c r="E556">
        <f t="shared" si="67"/>
        <v>28</v>
      </c>
      <c r="F556">
        <f t="shared" si="68"/>
        <v>8</v>
      </c>
      <c r="G556" t="str">
        <f t="shared" si="69"/>
        <v>Tuesday</v>
      </c>
      <c r="H556" t="b">
        <f t="shared" si="70"/>
        <v>0</v>
      </c>
      <c r="I556">
        <f t="shared" si="71"/>
        <v>189</v>
      </c>
      <c r="J556" t="s">
        <v>28</v>
      </c>
      <c r="K556">
        <v>20250708</v>
      </c>
    </row>
    <row r="557" spans="1:11" x14ac:dyDescent="0.3">
      <c r="A557" s="4">
        <v>45847</v>
      </c>
      <c r="B557">
        <f t="shared" si="64"/>
        <v>2025</v>
      </c>
      <c r="C557">
        <f t="shared" si="65"/>
        <v>7</v>
      </c>
      <c r="D557" t="str">
        <f t="shared" si="66"/>
        <v>July</v>
      </c>
      <c r="E557">
        <f t="shared" si="67"/>
        <v>28</v>
      </c>
      <c r="F557">
        <f t="shared" si="68"/>
        <v>9</v>
      </c>
      <c r="G557" t="str">
        <f t="shared" si="69"/>
        <v>Wednesday</v>
      </c>
      <c r="H557" t="b">
        <f t="shared" si="70"/>
        <v>0</v>
      </c>
      <c r="I557">
        <f t="shared" si="71"/>
        <v>190</v>
      </c>
      <c r="J557" t="s">
        <v>28</v>
      </c>
      <c r="K557">
        <v>20250709</v>
      </c>
    </row>
    <row r="558" spans="1:11" x14ac:dyDescent="0.3">
      <c r="A558" s="4">
        <v>45848</v>
      </c>
      <c r="B558">
        <f t="shared" si="64"/>
        <v>2025</v>
      </c>
      <c r="C558">
        <f t="shared" si="65"/>
        <v>7</v>
      </c>
      <c r="D558" t="str">
        <f t="shared" si="66"/>
        <v>July</v>
      </c>
      <c r="E558">
        <f t="shared" si="67"/>
        <v>28</v>
      </c>
      <c r="F558">
        <f t="shared" si="68"/>
        <v>10</v>
      </c>
      <c r="G558" t="str">
        <f t="shared" si="69"/>
        <v>Thursday</v>
      </c>
      <c r="H558" t="b">
        <f t="shared" si="70"/>
        <v>0</v>
      </c>
      <c r="I558">
        <f t="shared" si="71"/>
        <v>191</v>
      </c>
      <c r="J558" t="s">
        <v>28</v>
      </c>
      <c r="K558">
        <v>20250710</v>
      </c>
    </row>
    <row r="559" spans="1:11" x14ac:dyDescent="0.3">
      <c r="A559" s="4">
        <v>45849</v>
      </c>
      <c r="B559">
        <f t="shared" si="64"/>
        <v>2025</v>
      </c>
      <c r="C559">
        <f t="shared" si="65"/>
        <v>7</v>
      </c>
      <c r="D559" t="str">
        <f t="shared" si="66"/>
        <v>July</v>
      </c>
      <c r="E559">
        <f t="shared" si="67"/>
        <v>28</v>
      </c>
      <c r="F559">
        <f t="shared" si="68"/>
        <v>11</v>
      </c>
      <c r="G559" t="str">
        <f t="shared" si="69"/>
        <v>Friday</v>
      </c>
      <c r="H559" t="b">
        <f t="shared" si="70"/>
        <v>0</v>
      </c>
      <c r="I559">
        <f t="shared" si="71"/>
        <v>192</v>
      </c>
      <c r="J559" t="s">
        <v>28</v>
      </c>
      <c r="K559">
        <v>20250711</v>
      </c>
    </row>
    <row r="560" spans="1:11" x14ac:dyDescent="0.3">
      <c r="A560" s="4">
        <v>45850</v>
      </c>
      <c r="B560">
        <f t="shared" si="64"/>
        <v>2025</v>
      </c>
      <c r="C560">
        <f t="shared" si="65"/>
        <v>7</v>
      </c>
      <c r="D560" t="str">
        <f t="shared" si="66"/>
        <v>July</v>
      </c>
      <c r="E560">
        <f t="shared" si="67"/>
        <v>28</v>
      </c>
      <c r="F560">
        <f t="shared" si="68"/>
        <v>12</v>
      </c>
      <c r="G560" t="str">
        <f t="shared" si="69"/>
        <v>Saturday</v>
      </c>
      <c r="H560" t="b">
        <f t="shared" si="70"/>
        <v>1</v>
      </c>
      <c r="I560">
        <f t="shared" si="71"/>
        <v>193</v>
      </c>
      <c r="J560" t="s">
        <v>28</v>
      </c>
      <c r="K560">
        <v>20250712</v>
      </c>
    </row>
    <row r="561" spans="1:11" x14ac:dyDescent="0.3">
      <c r="A561" s="4">
        <v>45851</v>
      </c>
      <c r="B561">
        <f t="shared" si="64"/>
        <v>2025</v>
      </c>
      <c r="C561">
        <f t="shared" si="65"/>
        <v>7</v>
      </c>
      <c r="D561" t="str">
        <f t="shared" si="66"/>
        <v>July</v>
      </c>
      <c r="E561">
        <f t="shared" si="67"/>
        <v>29</v>
      </c>
      <c r="F561">
        <f t="shared" si="68"/>
        <v>13</v>
      </c>
      <c r="G561" t="str">
        <f t="shared" si="69"/>
        <v>Sunday</v>
      </c>
      <c r="H561" t="b">
        <f t="shared" si="70"/>
        <v>1</v>
      </c>
      <c r="I561">
        <f t="shared" si="71"/>
        <v>194</v>
      </c>
      <c r="J561" t="s">
        <v>28</v>
      </c>
      <c r="K561">
        <v>20250713</v>
      </c>
    </row>
    <row r="562" spans="1:11" x14ac:dyDescent="0.3">
      <c r="A562" s="4">
        <v>45852</v>
      </c>
      <c r="B562">
        <f t="shared" si="64"/>
        <v>2025</v>
      </c>
      <c r="C562">
        <f t="shared" si="65"/>
        <v>7</v>
      </c>
      <c r="D562" t="str">
        <f t="shared" si="66"/>
        <v>July</v>
      </c>
      <c r="E562">
        <f t="shared" si="67"/>
        <v>29</v>
      </c>
      <c r="F562">
        <f t="shared" si="68"/>
        <v>14</v>
      </c>
      <c r="G562" t="str">
        <f t="shared" si="69"/>
        <v>Monday</v>
      </c>
      <c r="H562" t="b">
        <f t="shared" si="70"/>
        <v>0</v>
      </c>
      <c r="I562">
        <f t="shared" si="71"/>
        <v>195</v>
      </c>
      <c r="J562" t="s">
        <v>28</v>
      </c>
      <c r="K562">
        <v>20250714</v>
      </c>
    </row>
    <row r="563" spans="1:11" x14ac:dyDescent="0.3">
      <c r="A563" s="4">
        <v>45853</v>
      </c>
      <c r="B563">
        <f t="shared" si="64"/>
        <v>2025</v>
      </c>
      <c r="C563">
        <f t="shared" si="65"/>
        <v>7</v>
      </c>
      <c r="D563" t="str">
        <f t="shared" si="66"/>
        <v>July</v>
      </c>
      <c r="E563">
        <f t="shared" si="67"/>
        <v>29</v>
      </c>
      <c r="F563">
        <f t="shared" si="68"/>
        <v>15</v>
      </c>
      <c r="G563" t="str">
        <f t="shared" si="69"/>
        <v>Tuesday</v>
      </c>
      <c r="H563" t="b">
        <f t="shared" si="70"/>
        <v>0</v>
      </c>
      <c r="I563">
        <f t="shared" si="71"/>
        <v>196</v>
      </c>
      <c r="J563" t="s">
        <v>28</v>
      </c>
      <c r="K563">
        <v>20250715</v>
      </c>
    </row>
    <row r="564" spans="1:11" x14ac:dyDescent="0.3">
      <c r="A564" s="4">
        <v>45854</v>
      </c>
      <c r="B564">
        <f t="shared" si="64"/>
        <v>2025</v>
      </c>
      <c r="C564">
        <f t="shared" si="65"/>
        <v>7</v>
      </c>
      <c r="D564" t="str">
        <f t="shared" si="66"/>
        <v>July</v>
      </c>
      <c r="E564">
        <f t="shared" si="67"/>
        <v>29</v>
      </c>
      <c r="F564">
        <f t="shared" si="68"/>
        <v>16</v>
      </c>
      <c r="G564" t="str">
        <f t="shared" si="69"/>
        <v>Wednesday</v>
      </c>
      <c r="H564" t="b">
        <f t="shared" si="70"/>
        <v>0</v>
      </c>
      <c r="I564">
        <f t="shared" si="71"/>
        <v>197</v>
      </c>
      <c r="J564" t="s">
        <v>28</v>
      </c>
      <c r="K564">
        <v>20250716</v>
      </c>
    </row>
    <row r="565" spans="1:11" x14ac:dyDescent="0.3">
      <c r="A565" s="4">
        <v>45855</v>
      </c>
      <c r="B565">
        <f t="shared" si="64"/>
        <v>2025</v>
      </c>
      <c r="C565">
        <f t="shared" si="65"/>
        <v>7</v>
      </c>
      <c r="D565" t="str">
        <f t="shared" si="66"/>
        <v>July</v>
      </c>
      <c r="E565">
        <f t="shared" si="67"/>
        <v>29</v>
      </c>
      <c r="F565">
        <f t="shared" si="68"/>
        <v>17</v>
      </c>
      <c r="G565" t="str">
        <f t="shared" si="69"/>
        <v>Thursday</v>
      </c>
      <c r="H565" t="b">
        <f t="shared" si="70"/>
        <v>0</v>
      </c>
      <c r="I565">
        <f t="shared" si="71"/>
        <v>198</v>
      </c>
      <c r="J565" t="s">
        <v>28</v>
      </c>
      <c r="K565">
        <v>20250717</v>
      </c>
    </row>
    <row r="566" spans="1:11" x14ac:dyDescent="0.3">
      <c r="A566" s="4">
        <v>45856</v>
      </c>
      <c r="B566">
        <f t="shared" si="64"/>
        <v>2025</v>
      </c>
      <c r="C566">
        <f t="shared" si="65"/>
        <v>7</v>
      </c>
      <c r="D566" t="str">
        <f t="shared" si="66"/>
        <v>July</v>
      </c>
      <c r="E566">
        <f t="shared" si="67"/>
        <v>29</v>
      </c>
      <c r="F566">
        <f t="shared" si="68"/>
        <v>18</v>
      </c>
      <c r="G566" t="str">
        <f t="shared" si="69"/>
        <v>Friday</v>
      </c>
      <c r="H566" t="b">
        <f t="shared" si="70"/>
        <v>0</v>
      </c>
      <c r="I566">
        <f t="shared" si="71"/>
        <v>199</v>
      </c>
      <c r="J566" t="s">
        <v>28</v>
      </c>
      <c r="K566">
        <v>20250718</v>
      </c>
    </row>
    <row r="567" spans="1:11" x14ac:dyDescent="0.3">
      <c r="A567" s="4">
        <v>45857</v>
      </c>
      <c r="B567">
        <f t="shared" si="64"/>
        <v>2025</v>
      </c>
      <c r="C567">
        <f t="shared" si="65"/>
        <v>7</v>
      </c>
      <c r="D567" t="str">
        <f t="shared" si="66"/>
        <v>July</v>
      </c>
      <c r="E567">
        <f t="shared" si="67"/>
        <v>29</v>
      </c>
      <c r="F567">
        <f t="shared" si="68"/>
        <v>19</v>
      </c>
      <c r="G567" t="str">
        <f t="shared" si="69"/>
        <v>Saturday</v>
      </c>
      <c r="H567" t="b">
        <f t="shared" si="70"/>
        <v>1</v>
      </c>
      <c r="I567">
        <f t="shared" si="71"/>
        <v>200</v>
      </c>
      <c r="J567" t="s">
        <v>28</v>
      </c>
      <c r="K567">
        <v>20250719</v>
      </c>
    </row>
    <row r="568" spans="1:11" x14ac:dyDescent="0.3">
      <c r="A568" s="4">
        <v>45858</v>
      </c>
      <c r="B568">
        <f t="shared" si="64"/>
        <v>2025</v>
      </c>
      <c r="C568">
        <f t="shared" si="65"/>
        <v>7</v>
      </c>
      <c r="D568" t="str">
        <f t="shared" si="66"/>
        <v>July</v>
      </c>
      <c r="E568">
        <f t="shared" si="67"/>
        <v>30</v>
      </c>
      <c r="F568">
        <f t="shared" si="68"/>
        <v>20</v>
      </c>
      <c r="G568" t="str">
        <f t="shared" si="69"/>
        <v>Sunday</v>
      </c>
      <c r="H568" t="b">
        <f t="shared" si="70"/>
        <v>1</v>
      </c>
      <c r="I568">
        <f t="shared" si="71"/>
        <v>201</v>
      </c>
      <c r="J568" t="s">
        <v>28</v>
      </c>
      <c r="K568">
        <v>20250720</v>
      </c>
    </row>
    <row r="569" spans="1:11" x14ac:dyDescent="0.3">
      <c r="A569" s="4">
        <v>45859</v>
      </c>
      <c r="B569">
        <f t="shared" si="64"/>
        <v>2025</v>
      </c>
      <c r="C569">
        <f t="shared" si="65"/>
        <v>7</v>
      </c>
      <c r="D569" t="str">
        <f t="shared" si="66"/>
        <v>July</v>
      </c>
      <c r="E569">
        <f t="shared" si="67"/>
        <v>30</v>
      </c>
      <c r="F569">
        <f t="shared" si="68"/>
        <v>21</v>
      </c>
      <c r="G569" t="str">
        <f t="shared" si="69"/>
        <v>Monday</v>
      </c>
      <c r="H569" t="b">
        <f t="shared" si="70"/>
        <v>0</v>
      </c>
      <c r="I569">
        <f t="shared" si="71"/>
        <v>202</v>
      </c>
      <c r="J569" t="s">
        <v>28</v>
      </c>
      <c r="K569">
        <v>20250721</v>
      </c>
    </row>
    <row r="570" spans="1:11" x14ac:dyDescent="0.3">
      <c r="A570" s="4">
        <v>45860</v>
      </c>
      <c r="B570">
        <f t="shared" si="64"/>
        <v>2025</v>
      </c>
      <c r="C570">
        <f t="shared" si="65"/>
        <v>7</v>
      </c>
      <c r="D570" t="str">
        <f t="shared" si="66"/>
        <v>July</v>
      </c>
      <c r="E570">
        <f t="shared" si="67"/>
        <v>30</v>
      </c>
      <c r="F570">
        <f t="shared" si="68"/>
        <v>22</v>
      </c>
      <c r="G570" t="str">
        <f t="shared" si="69"/>
        <v>Tuesday</v>
      </c>
      <c r="H570" t="b">
        <f t="shared" si="70"/>
        <v>0</v>
      </c>
      <c r="I570">
        <f t="shared" si="71"/>
        <v>203</v>
      </c>
      <c r="J570" t="s">
        <v>28</v>
      </c>
      <c r="K570">
        <v>20250722</v>
      </c>
    </row>
    <row r="571" spans="1:11" x14ac:dyDescent="0.3">
      <c r="A571" s="4">
        <v>45861</v>
      </c>
      <c r="B571">
        <f t="shared" si="64"/>
        <v>2025</v>
      </c>
      <c r="C571">
        <f t="shared" si="65"/>
        <v>7</v>
      </c>
      <c r="D571" t="str">
        <f t="shared" si="66"/>
        <v>July</v>
      </c>
      <c r="E571">
        <f t="shared" si="67"/>
        <v>30</v>
      </c>
      <c r="F571">
        <f t="shared" si="68"/>
        <v>23</v>
      </c>
      <c r="G571" t="str">
        <f t="shared" si="69"/>
        <v>Wednesday</v>
      </c>
      <c r="H571" t="b">
        <f t="shared" si="70"/>
        <v>0</v>
      </c>
      <c r="I571">
        <f t="shared" si="71"/>
        <v>204</v>
      </c>
      <c r="J571" t="s">
        <v>28</v>
      </c>
      <c r="K571">
        <v>20250723</v>
      </c>
    </row>
    <row r="572" spans="1:11" x14ac:dyDescent="0.3">
      <c r="A572" s="4">
        <v>45862</v>
      </c>
      <c r="B572">
        <f t="shared" si="64"/>
        <v>2025</v>
      </c>
      <c r="C572">
        <f t="shared" si="65"/>
        <v>7</v>
      </c>
      <c r="D572" t="str">
        <f t="shared" si="66"/>
        <v>July</v>
      </c>
      <c r="E572">
        <f t="shared" si="67"/>
        <v>30</v>
      </c>
      <c r="F572">
        <f t="shared" si="68"/>
        <v>24</v>
      </c>
      <c r="G572" t="str">
        <f t="shared" si="69"/>
        <v>Thursday</v>
      </c>
      <c r="H572" t="b">
        <f t="shared" si="70"/>
        <v>0</v>
      </c>
      <c r="I572">
        <f t="shared" si="71"/>
        <v>205</v>
      </c>
      <c r="J572" t="s">
        <v>28</v>
      </c>
      <c r="K572">
        <v>20250724</v>
      </c>
    </row>
    <row r="573" spans="1:11" x14ac:dyDescent="0.3">
      <c r="A573" s="4">
        <v>45863</v>
      </c>
      <c r="B573">
        <f t="shared" si="64"/>
        <v>2025</v>
      </c>
      <c r="C573">
        <f t="shared" si="65"/>
        <v>7</v>
      </c>
      <c r="D573" t="str">
        <f t="shared" si="66"/>
        <v>July</v>
      </c>
      <c r="E573">
        <f t="shared" si="67"/>
        <v>30</v>
      </c>
      <c r="F573">
        <f t="shared" si="68"/>
        <v>25</v>
      </c>
      <c r="G573" t="str">
        <f t="shared" si="69"/>
        <v>Friday</v>
      </c>
      <c r="H573" t="b">
        <f t="shared" si="70"/>
        <v>0</v>
      </c>
      <c r="I573">
        <f t="shared" si="71"/>
        <v>206</v>
      </c>
      <c r="J573" t="s">
        <v>28</v>
      </c>
      <c r="K573">
        <v>20250725</v>
      </c>
    </row>
    <row r="574" spans="1:11" x14ac:dyDescent="0.3">
      <c r="A574" s="4">
        <v>45864</v>
      </c>
      <c r="B574">
        <f t="shared" si="64"/>
        <v>2025</v>
      </c>
      <c r="C574">
        <f t="shared" si="65"/>
        <v>7</v>
      </c>
      <c r="D574" t="str">
        <f t="shared" si="66"/>
        <v>July</v>
      </c>
      <c r="E574">
        <f t="shared" si="67"/>
        <v>30</v>
      </c>
      <c r="F574">
        <f t="shared" si="68"/>
        <v>26</v>
      </c>
      <c r="G574" t="str">
        <f t="shared" si="69"/>
        <v>Saturday</v>
      </c>
      <c r="H574" t="b">
        <f t="shared" si="70"/>
        <v>1</v>
      </c>
      <c r="I574">
        <f t="shared" si="71"/>
        <v>207</v>
      </c>
      <c r="J574" t="s">
        <v>28</v>
      </c>
      <c r="K574">
        <v>20250726</v>
      </c>
    </row>
    <row r="575" spans="1:11" x14ac:dyDescent="0.3">
      <c r="A575" s="4">
        <v>45865</v>
      </c>
      <c r="B575">
        <f t="shared" si="64"/>
        <v>2025</v>
      </c>
      <c r="C575">
        <f t="shared" si="65"/>
        <v>7</v>
      </c>
      <c r="D575" t="str">
        <f t="shared" si="66"/>
        <v>July</v>
      </c>
      <c r="E575">
        <f t="shared" si="67"/>
        <v>31</v>
      </c>
      <c r="F575">
        <f t="shared" si="68"/>
        <v>27</v>
      </c>
      <c r="G575" t="str">
        <f t="shared" si="69"/>
        <v>Sunday</v>
      </c>
      <c r="H575" t="b">
        <f t="shared" si="70"/>
        <v>1</v>
      </c>
      <c r="I575">
        <f t="shared" si="71"/>
        <v>208</v>
      </c>
      <c r="J575" t="s">
        <v>28</v>
      </c>
      <c r="K575">
        <v>20250727</v>
      </c>
    </row>
    <row r="576" spans="1:11" x14ac:dyDescent="0.3">
      <c r="A576" s="4">
        <v>45866</v>
      </c>
      <c r="B576">
        <f t="shared" si="64"/>
        <v>2025</v>
      </c>
      <c r="C576">
        <f t="shared" si="65"/>
        <v>7</v>
      </c>
      <c r="D576" t="str">
        <f t="shared" si="66"/>
        <v>July</v>
      </c>
      <c r="E576">
        <f t="shared" si="67"/>
        <v>31</v>
      </c>
      <c r="F576">
        <f t="shared" si="68"/>
        <v>28</v>
      </c>
      <c r="G576" t="str">
        <f t="shared" si="69"/>
        <v>Monday</v>
      </c>
      <c r="H576" t="b">
        <f t="shared" si="70"/>
        <v>0</v>
      </c>
      <c r="I576">
        <f t="shared" si="71"/>
        <v>209</v>
      </c>
      <c r="J576" t="s">
        <v>28</v>
      </c>
      <c r="K576">
        <v>20250728</v>
      </c>
    </row>
    <row r="577" spans="1:11" x14ac:dyDescent="0.3">
      <c r="A577" s="4">
        <v>45867</v>
      </c>
      <c r="B577">
        <f t="shared" si="64"/>
        <v>2025</v>
      </c>
      <c r="C577">
        <f t="shared" si="65"/>
        <v>7</v>
      </c>
      <c r="D577" t="str">
        <f t="shared" si="66"/>
        <v>July</v>
      </c>
      <c r="E577">
        <f t="shared" si="67"/>
        <v>31</v>
      </c>
      <c r="F577">
        <f t="shared" si="68"/>
        <v>29</v>
      </c>
      <c r="G577" t="str">
        <f t="shared" si="69"/>
        <v>Tuesday</v>
      </c>
      <c r="H577" t="b">
        <f t="shared" si="70"/>
        <v>0</v>
      </c>
      <c r="I577">
        <f t="shared" si="71"/>
        <v>210</v>
      </c>
      <c r="J577" t="s">
        <v>28</v>
      </c>
      <c r="K577">
        <v>20250729</v>
      </c>
    </row>
    <row r="578" spans="1:11" x14ac:dyDescent="0.3">
      <c r="A578" s="4">
        <v>45868</v>
      </c>
      <c r="B578">
        <f t="shared" si="64"/>
        <v>2025</v>
      </c>
      <c r="C578">
        <f t="shared" si="65"/>
        <v>7</v>
      </c>
      <c r="D578" t="str">
        <f t="shared" si="66"/>
        <v>July</v>
      </c>
      <c r="E578">
        <f t="shared" si="67"/>
        <v>31</v>
      </c>
      <c r="F578">
        <f t="shared" si="68"/>
        <v>30</v>
      </c>
      <c r="G578" t="str">
        <f t="shared" si="69"/>
        <v>Wednesday</v>
      </c>
      <c r="H578" t="b">
        <f t="shared" si="70"/>
        <v>0</v>
      </c>
      <c r="I578">
        <f t="shared" si="71"/>
        <v>211</v>
      </c>
      <c r="J578" t="s">
        <v>28</v>
      </c>
      <c r="K578">
        <v>20250730</v>
      </c>
    </row>
    <row r="579" spans="1:11" x14ac:dyDescent="0.3">
      <c r="A579" s="4">
        <v>45869</v>
      </c>
      <c r="B579">
        <f t="shared" ref="B579:B642" si="72">YEAR(A579)</f>
        <v>2025</v>
      </c>
      <c r="C579">
        <f t="shared" ref="C579:C642" si="73">MONTH(A579)</f>
        <v>7</v>
      </c>
      <c r="D579" t="str">
        <f t="shared" ref="D579:D642" si="74">TEXT(A579,"mmmm")</f>
        <v>July</v>
      </c>
      <c r="E579">
        <f t="shared" ref="E579:E642" si="75">WEEKNUM(A579)</f>
        <v>31</v>
      </c>
      <c r="F579">
        <f t="shared" ref="F579:F642" si="76">DAY(A579)</f>
        <v>31</v>
      </c>
      <c r="G579" t="str">
        <f t="shared" ref="G579:G642" si="77">TEXT((A579),"dddd")</f>
        <v>Thursday</v>
      </c>
      <c r="H579" t="b">
        <f t="shared" ref="H579:H642" si="78">IF(OR(G579="Saturday",G579="Sunday"),TRUE,FALSE)</f>
        <v>0</v>
      </c>
      <c r="I579">
        <f t="shared" ref="I579:I642" si="79">A579-DATE(YEAR(A579),1,1)+1</f>
        <v>212</v>
      </c>
      <c r="J579" t="s">
        <v>28</v>
      </c>
      <c r="K579">
        <v>20250731</v>
      </c>
    </row>
    <row r="580" spans="1:11" x14ac:dyDescent="0.3">
      <c r="A580" s="4">
        <v>45870</v>
      </c>
      <c r="B580">
        <f t="shared" si="72"/>
        <v>2025</v>
      </c>
      <c r="C580">
        <f t="shared" si="73"/>
        <v>8</v>
      </c>
      <c r="D580" t="str">
        <f t="shared" si="74"/>
        <v>August</v>
      </c>
      <c r="E580">
        <f t="shared" si="75"/>
        <v>31</v>
      </c>
      <c r="F580">
        <f t="shared" si="76"/>
        <v>1</v>
      </c>
      <c r="G580" t="str">
        <f t="shared" si="77"/>
        <v>Friday</v>
      </c>
      <c r="H580" t="b">
        <f t="shared" si="78"/>
        <v>0</v>
      </c>
      <c r="I580">
        <f t="shared" si="79"/>
        <v>213</v>
      </c>
      <c r="J580" t="s">
        <v>28</v>
      </c>
      <c r="K580">
        <v>20250801</v>
      </c>
    </row>
    <row r="581" spans="1:11" x14ac:dyDescent="0.3">
      <c r="A581" s="4">
        <v>45871</v>
      </c>
      <c r="B581">
        <f t="shared" si="72"/>
        <v>2025</v>
      </c>
      <c r="C581">
        <f t="shared" si="73"/>
        <v>8</v>
      </c>
      <c r="D581" t="str">
        <f t="shared" si="74"/>
        <v>August</v>
      </c>
      <c r="E581">
        <f t="shared" si="75"/>
        <v>31</v>
      </c>
      <c r="F581">
        <f t="shared" si="76"/>
        <v>2</v>
      </c>
      <c r="G581" t="str">
        <f t="shared" si="77"/>
        <v>Saturday</v>
      </c>
      <c r="H581" t="b">
        <f t="shared" si="78"/>
        <v>1</v>
      </c>
      <c r="I581">
        <f t="shared" si="79"/>
        <v>214</v>
      </c>
      <c r="J581" t="s">
        <v>28</v>
      </c>
      <c r="K581">
        <v>20250802</v>
      </c>
    </row>
    <row r="582" spans="1:11" x14ac:dyDescent="0.3">
      <c r="A582" s="4">
        <v>45872</v>
      </c>
      <c r="B582">
        <f t="shared" si="72"/>
        <v>2025</v>
      </c>
      <c r="C582">
        <f t="shared" si="73"/>
        <v>8</v>
      </c>
      <c r="D582" t="str">
        <f t="shared" si="74"/>
        <v>August</v>
      </c>
      <c r="E582">
        <f t="shared" si="75"/>
        <v>32</v>
      </c>
      <c r="F582">
        <f t="shared" si="76"/>
        <v>3</v>
      </c>
      <c r="G582" t="str">
        <f t="shared" si="77"/>
        <v>Sunday</v>
      </c>
      <c r="H582" t="b">
        <f t="shared" si="78"/>
        <v>1</v>
      </c>
      <c r="I582">
        <f t="shared" si="79"/>
        <v>215</v>
      </c>
      <c r="J582" t="s">
        <v>28</v>
      </c>
      <c r="K582">
        <v>20250803</v>
      </c>
    </row>
    <row r="583" spans="1:11" x14ac:dyDescent="0.3">
      <c r="A583" s="4">
        <v>45873</v>
      </c>
      <c r="B583">
        <f t="shared" si="72"/>
        <v>2025</v>
      </c>
      <c r="C583">
        <f t="shared" si="73"/>
        <v>8</v>
      </c>
      <c r="D583" t="str">
        <f t="shared" si="74"/>
        <v>August</v>
      </c>
      <c r="E583">
        <f t="shared" si="75"/>
        <v>32</v>
      </c>
      <c r="F583">
        <f t="shared" si="76"/>
        <v>4</v>
      </c>
      <c r="G583" t="str">
        <f t="shared" si="77"/>
        <v>Monday</v>
      </c>
      <c r="H583" t="b">
        <f t="shared" si="78"/>
        <v>0</v>
      </c>
      <c r="I583">
        <f t="shared" si="79"/>
        <v>216</v>
      </c>
      <c r="J583" t="s">
        <v>28</v>
      </c>
      <c r="K583">
        <v>20250804</v>
      </c>
    </row>
    <row r="584" spans="1:11" x14ac:dyDescent="0.3">
      <c r="A584" s="4">
        <v>45874</v>
      </c>
      <c r="B584">
        <f t="shared" si="72"/>
        <v>2025</v>
      </c>
      <c r="C584">
        <f t="shared" si="73"/>
        <v>8</v>
      </c>
      <c r="D584" t="str">
        <f t="shared" si="74"/>
        <v>August</v>
      </c>
      <c r="E584">
        <f t="shared" si="75"/>
        <v>32</v>
      </c>
      <c r="F584">
        <f t="shared" si="76"/>
        <v>5</v>
      </c>
      <c r="G584" t="str">
        <f t="shared" si="77"/>
        <v>Tuesday</v>
      </c>
      <c r="H584" t="b">
        <f t="shared" si="78"/>
        <v>0</v>
      </c>
      <c r="I584">
        <f t="shared" si="79"/>
        <v>217</v>
      </c>
      <c r="J584" t="s">
        <v>28</v>
      </c>
      <c r="K584">
        <v>20250805</v>
      </c>
    </row>
    <row r="585" spans="1:11" x14ac:dyDescent="0.3">
      <c r="A585" s="4">
        <v>45875</v>
      </c>
      <c r="B585">
        <f t="shared" si="72"/>
        <v>2025</v>
      </c>
      <c r="C585">
        <f t="shared" si="73"/>
        <v>8</v>
      </c>
      <c r="D585" t="str">
        <f t="shared" si="74"/>
        <v>August</v>
      </c>
      <c r="E585">
        <f t="shared" si="75"/>
        <v>32</v>
      </c>
      <c r="F585">
        <f t="shared" si="76"/>
        <v>6</v>
      </c>
      <c r="G585" t="str">
        <f t="shared" si="77"/>
        <v>Wednesday</v>
      </c>
      <c r="H585" t="b">
        <f t="shared" si="78"/>
        <v>0</v>
      </c>
      <c r="I585">
        <f t="shared" si="79"/>
        <v>218</v>
      </c>
      <c r="J585" t="s">
        <v>28</v>
      </c>
      <c r="K585">
        <v>20250806</v>
      </c>
    </row>
    <row r="586" spans="1:11" x14ac:dyDescent="0.3">
      <c r="A586" s="4">
        <v>45876</v>
      </c>
      <c r="B586">
        <f t="shared" si="72"/>
        <v>2025</v>
      </c>
      <c r="C586">
        <f t="shared" si="73"/>
        <v>8</v>
      </c>
      <c r="D586" t="str">
        <f t="shared" si="74"/>
        <v>August</v>
      </c>
      <c r="E586">
        <f t="shared" si="75"/>
        <v>32</v>
      </c>
      <c r="F586">
        <f t="shared" si="76"/>
        <v>7</v>
      </c>
      <c r="G586" t="str">
        <f t="shared" si="77"/>
        <v>Thursday</v>
      </c>
      <c r="H586" t="b">
        <f t="shared" si="78"/>
        <v>0</v>
      </c>
      <c r="I586">
        <f t="shared" si="79"/>
        <v>219</v>
      </c>
      <c r="J586" t="s">
        <v>28</v>
      </c>
      <c r="K586">
        <v>20250807</v>
      </c>
    </row>
    <row r="587" spans="1:11" x14ac:dyDescent="0.3">
      <c r="A587" s="4">
        <v>45877</v>
      </c>
      <c r="B587">
        <f t="shared" si="72"/>
        <v>2025</v>
      </c>
      <c r="C587">
        <f t="shared" si="73"/>
        <v>8</v>
      </c>
      <c r="D587" t="str">
        <f t="shared" si="74"/>
        <v>August</v>
      </c>
      <c r="E587">
        <f t="shared" si="75"/>
        <v>32</v>
      </c>
      <c r="F587">
        <f t="shared" si="76"/>
        <v>8</v>
      </c>
      <c r="G587" t="str">
        <f t="shared" si="77"/>
        <v>Friday</v>
      </c>
      <c r="H587" t="b">
        <f t="shared" si="78"/>
        <v>0</v>
      </c>
      <c r="I587">
        <f t="shared" si="79"/>
        <v>220</v>
      </c>
      <c r="J587" t="s">
        <v>28</v>
      </c>
      <c r="K587">
        <v>20250808</v>
      </c>
    </row>
    <row r="588" spans="1:11" x14ac:dyDescent="0.3">
      <c r="A588" s="4">
        <v>45878</v>
      </c>
      <c r="B588">
        <f t="shared" si="72"/>
        <v>2025</v>
      </c>
      <c r="C588">
        <f t="shared" si="73"/>
        <v>8</v>
      </c>
      <c r="D588" t="str">
        <f t="shared" si="74"/>
        <v>August</v>
      </c>
      <c r="E588">
        <f t="shared" si="75"/>
        <v>32</v>
      </c>
      <c r="F588">
        <f t="shared" si="76"/>
        <v>9</v>
      </c>
      <c r="G588" t="str">
        <f t="shared" si="77"/>
        <v>Saturday</v>
      </c>
      <c r="H588" t="b">
        <f t="shared" si="78"/>
        <v>1</v>
      </c>
      <c r="I588">
        <f t="shared" si="79"/>
        <v>221</v>
      </c>
      <c r="J588" t="s">
        <v>28</v>
      </c>
      <c r="K588">
        <v>20250809</v>
      </c>
    </row>
    <row r="589" spans="1:11" x14ac:dyDescent="0.3">
      <c r="A589" s="4">
        <v>45879</v>
      </c>
      <c r="B589">
        <f t="shared" si="72"/>
        <v>2025</v>
      </c>
      <c r="C589">
        <f t="shared" si="73"/>
        <v>8</v>
      </c>
      <c r="D589" t="str">
        <f t="shared" si="74"/>
        <v>August</v>
      </c>
      <c r="E589">
        <f t="shared" si="75"/>
        <v>33</v>
      </c>
      <c r="F589">
        <f t="shared" si="76"/>
        <v>10</v>
      </c>
      <c r="G589" t="str">
        <f t="shared" si="77"/>
        <v>Sunday</v>
      </c>
      <c r="H589" t="b">
        <f t="shared" si="78"/>
        <v>1</v>
      </c>
      <c r="I589">
        <f t="shared" si="79"/>
        <v>222</v>
      </c>
      <c r="J589" t="s">
        <v>28</v>
      </c>
      <c r="K589">
        <v>20250810</v>
      </c>
    </row>
    <row r="590" spans="1:11" x14ac:dyDescent="0.3">
      <c r="A590" s="4">
        <v>45880</v>
      </c>
      <c r="B590">
        <f t="shared" si="72"/>
        <v>2025</v>
      </c>
      <c r="C590">
        <f t="shared" si="73"/>
        <v>8</v>
      </c>
      <c r="D590" t="str">
        <f t="shared" si="74"/>
        <v>August</v>
      </c>
      <c r="E590">
        <f t="shared" si="75"/>
        <v>33</v>
      </c>
      <c r="F590">
        <f t="shared" si="76"/>
        <v>11</v>
      </c>
      <c r="G590" t="str">
        <f t="shared" si="77"/>
        <v>Monday</v>
      </c>
      <c r="H590" t="b">
        <f t="shared" si="78"/>
        <v>0</v>
      </c>
      <c r="I590">
        <f t="shared" si="79"/>
        <v>223</v>
      </c>
      <c r="J590" t="s">
        <v>28</v>
      </c>
      <c r="K590">
        <v>20250811</v>
      </c>
    </row>
    <row r="591" spans="1:11" x14ac:dyDescent="0.3">
      <c r="A591" s="4">
        <v>45881</v>
      </c>
      <c r="B591">
        <f t="shared" si="72"/>
        <v>2025</v>
      </c>
      <c r="C591">
        <f t="shared" si="73"/>
        <v>8</v>
      </c>
      <c r="D591" t="str">
        <f t="shared" si="74"/>
        <v>August</v>
      </c>
      <c r="E591">
        <f t="shared" si="75"/>
        <v>33</v>
      </c>
      <c r="F591">
        <f t="shared" si="76"/>
        <v>12</v>
      </c>
      <c r="G591" t="str">
        <f t="shared" si="77"/>
        <v>Tuesday</v>
      </c>
      <c r="H591" t="b">
        <f t="shared" si="78"/>
        <v>0</v>
      </c>
      <c r="I591">
        <f t="shared" si="79"/>
        <v>224</v>
      </c>
      <c r="J591" t="s">
        <v>28</v>
      </c>
      <c r="K591">
        <v>20250812</v>
      </c>
    </row>
    <row r="592" spans="1:11" x14ac:dyDescent="0.3">
      <c r="A592" s="4">
        <v>45882</v>
      </c>
      <c r="B592">
        <f t="shared" si="72"/>
        <v>2025</v>
      </c>
      <c r="C592">
        <f t="shared" si="73"/>
        <v>8</v>
      </c>
      <c r="D592" t="str">
        <f t="shared" si="74"/>
        <v>August</v>
      </c>
      <c r="E592">
        <f t="shared" si="75"/>
        <v>33</v>
      </c>
      <c r="F592">
        <f t="shared" si="76"/>
        <v>13</v>
      </c>
      <c r="G592" t="str">
        <f t="shared" si="77"/>
        <v>Wednesday</v>
      </c>
      <c r="H592" t="b">
        <f t="shared" si="78"/>
        <v>0</v>
      </c>
      <c r="I592">
        <f t="shared" si="79"/>
        <v>225</v>
      </c>
      <c r="J592" t="s">
        <v>28</v>
      </c>
      <c r="K592">
        <v>20250813</v>
      </c>
    </row>
    <row r="593" spans="1:11" x14ac:dyDescent="0.3">
      <c r="A593" s="4">
        <v>45883</v>
      </c>
      <c r="B593">
        <f t="shared" si="72"/>
        <v>2025</v>
      </c>
      <c r="C593">
        <f t="shared" si="73"/>
        <v>8</v>
      </c>
      <c r="D593" t="str">
        <f t="shared" si="74"/>
        <v>August</v>
      </c>
      <c r="E593">
        <f t="shared" si="75"/>
        <v>33</v>
      </c>
      <c r="F593">
        <f t="shared" si="76"/>
        <v>14</v>
      </c>
      <c r="G593" t="str">
        <f t="shared" si="77"/>
        <v>Thursday</v>
      </c>
      <c r="H593" t="b">
        <f t="shared" si="78"/>
        <v>0</v>
      </c>
      <c r="I593">
        <f t="shared" si="79"/>
        <v>226</v>
      </c>
      <c r="J593" t="s">
        <v>28</v>
      </c>
      <c r="K593">
        <v>20250814</v>
      </c>
    </row>
    <row r="594" spans="1:11" x14ac:dyDescent="0.3">
      <c r="A594" s="4">
        <v>45884</v>
      </c>
      <c r="B594">
        <f t="shared" si="72"/>
        <v>2025</v>
      </c>
      <c r="C594">
        <f t="shared" si="73"/>
        <v>8</v>
      </c>
      <c r="D594" t="str">
        <f t="shared" si="74"/>
        <v>August</v>
      </c>
      <c r="E594">
        <f t="shared" si="75"/>
        <v>33</v>
      </c>
      <c r="F594">
        <f t="shared" si="76"/>
        <v>15</v>
      </c>
      <c r="G594" t="str">
        <f t="shared" si="77"/>
        <v>Friday</v>
      </c>
      <c r="H594" t="b">
        <f t="shared" si="78"/>
        <v>0</v>
      </c>
      <c r="I594">
        <f t="shared" si="79"/>
        <v>227</v>
      </c>
      <c r="J594" t="s">
        <v>28</v>
      </c>
      <c r="K594">
        <v>20250815</v>
      </c>
    </row>
    <row r="595" spans="1:11" x14ac:dyDescent="0.3">
      <c r="A595" s="4">
        <v>45885</v>
      </c>
      <c r="B595">
        <f t="shared" si="72"/>
        <v>2025</v>
      </c>
      <c r="C595">
        <f t="shared" si="73"/>
        <v>8</v>
      </c>
      <c r="D595" t="str">
        <f t="shared" si="74"/>
        <v>August</v>
      </c>
      <c r="E595">
        <f t="shared" si="75"/>
        <v>33</v>
      </c>
      <c r="F595">
        <f t="shared" si="76"/>
        <v>16</v>
      </c>
      <c r="G595" t="str">
        <f t="shared" si="77"/>
        <v>Saturday</v>
      </c>
      <c r="H595" t="b">
        <f t="shared" si="78"/>
        <v>1</v>
      </c>
      <c r="I595">
        <f t="shared" si="79"/>
        <v>228</v>
      </c>
      <c r="J595" t="s">
        <v>28</v>
      </c>
      <c r="K595">
        <v>20250816</v>
      </c>
    </row>
    <row r="596" spans="1:11" x14ac:dyDescent="0.3">
      <c r="A596" s="4">
        <v>45886</v>
      </c>
      <c r="B596">
        <f t="shared" si="72"/>
        <v>2025</v>
      </c>
      <c r="C596">
        <f t="shared" si="73"/>
        <v>8</v>
      </c>
      <c r="D596" t="str">
        <f t="shared" si="74"/>
        <v>August</v>
      </c>
      <c r="E596">
        <f t="shared" si="75"/>
        <v>34</v>
      </c>
      <c r="F596">
        <f t="shared" si="76"/>
        <v>17</v>
      </c>
      <c r="G596" t="str">
        <f t="shared" si="77"/>
        <v>Sunday</v>
      </c>
      <c r="H596" t="b">
        <f t="shared" si="78"/>
        <v>1</v>
      </c>
      <c r="I596">
        <f t="shared" si="79"/>
        <v>229</v>
      </c>
      <c r="J596" t="s">
        <v>28</v>
      </c>
      <c r="K596">
        <v>20250817</v>
      </c>
    </row>
    <row r="597" spans="1:11" x14ac:dyDescent="0.3">
      <c r="A597" s="4">
        <v>45887</v>
      </c>
      <c r="B597">
        <f t="shared" si="72"/>
        <v>2025</v>
      </c>
      <c r="C597">
        <f t="shared" si="73"/>
        <v>8</v>
      </c>
      <c r="D597" t="str">
        <f t="shared" si="74"/>
        <v>August</v>
      </c>
      <c r="E597">
        <f t="shared" si="75"/>
        <v>34</v>
      </c>
      <c r="F597">
        <f t="shared" si="76"/>
        <v>18</v>
      </c>
      <c r="G597" t="str">
        <f t="shared" si="77"/>
        <v>Monday</v>
      </c>
      <c r="H597" t="b">
        <f t="shared" si="78"/>
        <v>0</v>
      </c>
      <c r="I597">
        <f t="shared" si="79"/>
        <v>230</v>
      </c>
      <c r="J597" t="s">
        <v>28</v>
      </c>
      <c r="K597">
        <v>20250818</v>
      </c>
    </row>
    <row r="598" spans="1:11" x14ac:dyDescent="0.3">
      <c r="A598" s="4">
        <v>45888</v>
      </c>
      <c r="B598">
        <f t="shared" si="72"/>
        <v>2025</v>
      </c>
      <c r="C598">
        <f t="shared" si="73"/>
        <v>8</v>
      </c>
      <c r="D598" t="str">
        <f t="shared" si="74"/>
        <v>August</v>
      </c>
      <c r="E598">
        <f t="shared" si="75"/>
        <v>34</v>
      </c>
      <c r="F598">
        <f t="shared" si="76"/>
        <v>19</v>
      </c>
      <c r="G598" t="str">
        <f t="shared" si="77"/>
        <v>Tuesday</v>
      </c>
      <c r="H598" t="b">
        <f t="shared" si="78"/>
        <v>0</v>
      </c>
      <c r="I598">
        <f t="shared" si="79"/>
        <v>231</v>
      </c>
      <c r="J598" t="s">
        <v>28</v>
      </c>
      <c r="K598">
        <v>20250819</v>
      </c>
    </row>
    <row r="599" spans="1:11" x14ac:dyDescent="0.3">
      <c r="A599" s="4">
        <v>45889</v>
      </c>
      <c r="B599">
        <f t="shared" si="72"/>
        <v>2025</v>
      </c>
      <c r="C599">
        <f t="shared" si="73"/>
        <v>8</v>
      </c>
      <c r="D599" t="str">
        <f t="shared" si="74"/>
        <v>August</v>
      </c>
      <c r="E599">
        <f t="shared" si="75"/>
        <v>34</v>
      </c>
      <c r="F599">
        <f t="shared" si="76"/>
        <v>20</v>
      </c>
      <c r="G599" t="str">
        <f t="shared" si="77"/>
        <v>Wednesday</v>
      </c>
      <c r="H599" t="b">
        <f t="shared" si="78"/>
        <v>0</v>
      </c>
      <c r="I599">
        <f t="shared" si="79"/>
        <v>232</v>
      </c>
      <c r="J599" t="s">
        <v>28</v>
      </c>
      <c r="K599">
        <v>20250820</v>
      </c>
    </row>
    <row r="600" spans="1:11" x14ac:dyDescent="0.3">
      <c r="A600" s="4">
        <v>45890</v>
      </c>
      <c r="B600">
        <f t="shared" si="72"/>
        <v>2025</v>
      </c>
      <c r="C600">
        <f t="shared" si="73"/>
        <v>8</v>
      </c>
      <c r="D600" t="str">
        <f t="shared" si="74"/>
        <v>August</v>
      </c>
      <c r="E600">
        <f t="shared" si="75"/>
        <v>34</v>
      </c>
      <c r="F600">
        <f t="shared" si="76"/>
        <v>21</v>
      </c>
      <c r="G600" t="str">
        <f t="shared" si="77"/>
        <v>Thursday</v>
      </c>
      <c r="H600" t="b">
        <f t="shared" si="78"/>
        <v>0</v>
      </c>
      <c r="I600">
        <f t="shared" si="79"/>
        <v>233</v>
      </c>
      <c r="J600" t="s">
        <v>28</v>
      </c>
      <c r="K600">
        <v>20250821</v>
      </c>
    </row>
    <row r="601" spans="1:11" x14ac:dyDescent="0.3">
      <c r="A601" s="4">
        <v>45891</v>
      </c>
      <c r="B601">
        <f t="shared" si="72"/>
        <v>2025</v>
      </c>
      <c r="C601">
        <f t="shared" si="73"/>
        <v>8</v>
      </c>
      <c r="D601" t="str">
        <f t="shared" si="74"/>
        <v>August</v>
      </c>
      <c r="E601">
        <f t="shared" si="75"/>
        <v>34</v>
      </c>
      <c r="F601">
        <f t="shared" si="76"/>
        <v>22</v>
      </c>
      <c r="G601" t="str">
        <f t="shared" si="77"/>
        <v>Friday</v>
      </c>
      <c r="H601" t="b">
        <f t="shared" si="78"/>
        <v>0</v>
      </c>
      <c r="I601">
        <f t="shared" si="79"/>
        <v>234</v>
      </c>
      <c r="J601" t="s">
        <v>28</v>
      </c>
      <c r="K601">
        <v>20250822</v>
      </c>
    </row>
    <row r="602" spans="1:11" x14ac:dyDescent="0.3">
      <c r="A602" s="4">
        <v>45892</v>
      </c>
      <c r="B602">
        <f t="shared" si="72"/>
        <v>2025</v>
      </c>
      <c r="C602">
        <f t="shared" si="73"/>
        <v>8</v>
      </c>
      <c r="D602" t="str">
        <f t="shared" si="74"/>
        <v>August</v>
      </c>
      <c r="E602">
        <f t="shared" si="75"/>
        <v>34</v>
      </c>
      <c r="F602">
        <f t="shared" si="76"/>
        <v>23</v>
      </c>
      <c r="G602" t="str">
        <f t="shared" si="77"/>
        <v>Saturday</v>
      </c>
      <c r="H602" t="b">
        <f t="shared" si="78"/>
        <v>1</v>
      </c>
      <c r="I602">
        <f t="shared" si="79"/>
        <v>235</v>
      </c>
      <c r="J602" t="s">
        <v>28</v>
      </c>
      <c r="K602">
        <v>20250823</v>
      </c>
    </row>
    <row r="603" spans="1:11" x14ac:dyDescent="0.3">
      <c r="A603" s="4">
        <v>45893</v>
      </c>
      <c r="B603">
        <f t="shared" si="72"/>
        <v>2025</v>
      </c>
      <c r="C603">
        <f t="shared" si="73"/>
        <v>8</v>
      </c>
      <c r="D603" t="str">
        <f t="shared" si="74"/>
        <v>August</v>
      </c>
      <c r="E603">
        <f t="shared" si="75"/>
        <v>35</v>
      </c>
      <c r="F603">
        <f t="shared" si="76"/>
        <v>24</v>
      </c>
      <c r="G603" t="str">
        <f t="shared" si="77"/>
        <v>Sunday</v>
      </c>
      <c r="H603" t="b">
        <f t="shared" si="78"/>
        <v>1</v>
      </c>
      <c r="I603">
        <f t="shared" si="79"/>
        <v>236</v>
      </c>
      <c r="J603" t="s">
        <v>28</v>
      </c>
      <c r="K603">
        <v>20250824</v>
      </c>
    </row>
    <row r="604" spans="1:11" x14ac:dyDescent="0.3">
      <c r="A604" s="4">
        <v>45894</v>
      </c>
      <c r="B604">
        <f t="shared" si="72"/>
        <v>2025</v>
      </c>
      <c r="C604">
        <f t="shared" si="73"/>
        <v>8</v>
      </c>
      <c r="D604" t="str">
        <f t="shared" si="74"/>
        <v>August</v>
      </c>
      <c r="E604">
        <f t="shared" si="75"/>
        <v>35</v>
      </c>
      <c r="F604">
        <f t="shared" si="76"/>
        <v>25</v>
      </c>
      <c r="G604" t="str">
        <f t="shared" si="77"/>
        <v>Monday</v>
      </c>
      <c r="H604" t="b">
        <f t="shared" si="78"/>
        <v>0</v>
      </c>
      <c r="I604">
        <f t="shared" si="79"/>
        <v>237</v>
      </c>
      <c r="J604" t="s">
        <v>28</v>
      </c>
      <c r="K604">
        <v>20250825</v>
      </c>
    </row>
    <row r="605" spans="1:11" x14ac:dyDescent="0.3">
      <c r="A605" s="4">
        <v>45895</v>
      </c>
      <c r="B605">
        <f t="shared" si="72"/>
        <v>2025</v>
      </c>
      <c r="C605">
        <f t="shared" si="73"/>
        <v>8</v>
      </c>
      <c r="D605" t="str">
        <f t="shared" si="74"/>
        <v>August</v>
      </c>
      <c r="E605">
        <f t="shared" si="75"/>
        <v>35</v>
      </c>
      <c r="F605">
        <f t="shared" si="76"/>
        <v>26</v>
      </c>
      <c r="G605" t="str">
        <f t="shared" si="77"/>
        <v>Tuesday</v>
      </c>
      <c r="H605" t="b">
        <f t="shared" si="78"/>
        <v>0</v>
      </c>
      <c r="I605">
        <f t="shared" si="79"/>
        <v>238</v>
      </c>
      <c r="J605" t="s">
        <v>28</v>
      </c>
      <c r="K605">
        <v>20250826</v>
      </c>
    </row>
    <row r="606" spans="1:11" x14ac:dyDescent="0.3">
      <c r="A606" s="4">
        <v>45896</v>
      </c>
      <c r="B606">
        <f t="shared" si="72"/>
        <v>2025</v>
      </c>
      <c r="C606">
        <f t="shared" si="73"/>
        <v>8</v>
      </c>
      <c r="D606" t="str">
        <f t="shared" si="74"/>
        <v>August</v>
      </c>
      <c r="E606">
        <f t="shared" si="75"/>
        <v>35</v>
      </c>
      <c r="F606">
        <f t="shared" si="76"/>
        <v>27</v>
      </c>
      <c r="G606" t="str">
        <f t="shared" si="77"/>
        <v>Wednesday</v>
      </c>
      <c r="H606" t="b">
        <f t="shared" si="78"/>
        <v>0</v>
      </c>
      <c r="I606">
        <f t="shared" si="79"/>
        <v>239</v>
      </c>
      <c r="J606" t="s">
        <v>28</v>
      </c>
      <c r="K606">
        <v>20250827</v>
      </c>
    </row>
    <row r="607" spans="1:11" x14ac:dyDescent="0.3">
      <c r="A607" s="4">
        <v>45897</v>
      </c>
      <c r="B607">
        <f t="shared" si="72"/>
        <v>2025</v>
      </c>
      <c r="C607">
        <f t="shared" si="73"/>
        <v>8</v>
      </c>
      <c r="D607" t="str">
        <f t="shared" si="74"/>
        <v>August</v>
      </c>
      <c r="E607">
        <f t="shared" si="75"/>
        <v>35</v>
      </c>
      <c r="F607">
        <f t="shared" si="76"/>
        <v>28</v>
      </c>
      <c r="G607" t="str">
        <f t="shared" si="77"/>
        <v>Thursday</v>
      </c>
      <c r="H607" t="b">
        <f t="shared" si="78"/>
        <v>0</v>
      </c>
      <c r="I607">
        <f t="shared" si="79"/>
        <v>240</v>
      </c>
      <c r="J607" t="s">
        <v>28</v>
      </c>
      <c r="K607">
        <v>20250828</v>
      </c>
    </row>
    <row r="608" spans="1:11" x14ac:dyDescent="0.3">
      <c r="A608" s="4">
        <v>45898</v>
      </c>
      <c r="B608">
        <f t="shared" si="72"/>
        <v>2025</v>
      </c>
      <c r="C608">
        <f t="shared" si="73"/>
        <v>8</v>
      </c>
      <c r="D608" t="str">
        <f t="shared" si="74"/>
        <v>August</v>
      </c>
      <c r="E608">
        <f t="shared" si="75"/>
        <v>35</v>
      </c>
      <c r="F608">
        <f t="shared" si="76"/>
        <v>29</v>
      </c>
      <c r="G608" t="str">
        <f t="shared" si="77"/>
        <v>Friday</v>
      </c>
      <c r="H608" t="b">
        <f t="shared" si="78"/>
        <v>0</v>
      </c>
      <c r="I608">
        <f t="shared" si="79"/>
        <v>241</v>
      </c>
      <c r="J608" t="s">
        <v>28</v>
      </c>
      <c r="K608">
        <v>20250829</v>
      </c>
    </row>
    <row r="609" spans="1:11" x14ac:dyDescent="0.3">
      <c r="A609" s="4">
        <v>45899</v>
      </c>
      <c r="B609">
        <f t="shared" si="72"/>
        <v>2025</v>
      </c>
      <c r="C609">
        <f t="shared" si="73"/>
        <v>8</v>
      </c>
      <c r="D609" t="str">
        <f t="shared" si="74"/>
        <v>August</v>
      </c>
      <c r="E609">
        <f t="shared" si="75"/>
        <v>35</v>
      </c>
      <c r="F609">
        <f t="shared" si="76"/>
        <v>30</v>
      </c>
      <c r="G609" t="str">
        <f t="shared" si="77"/>
        <v>Saturday</v>
      </c>
      <c r="H609" t="b">
        <f t="shared" si="78"/>
        <v>1</v>
      </c>
      <c r="I609">
        <f t="shared" si="79"/>
        <v>242</v>
      </c>
      <c r="J609" t="s">
        <v>28</v>
      </c>
      <c r="K609">
        <v>20250830</v>
      </c>
    </row>
    <row r="610" spans="1:11" x14ac:dyDescent="0.3">
      <c r="A610" s="4">
        <v>45900</v>
      </c>
      <c r="B610">
        <f t="shared" si="72"/>
        <v>2025</v>
      </c>
      <c r="C610">
        <f t="shared" si="73"/>
        <v>8</v>
      </c>
      <c r="D610" t="str">
        <f t="shared" si="74"/>
        <v>August</v>
      </c>
      <c r="E610">
        <f t="shared" si="75"/>
        <v>36</v>
      </c>
      <c r="F610">
        <f t="shared" si="76"/>
        <v>31</v>
      </c>
      <c r="G610" t="str">
        <f t="shared" si="77"/>
        <v>Sunday</v>
      </c>
      <c r="H610" t="b">
        <f t="shared" si="78"/>
        <v>1</v>
      </c>
      <c r="I610">
        <f t="shared" si="79"/>
        <v>243</v>
      </c>
      <c r="J610" t="s">
        <v>28</v>
      </c>
      <c r="K610">
        <v>20250831</v>
      </c>
    </row>
    <row r="611" spans="1:11" x14ac:dyDescent="0.3">
      <c r="A611" s="4">
        <v>45901</v>
      </c>
      <c r="B611">
        <f t="shared" si="72"/>
        <v>2025</v>
      </c>
      <c r="C611">
        <f t="shared" si="73"/>
        <v>9</v>
      </c>
      <c r="D611" t="str">
        <f t="shared" si="74"/>
        <v>September</v>
      </c>
      <c r="E611">
        <f t="shared" si="75"/>
        <v>36</v>
      </c>
      <c r="F611">
        <f t="shared" si="76"/>
        <v>1</v>
      </c>
      <c r="G611" t="str">
        <f t="shared" si="77"/>
        <v>Monday</v>
      </c>
      <c r="H611" t="b">
        <f t="shared" si="78"/>
        <v>0</v>
      </c>
      <c r="I611">
        <f t="shared" si="79"/>
        <v>244</v>
      </c>
      <c r="J611" t="s">
        <v>25</v>
      </c>
      <c r="K611">
        <v>20250901</v>
      </c>
    </row>
    <row r="612" spans="1:11" x14ac:dyDescent="0.3">
      <c r="A612" s="4">
        <v>45902</v>
      </c>
      <c r="B612">
        <f t="shared" si="72"/>
        <v>2025</v>
      </c>
      <c r="C612">
        <f t="shared" si="73"/>
        <v>9</v>
      </c>
      <c r="D612" t="str">
        <f t="shared" si="74"/>
        <v>September</v>
      </c>
      <c r="E612">
        <f t="shared" si="75"/>
        <v>36</v>
      </c>
      <c r="F612">
        <f t="shared" si="76"/>
        <v>2</v>
      </c>
      <c r="G612" t="str">
        <f t="shared" si="77"/>
        <v>Tuesday</v>
      </c>
      <c r="H612" t="b">
        <f t="shared" si="78"/>
        <v>0</v>
      </c>
      <c r="I612">
        <f t="shared" si="79"/>
        <v>245</v>
      </c>
      <c r="J612" t="s">
        <v>25</v>
      </c>
      <c r="K612">
        <v>20250902</v>
      </c>
    </row>
    <row r="613" spans="1:11" x14ac:dyDescent="0.3">
      <c r="A613" s="4">
        <v>45903</v>
      </c>
      <c r="B613">
        <f t="shared" si="72"/>
        <v>2025</v>
      </c>
      <c r="C613">
        <f t="shared" si="73"/>
        <v>9</v>
      </c>
      <c r="D613" t="str">
        <f t="shared" si="74"/>
        <v>September</v>
      </c>
      <c r="E613">
        <f t="shared" si="75"/>
        <v>36</v>
      </c>
      <c r="F613">
        <f t="shared" si="76"/>
        <v>3</v>
      </c>
      <c r="G613" t="str">
        <f t="shared" si="77"/>
        <v>Wednesday</v>
      </c>
      <c r="H613" t="b">
        <f t="shared" si="78"/>
        <v>0</v>
      </c>
      <c r="I613">
        <f t="shared" si="79"/>
        <v>246</v>
      </c>
      <c r="J613" t="s">
        <v>25</v>
      </c>
      <c r="K613">
        <v>20250903</v>
      </c>
    </row>
    <row r="614" spans="1:11" x14ac:dyDescent="0.3">
      <c r="A614" s="4">
        <v>45904</v>
      </c>
      <c r="B614">
        <f t="shared" si="72"/>
        <v>2025</v>
      </c>
      <c r="C614">
        <f t="shared" si="73"/>
        <v>9</v>
      </c>
      <c r="D614" t="str">
        <f t="shared" si="74"/>
        <v>September</v>
      </c>
      <c r="E614">
        <f t="shared" si="75"/>
        <v>36</v>
      </c>
      <c r="F614">
        <f t="shared" si="76"/>
        <v>4</v>
      </c>
      <c r="G614" t="str">
        <f t="shared" si="77"/>
        <v>Thursday</v>
      </c>
      <c r="H614" t="b">
        <f t="shared" si="78"/>
        <v>0</v>
      </c>
      <c r="I614">
        <f t="shared" si="79"/>
        <v>247</v>
      </c>
      <c r="J614" t="s">
        <v>25</v>
      </c>
      <c r="K614">
        <v>20250904</v>
      </c>
    </row>
    <row r="615" spans="1:11" x14ac:dyDescent="0.3">
      <c r="A615" s="4">
        <v>45905</v>
      </c>
      <c r="B615">
        <f t="shared" si="72"/>
        <v>2025</v>
      </c>
      <c r="C615">
        <f t="shared" si="73"/>
        <v>9</v>
      </c>
      <c r="D615" t="str">
        <f t="shared" si="74"/>
        <v>September</v>
      </c>
      <c r="E615">
        <f t="shared" si="75"/>
        <v>36</v>
      </c>
      <c r="F615">
        <f t="shared" si="76"/>
        <v>5</v>
      </c>
      <c r="G615" t="str">
        <f t="shared" si="77"/>
        <v>Friday</v>
      </c>
      <c r="H615" t="b">
        <f t="shared" si="78"/>
        <v>0</v>
      </c>
      <c r="I615">
        <f t="shared" si="79"/>
        <v>248</v>
      </c>
      <c r="J615" t="s">
        <v>25</v>
      </c>
      <c r="K615">
        <v>20250905</v>
      </c>
    </row>
    <row r="616" spans="1:11" x14ac:dyDescent="0.3">
      <c r="A616" s="4">
        <v>45906</v>
      </c>
      <c r="B616">
        <f t="shared" si="72"/>
        <v>2025</v>
      </c>
      <c r="C616">
        <f t="shared" si="73"/>
        <v>9</v>
      </c>
      <c r="D616" t="str">
        <f t="shared" si="74"/>
        <v>September</v>
      </c>
      <c r="E616">
        <f t="shared" si="75"/>
        <v>36</v>
      </c>
      <c r="F616">
        <f t="shared" si="76"/>
        <v>6</v>
      </c>
      <c r="G616" t="str">
        <f t="shared" si="77"/>
        <v>Saturday</v>
      </c>
      <c r="H616" t="b">
        <f t="shared" si="78"/>
        <v>1</v>
      </c>
      <c r="I616">
        <f t="shared" si="79"/>
        <v>249</v>
      </c>
      <c r="J616" t="s">
        <v>25</v>
      </c>
      <c r="K616">
        <v>20250906</v>
      </c>
    </row>
    <row r="617" spans="1:11" x14ac:dyDescent="0.3">
      <c r="A617" s="4">
        <v>45907</v>
      </c>
      <c r="B617">
        <f t="shared" si="72"/>
        <v>2025</v>
      </c>
      <c r="C617">
        <f t="shared" si="73"/>
        <v>9</v>
      </c>
      <c r="D617" t="str">
        <f t="shared" si="74"/>
        <v>September</v>
      </c>
      <c r="E617">
        <f t="shared" si="75"/>
        <v>37</v>
      </c>
      <c r="F617">
        <f t="shared" si="76"/>
        <v>7</v>
      </c>
      <c r="G617" t="str">
        <f t="shared" si="77"/>
        <v>Sunday</v>
      </c>
      <c r="H617" t="b">
        <f t="shared" si="78"/>
        <v>1</v>
      </c>
      <c r="I617">
        <f t="shared" si="79"/>
        <v>250</v>
      </c>
      <c r="J617" t="s">
        <v>25</v>
      </c>
      <c r="K617">
        <v>20250907</v>
      </c>
    </row>
    <row r="618" spans="1:11" x14ac:dyDescent="0.3">
      <c r="A618" s="4">
        <v>45908</v>
      </c>
      <c r="B618">
        <f t="shared" si="72"/>
        <v>2025</v>
      </c>
      <c r="C618">
        <f t="shared" si="73"/>
        <v>9</v>
      </c>
      <c r="D618" t="str">
        <f t="shared" si="74"/>
        <v>September</v>
      </c>
      <c r="E618">
        <f t="shared" si="75"/>
        <v>37</v>
      </c>
      <c r="F618">
        <f t="shared" si="76"/>
        <v>8</v>
      </c>
      <c r="G618" t="str">
        <f t="shared" si="77"/>
        <v>Monday</v>
      </c>
      <c r="H618" t="b">
        <f t="shared" si="78"/>
        <v>0</v>
      </c>
      <c r="I618">
        <f t="shared" si="79"/>
        <v>251</v>
      </c>
      <c r="J618" t="s">
        <v>25</v>
      </c>
      <c r="K618">
        <v>20250908</v>
      </c>
    </row>
    <row r="619" spans="1:11" x14ac:dyDescent="0.3">
      <c r="A619" s="4">
        <v>45909</v>
      </c>
      <c r="B619">
        <f t="shared" si="72"/>
        <v>2025</v>
      </c>
      <c r="C619">
        <f t="shared" si="73"/>
        <v>9</v>
      </c>
      <c r="D619" t="str">
        <f t="shared" si="74"/>
        <v>September</v>
      </c>
      <c r="E619">
        <f t="shared" si="75"/>
        <v>37</v>
      </c>
      <c r="F619">
        <f t="shared" si="76"/>
        <v>9</v>
      </c>
      <c r="G619" t="str">
        <f t="shared" si="77"/>
        <v>Tuesday</v>
      </c>
      <c r="H619" t="b">
        <f t="shared" si="78"/>
        <v>0</v>
      </c>
      <c r="I619">
        <f t="shared" si="79"/>
        <v>252</v>
      </c>
      <c r="J619" t="s">
        <v>25</v>
      </c>
      <c r="K619">
        <v>20250909</v>
      </c>
    </row>
    <row r="620" spans="1:11" x14ac:dyDescent="0.3">
      <c r="A620" s="4">
        <v>45910</v>
      </c>
      <c r="B620">
        <f t="shared" si="72"/>
        <v>2025</v>
      </c>
      <c r="C620">
        <f t="shared" si="73"/>
        <v>9</v>
      </c>
      <c r="D620" t="str">
        <f t="shared" si="74"/>
        <v>September</v>
      </c>
      <c r="E620">
        <f t="shared" si="75"/>
        <v>37</v>
      </c>
      <c r="F620">
        <f t="shared" si="76"/>
        <v>10</v>
      </c>
      <c r="G620" t="str">
        <f t="shared" si="77"/>
        <v>Wednesday</v>
      </c>
      <c r="H620" t="b">
        <f t="shared" si="78"/>
        <v>0</v>
      </c>
      <c r="I620">
        <f t="shared" si="79"/>
        <v>253</v>
      </c>
      <c r="J620" t="s">
        <v>25</v>
      </c>
      <c r="K620">
        <v>20250910</v>
      </c>
    </row>
    <row r="621" spans="1:11" x14ac:dyDescent="0.3">
      <c r="A621" s="4">
        <v>45911</v>
      </c>
      <c r="B621">
        <f t="shared" si="72"/>
        <v>2025</v>
      </c>
      <c r="C621">
        <f t="shared" si="73"/>
        <v>9</v>
      </c>
      <c r="D621" t="str">
        <f t="shared" si="74"/>
        <v>September</v>
      </c>
      <c r="E621">
        <f t="shared" si="75"/>
        <v>37</v>
      </c>
      <c r="F621">
        <f t="shared" si="76"/>
        <v>11</v>
      </c>
      <c r="G621" t="str">
        <f t="shared" si="77"/>
        <v>Thursday</v>
      </c>
      <c r="H621" t="b">
        <f t="shared" si="78"/>
        <v>0</v>
      </c>
      <c r="I621">
        <f t="shared" si="79"/>
        <v>254</v>
      </c>
      <c r="J621" t="s">
        <v>25</v>
      </c>
      <c r="K621">
        <v>20250911</v>
      </c>
    </row>
    <row r="622" spans="1:11" x14ac:dyDescent="0.3">
      <c r="A622" s="4">
        <v>45912</v>
      </c>
      <c r="B622">
        <f t="shared" si="72"/>
        <v>2025</v>
      </c>
      <c r="C622">
        <f t="shared" si="73"/>
        <v>9</v>
      </c>
      <c r="D622" t="str">
        <f t="shared" si="74"/>
        <v>September</v>
      </c>
      <c r="E622">
        <f t="shared" si="75"/>
        <v>37</v>
      </c>
      <c r="F622">
        <f t="shared" si="76"/>
        <v>12</v>
      </c>
      <c r="G622" t="str">
        <f t="shared" si="77"/>
        <v>Friday</v>
      </c>
      <c r="H622" t="b">
        <f t="shared" si="78"/>
        <v>0</v>
      </c>
      <c r="I622">
        <f t="shared" si="79"/>
        <v>255</v>
      </c>
      <c r="J622" t="s">
        <v>25</v>
      </c>
      <c r="K622">
        <v>20250912</v>
      </c>
    </row>
    <row r="623" spans="1:11" x14ac:dyDescent="0.3">
      <c r="A623" s="4">
        <v>45913</v>
      </c>
      <c r="B623">
        <f t="shared" si="72"/>
        <v>2025</v>
      </c>
      <c r="C623">
        <f t="shared" si="73"/>
        <v>9</v>
      </c>
      <c r="D623" t="str">
        <f t="shared" si="74"/>
        <v>September</v>
      </c>
      <c r="E623">
        <f t="shared" si="75"/>
        <v>37</v>
      </c>
      <c r="F623">
        <f t="shared" si="76"/>
        <v>13</v>
      </c>
      <c r="G623" t="str">
        <f t="shared" si="77"/>
        <v>Saturday</v>
      </c>
      <c r="H623" t="b">
        <f t="shared" si="78"/>
        <v>1</v>
      </c>
      <c r="I623">
        <f t="shared" si="79"/>
        <v>256</v>
      </c>
      <c r="J623" t="s">
        <v>25</v>
      </c>
      <c r="K623">
        <v>20250913</v>
      </c>
    </row>
    <row r="624" spans="1:11" x14ac:dyDescent="0.3">
      <c r="A624" s="4">
        <v>45914</v>
      </c>
      <c r="B624">
        <f t="shared" si="72"/>
        <v>2025</v>
      </c>
      <c r="C624">
        <f t="shared" si="73"/>
        <v>9</v>
      </c>
      <c r="D624" t="str">
        <f t="shared" si="74"/>
        <v>September</v>
      </c>
      <c r="E624">
        <f t="shared" si="75"/>
        <v>38</v>
      </c>
      <c r="F624">
        <f t="shared" si="76"/>
        <v>14</v>
      </c>
      <c r="G624" t="str">
        <f t="shared" si="77"/>
        <v>Sunday</v>
      </c>
      <c r="H624" t="b">
        <f t="shared" si="78"/>
        <v>1</v>
      </c>
      <c r="I624">
        <f t="shared" si="79"/>
        <v>257</v>
      </c>
      <c r="J624" t="s">
        <v>25</v>
      </c>
      <c r="K624">
        <v>20250914</v>
      </c>
    </row>
    <row r="625" spans="1:11" x14ac:dyDescent="0.3">
      <c r="A625" s="4">
        <v>45915</v>
      </c>
      <c r="B625">
        <f t="shared" si="72"/>
        <v>2025</v>
      </c>
      <c r="C625">
        <f t="shared" si="73"/>
        <v>9</v>
      </c>
      <c r="D625" t="str">
        <f t="shared" si="74"/>
        <v>September</v>
      </c>
      <c r="E625">
        <f t="shared" si="75"/>
        <v>38</v>
      </c>
      <c r="F625">
        <f t="shared" si="76"/>
        <v>15</v>
      </c>
      <c r="G625" t="str">
        <f t="shared" si="77"/>
        <v>Monday</v>
      </c>
      <c r="H625" t="b">
        <f t="shared" si="78"/>
        <v>0</v>
      </c>
      <c r="I625">
        <f t="shared" si="79"/>
        <v>258</v>
      </c>
      <c r="J625" t="s">
        <v>25</v>
      </c>
      <c r="K625">
        <v>20250915</v>
      </c>
    </row>
    <row r="626" spans="1:11" x14ac:dyDescent="0.3">
      <c r="A626" s="4">
        <v>45916</v>
      </c>
      <c r="B626">
        <f t="shared" si="72"/>
        <v>2025</v>
      </c>
      <c r="C626">
        <f t="shared" si="73"/>
        <v>9</v>
      </c>
      <c r="D626" t="str">
        <f t="shared" si="74"/>
        <v>September</v>
      </c>
      <c r="E626">
        <f t="shared" si="75"/>
        <v>38</v>
      </c>
      <c r="F626">
        <f t="shared" si="76"/>
        <v>16</v>
      </c>
      <c r="G626" t="str">
        <f t="shared" si="77"/>
        <v>Tuesday</v>
      </c>
      <c r="H626" t="b">
        <f t="shared" si="78"/>
        <v>0</v>
      </c>
      <c r="I626">
        <f t="shared" si="79"/>
        <v>259</v>
      </c>
      <c r="J626" t="s">
        <v>25</v>
      </c>
      <c r="K626">
        <v>20250916</v>
      </c>
    </row>
    <row r="627" spans="1:11" x14ac:dyDescent="0.3">
      <c r="A627" s="4">
        <v>45917</v>
      </c>
      <c r="B627">
        <f t="shared" si="72"/>
        <v>2025</v>
      </c>
      <c r="C627">
        <f t="shared" si="73"/>
        <v>9</v>
      </c>
      <c r="D627" t="str">
        <f t="shared" si="74"/>
        <v>September</v>
      </c>
      <c r="E627">
        <f t="shared" si="75"/>
        <v>38</v>
      </c>
      <c r="F627">
        <f t="shared" si="76"/>
        <v>17</v>
      </c>
      <c r="G627" t="str">
        <f t="shared" si="77"/>
        <v>Wednesday</v>
      </c>
      <c r="H627" t="b">
        <f t="shared" si="78"/>
        <v>0</v>
      </c>
      <c r="I627">
        <f t="shared" si="79"/>
        <v>260</v>
      </c>
      <c r="J627" t="s">
        <v>25</v>
      </c>
      <c r="K627">
        <v>20250917</v>
      </c>
    </row>
    <row r="628" spans="1:11" x14ac:dyDescent="0.3">
      <c r="A628" s="4">
        <v>45918</v>
      </c>
      <c r="B628">
        <f t="shared" si="72"/>
        <v>2025</v>
      </c>
      <c r="C628">
        <f t="shared" si="73"/>
        <v>9</v>
      </c>
      <c r="D628" t="str">
        <f t="shared" si="74"/>
        <v>September</v>
      </c>
      <c r="E628">
        <f t="shared" si="75"/>
        <v>38</v>
      </c>
      <c r="F628">
        <f t="shared" si="76"/>
        <v>18</v>
      </c>
      <c r="G628" t="str">
        <f t="shared" si="77"/>
        <v>Thursday</v>
      </c>
      <c r="H628" t="b">
        <f t="shared" si="78"/>
        <v>0</v>
      </c>
      <c r="I628">
        <f t="shared" si="79"/>
        <v>261</v>
      </c>
      <c r="J628" t="s">
        <v>25</v>
      </c>
      <c r="K628">
        <v>20250918</v>
      </c>
    </row>
    <row r="629" spans="1:11" x14ac:dyDescent="0.3">
      <c r="A629" s="4">
        <v>45919</v>
      </c>
      <c r="B629">
        <f t="shared" si="72"/>
        <v>2025</v>
      </c>
      <c r="C629">
        <f t="shared" si="73"/>
        <v>9</v>
      </c>
      <c r="D629" t="str">
        <f t="shared" si="74"/>
        <v>September</v>
      </c>
      <c r="E629">
        <f t="shared" si="75"/>
        <v>38</v>
      </c>
      <c r="F629">
        <f t="shared" si="76"/>
        <v>19</v>
      </c>
      <c r="G629" t="str">
        <f t="shared" si="77"/>
        <v>Friday</v>
      </c>
      <c r="H629" t="b">
        <f t="shared" si="78"/>
        <v>0</v>
      </c>
      <c r="I629">
        <f t="shared" si="79"/>
        <v>262</v>
      </c>
      <c r="J629" t="s">
        <v>25</v>
      </c>
      <c r="K629">
        <v>20250919</v>
      </c>
    </row>
    <row r="630" spans="1:11" x14ac:dyDescent="0.3">
      <c r="A630" s="4">
        <v>45920</v>
      </c>
      <c r="B630">
        <f t="shared" si="72"/>
        <v>2025</v>
      </c>
      <c r="C630">
        <f t="shared" si="73"/>
        <v>9</v>
      </c>
      <c r="D630" t="str">
        <f t="shared" si="74"/>
        <v>September</v>
      </c>
      <c r="E630">
        <f t="shared" si="75"/>
        <v>38</v>
      </c>
      <c r="F630">
        <f t="shared" si="76"/>
        <v>20</v>
      </c>
      <c r="G630" t="str">
        <f t="shared" si="77"/>
        <v>Saturday</v>
      </c>
      <c r="H630" t="b">
        <f t="shared" si="78"/>
        <v>1</v>
      </c>
      <c r="I630">
        <f t="shared" si="79"/>
        <v>263</v>
      </c>
      <c r="J630" t="s">
        <v>25</v>
      </c>
      <c r="K630">
        <v>20250920</v>
      </c>
    </row>
    <row r="631" spans="1:11" x14ac:dyDescent="0.3">
      <c r="A631" s="4">
        <v>45921</v>
      </c>
      <c r="B631">
        <f t="shared" si="72"/>
        <v>2025</v>
      </c>
      <c r="C631">
        <f t="shared" si="73"/>
        <v>9</v>
      </c>
      <c r="D631" t="str">
        <f t="shared" si="74"/>
        <v>September</v>
      </c>
      <c r="E631">
        <f t="shared" si="75"/>
        <v>39</v>
      </c>
      <c r="F631">
        <f t="shared" si="76"/>
        <v>21</v>
      </c>
      <c r="G631" t="str">
        <f t="shared" si="77"/>
        <v>Sunday</v>
      </c>
      <c r="H631" t="b">
        <f t="shared" si="78"/>
        <v>1</v>
      </c>
      <c r="I631">
        <f t="shared" si="79"/>
        <v>264</v>
      </c>
      <c r="J631" t="s">
        <v>25</v>
      </c>
      <c r="K631">
        <v>20250921</v>
      </c>
    </row>
    <row r="632" spans="1:11" x14ac:dyDescent="0.3">
      <c r="A632" s="4">
        <v>45922</v>
      </c>
      <c r="B632">
        <f t="shared" si="72"/>
        <v>2025</v>
      </c>
      <c r="C632">
        <f t="shared" si="73"/>
        <v>9</v>
      </c>
      <c r="D632" t="str">
        <f t="shared" si="74"/>
        <v>September</v>
      </c>
      <c r="E632">
        <f t="shared" si="75"/>
        <v>39</v>
      </c>
      <c r="F632">
        <f t="shared" si="76"/>
        <v>22</v>
      </c>
      <c r="G632" t="str">
        <f t="shared" si="77"/>
        <v>Monday</v>
      </c>
      <c r="H632" t="b">
        <f t="shared" si="78"/>
        <v>0</v>
      </c>
      <c r="I632">
        <f t="shared" si="79"/>
        <v>265</v>
      </c>
      <c r="J632" t="s">
        <v>25</v>
      </c>
      <c r="K632">
        <v>20250922</v>
      </c>
    </row>
    <row r="633" spans="1:11" x14ac:dyDescent="0.3">
      <c r="A633" s="4">
        <v>45923</v>
      </c>
      <c r="B633">
        <f t="shared" si="72"/>
        <v>2025</v>
      </c>
      <c r="C633">
        <f t="shared" si="73"/>
        <v>9</v>
      </c>
      <c r="D633" t="str">
        <f t="shared" si="74"/>
        <v>September</v>
      </c>
      <c r="E633">
        <f t="shared" si="75"/>
        <v>39</v>
      </c>
      <c r="F633">
        <f t="shared" si="76"/>
        <v>23</v>
      </c>
      <c r="G633" t="str">
        <f t="shared" si="77"/>
        <v>Tuesday</v>
      </c>
      <c r="H633" t="b">
        <f t="shared" si="78"/>
        <v>0</v>
      </c>
      <c r="I633">
        <f t="shared" si="79"/>
        <v>266</v>
      </c>
      <c r="J633" t="s">
        <v>25</v>
      </c>
      <c r="K633">
        <v>20250923</v>
      </c>
    </row>
    <row r="634" spans="1:11" x14ac:dyDescent="0.3">
      <c r="A634" s="4">
        <v>45924</v>
      </c>
      <c r="B634">
        <f t="shared" si="72"/>
        <v>2025</v>
      </c>
      <c r="C634">
        <f t="shared" si="73"/>
        <v>9</v>
      </c>
      <c r="D634" t="str">
        <f t="shared" si="74"/>
        <v>September</v>
      </c>
      <c r="E634">
        <f t="shared" si="75"/>
        <v>39</v>
      </c>
      <c r="F634">
        <f t="shared" si="76"/>
        <v>24</v>
      </c>
      <c r="G634" t="str">
        <f t="shared" si="77"/>
        <v>Wednesday</v>
      </c>
      <c r="H634" t="b">
        <f t="shared" si="78"/>
        <v>0</v>
      </c>
      <c r="I634">
        <f t="shared" si="79"/>
        <v>267</v>
      </c>
      <c r="J634" t="s">
        <v>25</v>
      </c>
      <c r="K634">
        <v>20250924</v>
      </c>
    </row>
    <row r="635" spans="1:11" x14ac:dyDescent="0.3">
      <c r="A635" s="4">
        <v>45925</v>
      </c>
      <c r="B635">
        <f t="shared" si="72"/>
        <v>2025</v>
      </c>
      <c r="C635">
        <f t="shared" si="73"/>
        <v>9</v>
      </c>
      <c r="D635" t="str">
        <f t="shared" si="74"/>
        <v>September</v>
      </c>
      <c r="E635">
        <f t="shared" si="75"/>
        <v>39</v>
      </c>
      <c r="F635">
        <f t="shared" si="76"/>
        <v>25</v>
      </c>
      <c r="G635" t="str">
        <f t="shared" si="77"/>
        <v>Thursday</v>
      </c>
      <c r="H635" t="b">
        <f t="shared" si="78"/>
        <v>0</v>
      </c>
      <c r="I635">
        <f t="shared" si="79"/>
        <v>268</v>
      </c>
      <c r="J635" t="s">
        <v>25</v>
      </c>
      <c r="K635">
        <v>20250925</v>
      </c>
    </row>
    <row r="636" spans="1:11" x14ac:dyDescent="0.3">
      <c r="A636" s="4">
        <v>45926</v>
      </c>
      <c r="B636">
        <f t="shared" si="72"/>
        <v>2025</v>
      </c>
      <c r="C636">
        <f t="shared" si="73"/>
        <v>9</v>
      </c>
      <c r="D636" t="str">
        <f t="shared" si="74"/>
        <v>September</v>
      </c>
      <c r="E636">
        <f t="shared" si="75"/>
        <v>39</v>
      </c>
      <c r="F636">
        <f t="shared" si="76"/>
        <v>26</v>
      </c>
      <c r="G636" t="str">
        <f t="shared" si="77"/>
        <v>Friday</v>
      </c>
      <c r="H636" t="b">
        <f t="shared" si="78"/>
        <v>0</v>
      </c>
      <c r="I636">
        <f t="shared" si="79"/>
        <v>269</v>
      </c>
      <c r="J636" t="s">
        <v>25</v>
      </c>
      <c r="K636">
        <v>20250926</v>
      </c>
    </row>
    <row r="637" spans="1:11" x14ac:dyDescent="0.3">
      <c r="A637" s="4">
        <v>45927</v>
      </c>
      <c r="B637">
        <f t="shared" si="72"/>
        <v>2025</v>
      </c>
      <c r="C637">
        <f t="shared" si="73"/>
        <v>9</v>
      </c>
      <c r="D637" t="str">
        <f t="shared" si="74"/>
        <v>September</v>
      </c>
      <c r="E637">
        <f t="shared" si="75"/>
        <v>39</v>
      </c>
      <c r="F637">
        <f t="shared" si="76"/>
        <v>27</v>
      </c>
      <c r="G637" t="str">
        <f t="shared" si="77"/>
        <v>Saturday</v>
      </c>
      <c r="H637" t="b">
        <f t="shared" si="78"/>
        <v>1</v>
      </c>
      <c r="I637">
        <f t="shared" si="79"/>
        <v>270</v>
      </c>
      <c r="J637" t="s">
        <v>25</v>
      </c>
      <c r="K637">
        <v>20250927</v>
      </c>
    </row>
    <row r="638" spans="1:11" x14ac:dyDescent="0.3">
      <c r="A638" s="4">
        <v>45928</v>
      </c>
      <c r="B638">
        <f t="shared" si="72"/>
        <v>2025</v>
      </c>
      <c r="C638">
        <f t="shared" si="73"/>
        <v>9</v>
      </c>
      <c r="D638" t="str">
        <f t="shared" si="74"/>
        <v>September</v>
      </c>
      <c r="E638">
        <f t="shared" si="75"/>
        <v>40</v>
      </c>
      <c r="F638">
        <f t="shared" si="76"/>
        <v>28</v>
      </c>
      <c r="G638" t="str">
        <f t="shared" si="77"/>
        <v>Sunday</v>
      </c>
      <c r="H638" t="b">
        <f t="shared" si="78"/>
        <v>1</v>
      </c>
      <c r="I638">
        <f t="shared" si="79"/>
        <v>271</v>
      </c>
      <c r="J638" t="s">
        <v>25</v>
      </c>
      <c r="K638">
        <v>20250928</v>
      </c>
    </row>
    <row r="639" spans="1:11" x14ac:dyDescent="0.3">
      <c r="A639" s="4">
        <v>45929</v>
      </c>
      <c r="B639">
        <f t="shared" si="72"/>
        <v>2025</v>
      </c>
      <c r="C639">
        <f t="shared" si="73"/>
        <v>9</v>
      </c>
      <c r="D639" t="str">
        <f t="shared" si="74"/>
        <v>September</v>
      </c>
      <c r="E639">
        <f t="shared" si="75"/>
        <v>40</v>
      </c>
      <c r="F639">
        <f t="shared" si="76"/>
        <v>29</v>
      </c>
      <c r="G639" t="str">
        <f t="shared" si="77"/>
        <v>Monday</v>
      </c>
      <c r="H639" t="b">
        <f t="shared" si="78"/>
        <v>0</v>
      </c>
      <c r="I639">
        <f t="shared" si="79"/>
        <v>272</v>
      </c>
      <c r="J639" t="s">
        <v>25</v>
      </c>
      <c r="K639">
        <v>20250929</v>
      </c>
    </row>
    <row r="640" spans="1:11" x14ac:dyDescent="0.3">
      <c r="A640" s="4">
        <v>45930</v>
      </c>
      <c r="B640">
        <f t="shared" si="72"/>
        <v>2025</v>
      </c>
      <c r="C640">
        <f t="shared" si="73"/>
        <v>9</v>
      </c>
      <c r="D640" t="str">
        <f t="shared" si="74"/>
        <v>September</v>
      </c>
      <c r="E640">
        <f t="shared" si="75"/>
        <v>40</v>
      </c>
      <c r="F640">
        <f t="shared" si="76"/>
        <v>30</v>
      </c>
      <c r="G640" t="str">
        <f t="shared" si="77"/>
        <v>Tuesday</v>
      </c>
      <c r="H640" t="b">
        <f t="shared" si="78"/>
        <v>0</v>
      </c>
      <c r="I640">
        <f t="shared" si="79"/>
        <v>273</v>
      </c>
      <c r="J640" t="s">
        <v>25</v>
      </c>
      <c r="K640">
        <v>20250930</v>
      </c>
    </row>
    <row r="641" spans="1:11" x14ac:dyDescent="0.3">
      <c r="A641" s="4">
        <v>45931</v>
      </c>
      <c r="B641">
        <f t="shared" si="72"/>
        <v>2025</v>
      </c>
      <c r="C641">
        <f t="shared" si="73"/>
        <v>10</v>
      </c>
      <c r="D641" t="str">
        <f t="shared" si="74"/>
        <v>October</v>
      </c>
      <c r="E641">
        <f t="shared" si="75"/>
        <v>40</v>
      </c>
      <c r="F641">
        <f t="shared" si="76"/>
        <v>1</v>
      </c>
      <c r="G641" t="str">
        <f t="shared" si="77"/>
        <v>Wednesday</v>
      </c>
      <c r="H641" t="b">
        <f t="shared" si="78"/>
        <v>0</v>
      </c>
      <c r="I641">
        <f t="shared" si="79"/>
        <v>274</v>
      </c>
      <c r="J641" t="s">
        <v>25</v>
      </c>
      <c r="K641">
        <v>20251001</v>
      </c>
    </row>
    <row r="642" spans="1:11" x14ac:dyDescent="0.3">
      <c r="A642" s="4">
        <v>45932</v>
      </c>
      <c r="B642">
        <f t="shared" si="72"/>
        <v>2025</v>
      </c>
      <c r="C642">
        <f t="shared" si="73"/>
        <v>10</v>
      </c>
      <c r="D642" t="str">
        <f t="shared" si="74"/>
        <v>October</v>
      </c>
      <c r="E642">
        <f t="shared" si="75"/>
        <v>40</v>
      </c>
      <c r="F642">
        <f t="shared" si="76"/>
        <v>2</v>
      </c>
      <c r="G642" t="str">
        <f t="shared" si="77"/>
        <v>Thursday</v>
      </c>
      <c r="H642" t="b">
        <f t="shared" si="78"/>
        <v>0</v>
      </c>
      <c r="I642">
        <f t="shared" si="79"/>
        <v>275</v>
      </c>
      <c r="J642" t="s">
        <v>25</v>
      </c>
      <c r="K642">
        <v>20251002</v>
      </c>
    </row>
    <row r="643" spans="1:11" x14ac:dyDescent="0.3">
      <c r="A643" s="4">
        <v>45933</v>
      </c>
      <c r="B643">
        <f t="shared" ref="B643:B706" si="80">YEAR(A643)</f>
        <v>2025</v>
      </c>
      <c r="C643">
        <f t="shared" ref="C643:C706" si="81">MONTH(A643)</f>
        <v>10</v>
      </c>
      <c r="D643" t="str">
        <f t="shared" ref="D643:D706" si="82">TEXT(A643,"mmmm")</f>
        <v>October</v>
      </c>
      <c r="E643">
        <f t="shared" ref="E643:E706" si="83">WEEKNUM(A643)</f>
        <v>40</v>
      </c>
      <c r="F643">
        <f t="shared" ref="F643:F706" si="84">DAY(A643)</f>
        <v>3</v>
      </c>
      <c r="G643" t="str">
        <f t="shared" ref="G643:G706" si="85">TEXT((A643),"dddd")</f>
        <v>Friday</v>
      </c>
      <c r="H643" t="b">
        <f t="shared" ref="H643:H706" si="86">IF(OR(G643="Saturday",G643="Sunday"),TRUE,FALSE)</f>
        <v>0</v>
      </c>
      <c r="I643">
        <f t="shared" ref="I643:I706" si="87">A643-DATE(YEAR(A643),1,1)+1</f>
        <v>276</v>
      </c>
      <c r="J643" t="s">
        <v>25</v>
      </c>
      <c r="K643">
        <v>20251003</v>
      </c>
    </row>
    <row r="644" spans="1:11" x14ac:dyDescent="0.3">
      <c r="A644" s="4">
        <v>45934</v>
      </c>
      <c r="B644">
        <f t="shared" si="80"/>
        <v>2025</v>
      </c>
      <c r="C644">
        <f t="shared" si="81"/>
        <v>10</v>
      </c>
      <c r="D644" t="str">
        <f t="shared" si="82"/>
        <v>October</v>
      </c>
      <c r="E644">
        <f t="shared" si="83"/>
        <v>40</v>
      </c>
      <c r="F644">
        <f t="shared" si="84"/>
        <v>4</v>
      </c>
      <c r="G644" t="str">
        <f t="shared" si="85"/>
        <v>Saturday</v>
      </c>
      <c r="H644" t="b">
        <f t="shared" si="86"/>
        <v>1</v>
      </c>
      <c r="I644">
        <f t="shared" si="87"/>
        <v>277</v>
      </c>
      <c r="J644" t="s">
        <v>25</v>
      </c>
      <c r="K644">
        <v>20251004</v>
      </c>
    </row>
    <row r="645" spans="1:11" x14ac:dyDescent="0.3">
      <c r="A645" s="4">
        <v>45935</v>
      </c>
      <c r="B645">
        <f t="shared" si="80"/>
        <v>2025</v>
      </c>
      <c r="C645">
        <f t="shared" si="81"/>
        <v>10</v>
      </c>
      <c r="D645" t="str">
        <f t="shared" si="82"/>
        <v>October</v>
      </c>
      <c r="E645">
        <f t="shared" si="83"/>
        <v>41</v>
      </c>
      <c r="F645">
        <f t="shared" si="84"/>
        <v>5</v>
      </c>
      <c r="G645" t="str">
        <f t="shared" si="85"/>
        <v>Sunday</v>
      </c>
      <c r="H645" t="b">
        <f t="shared" si="86"/>
        <v>1</v>
      </c>
      <c r="I645">
        <f t="shared" si="87"/>
        <v>278</v>
      </c>
      <c r="J645" t="s">
        <v>25</v>
      </c>
      <c r="K645">
        <v>20251005</v>
      </c>
    </row>
    <row r="646" spans="1:11" x14ac:dyDescent="0.3">
      <c r="A646" s="4">
        <v>45936</v>
      </c>
      <c r="B646">
        <f t="shared" si="80"/>
        <v>2025</v>
      </c>
      <c r="C646">
        <f t="shared" si="81"/>
        <v>10</v>
      </c>
      <c r="D646" t="str">
        <f t="shared" si="82"/>
        <v>October</v>
      </c>
      <c r="E646">
        <f t="shared" si="83"/>
        <v>41</v>
      </c>
      <c r="F646">
        <f t="shared" si="84"/>
        <v>6</v>
      </c>
      <c r="G646" t="str">
        <f t="shared" si="85"/>
        <v>Monday</v>
      </c>
      <c r="H646" t="b">
        <f t="shared" si="86"/>
        <v>0</v>
      </c>
      <c r="I646">
        <f t="shared" si="87"/>
        <v>279</v>
      </c>
      <c r="J646" t="s">
        <v>25</v>
      </c>
      <c r="K646">
        <v>20251006</v>
      </c>
    </row>
    <row r="647" spans="1:11" x14ac:dyDescent="0.3">
      <c r="A647" s="4">
        <v>45937</v>
      </c>
      <c r="B647">
        <f t="shared" si="80"/>
        <v>2025</v>
      </c>
      <c r="C647">
        <f t="shared" si="81"/>
        <v>10</v>
      </c>
      <c r="D647" t="str">
        <f t="shared" si="82"/>
        <v>October</v>
      </c>
      <c r="E647">
        <f t="shared" si="83"/>
        <v>41</v>
      </c>
      <c r="F647">
        <f t="shared" si="84"/>
        <v>7</v>
      </c>
      <c r="G647" t="str">
        <f t="shared" si="85"/>
        <v>Tuesday</v>
      </c>
      <c r="H647" t="b">
        <f t="shared" si="86"/>
        <v>0</v>
      </c>
      <c r="I647">
        <f t="shared" si="87"/>
        <v>280</v>
      </c>
      <c r="J647" t="s">
        <v>25</v>
      </c>
      <c r="K647">
        <v>20251007</v>
      </c>
    </row>
    <row r="648" spans="1:11" x14ac:dyDescent="0.3">
      <c r="A648" s="4">
        <v>45938</v>
      </c>
      <c r="B648">
        <f t="shared" si="80"/>
        <v>2025</v>
      </c>
      <c r="C648">
        <f t="shared" si="81"/>
        <v>10</v>
      </c>
      <c r="D648" t="str">
        <f t="shared" si="82"/>
        <v>October</v>
      </c>
      <c r="E648">
        <f t="shared" si="83"/>
        <v>41</v>
      </c>
      <c r="F648">
        <f t="shared" si="84"/>
        <v>8</v>
      </c>
      <c r="G648" t="str">
        <f t="shared" si="85"/>
        <v>Wednesday</v>
      </c>
      <c r="H648" t="b">
        <f t="shared" si="86"/>
        <v>0</v>
      </c>
      <c r="I648">
        <f t="shared" si="87"/>
        <v>281</v>
      </c>
      <c r="J648" t="s">
        <v>25</v>
      </c>
      <c r="K648">
        <v>20251008</v>
      </c>
    </row>
    <row r="649" spans="1:11" x14ac:dyDescent="0.3">
      <c r="A649" s="4">
        <v>45939</v>
      </c>
      <c r="B649">
        <f t="shared" si="80"/>
        <v>2025</v>
      </c>
      <c r="C649">
        <f t="shared" si="81"/>
        <v>10</v>
      </c>
      <c r="D649" t="str">
        <f t="shared" si="82"/>
        <v>October</v>
      </c>
      <c r="E649">
        <f t="shared" si="83"/>
        <v>41</v>
      </c>
      <c r="F649">
        <f t="shared" si="84"/>
        <v>9</v>
      </c>
      <c r="G649" t="str">
        <f t="shared" si="85"/>
        <v>Thursday</v>
      </c>
      <c r="H649" t="b">
        <f t="shared" si="86"/>
        <v>0</v>
      </c>
      <c r="I649">
        <f t="shared" si="87"/>
        <v>282</v>
      </c>
      <c r="J649" t="s">
        <v>25</v>
      </c>
      <c r="K649">
        <v>20251009</v>
      </c>
    </row>
    <row r="650" spans="1:11" x14ac:dyDescent="0.3">
      <c r="A650" s="4">
        <v>45940</v>
      </c>
      <c r="B650">
        <f t="shared" si="80"/>
        <v>2025</v>
      </c>
      <c r="C650">
        <f t="shared" si="81"/>
        <v>10</v>
      </c>
      <c r="D650" t="str">
        <f t="shared" si="82"/>
        <v>October</v>
      </c>
      <c r="E650">
        <f t="shared" si="83"/>
        <v>41</v>
      </c>
      <c r="F650">
        <f t="shared" si="84"/>
        <v>10</v>
      </c>
      <c r="G650" t="str">
        <f t="shared" si="85"/>
        <v>Friday</v>
      </c>
      <c r="H650" t="b">
        <f t="shared" si="86"/>
        <v>0</v>
      </c>
      <c r="I650">
        <f t="shared" si="87"/>
        <v>283</v>
      </c>
      <c r="J650" t="s">
        <v>25</v>
      </c>
      <c r="K650">
        <v>20251010</v>
      </c>
    </row>
    <row r="651" spans="1:11" x14ac:dyDescent="0.3">
      <c r="A651" s="4">
        <v>45941</v>
      </c>
      <c r="B651">
        <f t="shared" si="80"/>
        <v>2025</v>
      </c>
      <c r="C651">
        <f t="shared" si="81"/>
        <v>10</v>
      </c>
      <c r="D651" t="str">
        <f t="shared" si="82"/>
        <v>October</v>
      </c>
      <c r="E651">
        <f t="shared" si="83"/>
        <v>41</v>
      </c>
      <c r="F651">
        <f t="shared" si="84"/>
        <v>11</v>
      </c>
      <c r="G651" t="str">
        <f t="shared" si="85"/>
        <v>Saturday</v>
      </c>
      <c r="H651" t="b">
        <f t="shared" si="86"/>
        <v>1</v>
      </c>
      <c r="I651">
        <f t="shared" si="87"/>
        <v>284</v>
      </c>
      <c r="J651" t="s">
        <v>25</v>
      </c>
      <c r="K651">
        <v>20251011</v>
      </c>
    </row>
    <row r="652" spans="1:11" x14ac:dyDescent="0.3">
      <c r="A652" s="4">
        <v>45942</v>
      </c>
      <c r="B652">
        <f t="shared" si="80"/>
        <v>2025</v>
      </c>
      <c r="C652">
        <f t="shared" si="81"/>
        <v>10</v>
      </c>
      <c r="D652" t="str">
        <f t="shared" si="82"/>
        <v>October</v>
      </c>
      <c r="E652">
        <f t="shared" si="83"/>
        <v>42</v>
      </c>
      <c r="F652">
        <f t="shared" si="84"/>
        <v>12</v>
      </c>
      <c r="G652" t="str">
        <f t="shared" si="85"/>
        <v>Sunday</v>
      </c>
      <c r="H652" t="b">
        <f t="shared" si="86"/>
        <v>1</v>
      </c>
      <c r="I652">
        <f t="shared" si="87"/>
        <v>285</v>
      </c>
      <c r="J652" t="s">
        <v>25</v>
      </c>
      <c r="K652">
        <v>20251012</v>
      </c>
    </row>
    <row r="653" spans="1:11" x14ac:dyDescent="0.3">
      <c r="A653" s="4">
        <v>45943</v>
      </c>
      <c r="B653">
        <f t="shared" si="80"/>
        <v>2025</v>
      </c>
      <c r="C653">
        <f t="shared" si="81"/>
        <v>10</v>
      </c>
      <c r="D653" t="str">
        <f t="shared" si="82"/>
        <v>October</v>
      </c>
      <c r="E653">
        <f t="shared" si="83"/>
        <v>42</v>
      </c>
      <c r="F653">
        <f t="shared" si="84"/>
        <v>13</v>
      </c>
      <c r="G653" t="str">
        <f t="shared" si="85"/>
        <v>Monday</v>
      </c>
      <c r="H653" t="b">
        <f t="shared" si="86"/>
        <v>0</v>
      </c>
      <c r="I653">
        <f t="shared" si="87"/>
        <v>286</v>
      </c>
      <c r="J653" t="s">
        <v>25</v>
      </c>
      <c r="K653">
        <v>20251013</v>
      </c>
    </row>
    <row r="654" spans="1:11" x14ac:dyDescent="0.3">
      <c r="A654" s="4">
        <v>45944</v>
      </c>
      <c r="B654">
        <f t="shared" si="80"/>
        <v>2025</v>
      </c>
      <c r="C654">
        <f t="shared" si="81"/>
        <v>10</v>
      </c>
      <c r="D654" t="str">
        <f t="shared" si="82"/>
        <v>October</v>
      </c>
      <c r="E654">
        <f t="shared" si="83"/>
        <v>42</v>
      </c>
      <c r="F654">
        <f t="shared" si="84"/>
        <v>14</v>
      </c>
      <c r="G654" t="str">
        <f t="shared" si="85"/>
        <v>Tuesday</v>
      </c>
      <c r="H654" t="b">
        <f t="shared" si="86"/>
        <v>0</v>
      </c>
      <c r="I654">
        <f t="shared" si="87"/>
        <v>287</v>
      </c>
      <c r="J654" t="s">
        <v>25</v>
      </c>
      <c r="K654">
        <v>20251014</v>
      </c>
    </row>
    <row r="655" spans="1:11" x14ac:dyDescent="0.3">
      <c r="A655" s="4">
        <v>45945</v>
      </c>
      <c r="B655">
        <f t="shared" si="80"/>
        <v>2025</v>
      </c>
      <c r="C655">
        <f t="shared" si="81"/>
        <v>10</v>
      </c>
      <c r="D655" t="str">
        <f t="shared" si="82"/>
        <v>October</v>
      </c>
      <c r="E655">
        <f t="shared" si="83"/>
        <v>42</v>
      </c>
      <c r="F655">
        <f t="shared" si="84"/>
        <v>15</v>
      </c>
      <c r="G655" t="str">
        <f t="shared" si="85"/>
        <v>Wednesday</v>
      </c>
      <c r="H655" t="b">
        <f t="shared" si="86"/>
        <v>0</v>
      </c>
      <c r="I655">
        <f t="shared" si="87"/>
        <v>288</v>
      </c>
      <c r="J655" t="s">
        <v>25</v>
      </c>
      <c r="K655">
        <v>20251015</v>
      </c>
    </row>
    <row r="656" spans="1:11" x14ac:dyDescent="0.3">
      <c r="A656" s="4">
        <v>45946</v>
      </c>
      <c r="B656">
        <f t="shared" si="80"/>
        <v>2025</v>
      </c>
      <c r="C656">
        <f t="shared" si="81"/>
        <v>10</v>
      </c>
      <c r="D656" t="str">
        <f t="shared" si="82"/>
        <v>October</v>
      </c>
      <c r="E656">
        <f t="shared" si="83"/>
        <v>42</v>
      </c>
      <c r="F656">
        <f t="shared" si="84"/>
        <v>16</v>
      </c>
      <c r="G656" t="str">
        <f t="shared" si="85"/>
        <v>Thursday</v>
      </c>
      <c r="H656" t="b">
        <f t="shared" si="86"/>
        <v>0</v>
      </c>
      <c r="I656">
        <f t="shared" si="87"/>
        <v>289</v>
      </c>
      <c r="J656" t="s">
        <v>25</v>
      </c>
      <c r="K656">
        <v>20251016</v>
      </c>
    </row>
    <row r="657" spans="1:11" x14ac:dyDescent="0.3">
      <c r="A657" s="4">
        <v>45947</v>
      </c>
      <c r="B657">
        <f t="shared" si="80"/>
        <v>2025</v>
      </c>
      <c r="C657">
        <f t="shared" si="81"/>
        <v>10</v>
      </c>
      <c r="D657" t="str">
        <f t="shared" si="82"/>
        <v>October</v>
      </c>
      <c r="E657">
        <f t="shared" si="83"/>
        <v>42</v>
      </c>
      <c r="F657">
        <f t="shared" si="84"/>
        <v>17</v>
      </c>
      <c r="G657" t="str">
        <f t="shared" si="85"/>
        <v>Friday</v>
      </c>
      <c r="H657" t="b">
        <f t="shared" si="86"/>
        <v>0</v>
      </c>
      <c r="I657">
        <f t="shared" si="87"/>
        <v>290</v>
      </c>
      <c r="J657" t="s">
        <v>25</v>
      </c>
      <c r="K657">
        <v>20251017</v>
      </c>
    </row>
    <row r="658" spans="1:11" x14ac:dyDescent="0.3">
      <c r="A658" s="4">
        <v>45948</v>
      </c>
      <c r="B658">
        <f t="shared" si="80"/>
        <v>2025</v>
      </c>
      <c r="C658">
        <f t="shared" si="81"/>
        <v>10</v>
      </c>
      <c r="D658" t="str">
        <f t="shared" si="82"/>
        <v>October</v>
      </c>
      <c r="E658">
        <f t="shared" si="83"/>
        <v>42</v>
      </c>
      <c r="F658">
        <f t="shared" si="84"/>
        <v>18</v>
      </c>
      <c r="G658" t="str">
        <f t="shared" si="85"/>
        <v>Saturday</v>
      </c>
      <c r="H658" t="b">
        <f t="shared" si="86"/>
        <v>1</v>
      </c>
      <c r="I658">
        <f t="shared" si="87"/>
        <v>291</v>
      </c>
      <c r="J658" t="s">
        <v>25</v>
      </c>
      <c r="K658">
        <v>20251018</v>
      </c>
    </row>
    <row r="659" spans="1:11" x14ac:dyDescent="0.3">
      <c r="A659" s="4">
        <v>45949</v>
      </c>
      <c r="B659">
        <f t="shared" si="80"/>
        <v>2025</v>
      </c>
      <c r="C659">
        <f t="shared" si="81"/>
        <v>10</v>
      </c>
      <c r="D659" t="str">
        <f t="shared" si="82"/>
        <v>October</v>
      </c>
      <c r="E659">
        <f t="shared" si="83"/>
        <v>43</v>
      </c>
      <c r="F659">
        <f t="shared" si="84"/>
        <v>19</v>
      </c>
      <c r="G659" t="str">
        <f t="shared" si="85"/>
        <v>Sunday</v>
      </c>
      <c r="H659" t="b">
        <f t="shared" si="86"/>
        <v>1</v>
      </c>
      <c r="I659">
        <f t="shared" si="87"/>
        <v>292</v>
      </c>
      <c r="J659" t="s">
        <v>25</v>
      </c>
      <c r="K659">
        <v>20251019</v>
      </c>
    </row>
    <row r="660" spans="1:11" x14ac:dyDescent="0.3">
      <c r="A660" s="4">
        <v>45950</v>
      </c>
      <c r="B660">
        <f t="shared" si="80"/>
        <v>2025</v>
      </c>
      <c r="C660">
        <f t="shared" si="81"/>
        <v>10</v>
      </c>
      <c r="D660" t="str">
        <f t="shared" si="82"/>
        <v>October</v>
      </c>
      <c r="E660">
        <f t="shared" si="83"/>
        <v>43</v>
      </c>
      <c r="F660">
        <f t="shared" si="84"/>
        <v>20</v>
      </c>
      <c r="G660" t="str">
        <f t="shared" si="85"/>
        <v>Monday</v>
      </c>
      <c r="H660" t="b">
        <f t="shared" si="86"/>
        <v>0</v>
      </c>
      <c r="I660">
        <f t="shared" si="87"/>
        <v>293</v>
      </c>
      <c r="J660" t="s">
        <v>25</v>
      </c>
      <c r="K660">
        <v>20251020</v>
      </c>
    </row>
    <row r="661" spans="1:11" x14ac:dyDescent="0.3">
      <c r="A661" s="4">
        <v>45951</v>
      </c>
      <c r="B661">
        <f t="shared" si="80"/>
        <v>2025</v>
      </c>
      <c r="C661">
        <f t="shared" si="81"/>
        <v>10</v>
      </c>
      <c r="D661" t="str">
        <f t="shared" si="82"/>
        <v>October</v>
      </c>
      <c r="E661">
        <f t="shared" si="83"/>
        <v>43</v>
      </c>
      <c r="F661">
        <f t="shared" si="84"/>
        <v>21</v>
      </c>
      <c r="G661" t="str">
        <f t="shared" si="85"/>
        <v>Tuesday</v>
      </c>
      <c r="H661" t="b">
        <f t="shared" si="86"/>
        <v>0</v>
      </c>
      <c r="I661">
        <f t="shared" si="87"/>
        <v>294</v>
      </c>
      <c r="J661" t="s">
        <v>25</v>
      </c>
      <c r="K661">
        <v>20251021</v>
      </c>
    </row>
    <row r="662" spans="1:11" x14ac:dyDescent="0.3">
      <c r="A662" s="4">
        <v>45952</v>
      </c>
      <c r="B662">
        <f t="shared" si="80"/>
        <v>2025</v>
      </c>
      <c r="C662">
        <f t="shared" si="81"/>
        <v>10</v>
      </c>
      <c r="D662" t="str">
        <f t="shared" si="82"/>
        <v>October</v>
      </c>
      <c r="E662">
        <f t="shared" si="83"/>
        <v>43</v>
      </c>
      <c r="F662">
        <f t="shared" si="84"/>
        <v>22</v>
      </c>
      <c r="G662" t="str">
        <f t="shared" si="85"/>
        <v>Wednesday</v>
      </c>
      <c r="H662" t="b">
        <f t="shared" si="86"/>
        <v>0</v>
      </c>
      <c r="I662">
        <f t="shared" si="87"/>
        <v>295</v>
      </c>
      <c r="J662" t="s">
        <v>25</v>
      </c>
      <c r="K662">
        <v>20251022</v>
      </c>
    </row>
    <row r="663" spans="1:11" x14ac:dyDescent="0.3">
      <c r="A663" s="4">
        <v>45953</v>
      </c>
      <c r="B663">
        <f t="shared" si="80"/>
        <v>2025</v>
      </c>
      <c r="C663">
        <f t="shared" si="81"/>
        <v>10</v>
      </c>
      <c r="D663" t="str">
        <f t="shared" si="82"/>
        <v>October</v>
      </c>
      <c r="E663">
        <f t="shared" si="83"/>
        <v>43</v>
      </c>
      <c r="F663">
        <f t="shared" si="84"/>
        <v>23</v>
      </c>
      <c r="G663" t="str">
        <f t="shared" si="85"/>
        <v>Thursday</v>
      </c>
      <c r="H663" t="b">
        <f t="shared" si="86"/>
        <v>0</v>
      </c>
      <c r="I663">
        <f t="shared" si="87"/>
        <v>296</v>
      </c>
      <c r="J663" t="s">
        <v>25</v>
      </c>
      <c r="K663">
        <v>20251023</v>
      </c>
    </row>
    <row r="664" spans="1:11" x14ac:dyDescent="0.3">
      <c r="A664" s="4">
        <v>45954</v>
      </c>
      <c r="B664">
        <f t="shared" si="80"/>
        <v>2025</v>
      </c>
      <c r="C664">
        <f t="shared" si="81"/>
        <v>10</v>
      </c>
      <c r="D664" t="str">
        <f t="shared" si="82"/>
        <v>October</v>
      </c>
      <c r="E664">
        <f t="shared" si="83"/>
        <v>43</v>
      </c>
      <c r="F664">
        <f t="shared" si="84"/>
        <v>24</v>
      </c>
      <c r="G664" t="str">
        <f t="shared" si="85"/>
        <v>Friday</v>
      </c>
      <c r="H664" t="b">
        <f t="shared" si="86"/>
        <v>0</v>
      </c>
      <c r="I664">
        <f t="shared" si="87"/>
        <v>297</v>
      </c>
      <c r="J664" t="s">
        <v>25</v>
      </c>
      <c r="K664">
        <v>20251024</v>
      </c>
    </row>
    <row r="665" spans="1:11" x14ac:dyDescent="0.3">
      <c r="A665" s="4">
        <v>45955</v>
      </c>
      <c r="B665">
        <f t="shared" si="80"/>
        <v>2025</v>
      </c>
      <c r="C665">
        <f t="shared" si="81"/>
        <v>10</v>
      </c>
      <c r="D665" t="str">
        <f t="shared" si="82"/>
        <v>October</v>
      </c>
      <c r="E665">
        <f t="shared" si="83"/>
        <v>43</v>
      </c>
      <c r="F665">
        <f t="shared" si="84"/>
        <v>25</v>
      </c>
      <c r="G665" t="str">
        <f t="shared" si="85"/>
        <v>Saturday</v>
      </c>
      <c r="H665" t="b">
        <f t="shared" si="86"/>
        <v>1</v>
      </c>
      <c r="I665">
        <f t="shared" si="87"/>
        <v>298</v>
      </c>
      <c r="J665" t="s">
        <v>25</v>
      </c>
      <c r="K665">
        <v>20251025</v>
      </c>
    </row>
    <row r="666" spans="1:11" x14ac:dyDescent="0.3">
      <c r="A666" s="4">
        <v>45956</v>
      </c>
      <c r="B666">
        <f t="shared" si="80"/>
        <v>2025</v>
      </c>
      <c r="C666">
        <f t="shared" si="81"/>
        <v>10</v>
      </c>
      <c r="D666" t="str">
        <f t="shared" si="82"/>
        <v>October</v>
      </c>
      <c r="E666">
        <f t="shared" si="83"/>
        <v>44</v>
      </c>
      <c r="F666">
        <f t="shared" si="84"/>
        <v>26</v>
      </c>
      <c r="G666" t="str">
        <f t="shared" si="85"/>
        <v>Sunday</v>
      </c>
      <c r="H666" t="b">
        <f t="shared" si="86"/>
        <v>1</v>
      </c>
      <c r="I666">
        <f t="shared" si="87"/>
        <v>299</v>
      </c>
      <c r="J666" t="s">
        <v>25</v>
      </c>
      <c r="K666">
        <v>20251026</v>
      </c>
    </row>
    <row r="667" spans="1:11" x14ac:dyDescent="0.3">
      <c r="A667" s="4">
        <v>45957</v>
      </c>
      <c r="B667">
        <f t="shared" si="80"/>
        <v>2025</v>
      </c>
      <c r="C667">
        <f t="shared" si="81"/>
        <v>10</v>
      </c>
      <c r="D667" t="str">
        <f t="shared" si="82"/>
        <v>October</v>
      </c>
      <c r="E667">
        <f t="shared" si="83"/>
        <v>44</v>
      </c>
      <c r="F667">
        <f t="shared" si="84"/>
        <v>27</v>
      </c>
      <c r="G667" t="str">
        <f t="shared" si="85"/>
        <v>Monday</v>
      </c>
      <c r="H667" t="b">
        <f t="shared" si="86"/>
        <v>0</v>
      </c>
      <c r="I667">
        <f t="shared" si="87"/>
        <v>300</v>
      </c>
      <c r="J667" t="s">
        <v>25</v>
      </c>
      <c r="K667">
        <v>20251027</v>
      </c>
    </row>
    <row r="668" spans="1:11" x14ac:dyDescent="0.3">
      <c r="A668" s="4">
        <v>45958</v>
      </c>
      <c r="B668">
        <f t="shared" si="80"/>
        <v>2025</v>
      </c>
      <c r="C668">
        <f t="shared" si="81"/>
        <v>10</v>
      </c>
      <c r="D668" t="str">
        <f t="shared" si="82"/>
        <v>October</v>
      </c>
      <c r="E668">
        <f t="shared" si="83"/>
        <v>44</v>
      </c>
      <c r="F668">
        <f t="shared" si="84"/>
        <v>28</v>
      </c>
      <c r="G668" t="str">
        <f t="shared" si="85"/>
        <v>Tuesday</v>
      </c>
      <c r="H668" t="b">
        <f t="shared" si="86"/>
        <v>0</v>
      </c>
      <c r="I668">
        <f t="shared" si="87"/>
        <v>301</v>
      </c>
      <c r="J668" t="s">
        <v>25</v>
      </c>
      <c r="K668">
        <v>20251028</v>
      </c>
    </row>
    <row r="669" spans="1:11" x14ac:dyDescent="0.3">
      <c r="A669" s="4">
        <v>45959</v>
      </c>
      <c r="B669">
        <f t="shared" si="80"/>
        <v>2025</v>
      </c>
      <c r="C669">
        <f t="shared" si="81"/>
        <v>10</v>
      </c>
      <c r="D669" t="str">
        <f t="shared" si="82"/>
        <v>October</v>
      </c>
      <c r="E669">
        <f t="shared" si="83"/>
        <v>44</v>
      </c>
      <c r="F669">
        <f t="shared" si="84"/>
        <v>29</v>
      </c>
      <c r="G669" t="str">
        <f t="shared" si="85"/>
        <v>Wednesday</v>
      </c>
      <c r="H669" t="b">
        <f t="shared" si="86"/>
        <v>0</v>
      </c>
      <c r="I669">
        <f t="shared" si="87"/>
        <v>302</v>
      </c>
      <c r="J669" t="s">
        <v>25</v>
      </c>
      <c r="K669">
        <v>20251029</v>
      </c>
    </row>
    <row r="670" spans="1:11" x14ac:dyDescent="0.3">
      <c r="A670" s="4">
        <v>45960</v>
      </c>
      <c r="B670">
        <f t="shared" si="80"/>
        <v>2025</v>
      </c>
      <c r="C670">
        <f t="shared" si="81"/>
        <v>10</v>
      </c>
      <c r="D670" t="str">
        <f t="shared" si="82"/>
        <v>October</v>
      </c>
      <c r="E670">
        <f t="shared" si="83"/>
        <v>44</v>
      </c>
      <c r="F670">
        <f t="shared" si="84"/>
        <v>30</v>
      </c>
      <c r="G670" t="str">
        <f t="shared" si="85"/>
        <v>Thursday</v>
      </c>
      <c r="H670" t="b">
        <f t="shared" si="86"/>
        <v>0</v>
      </c>
      <c r="I670">
        <f t="shared" si="87"/>
        <v>303</v>
      </c>
      <c r="J670" t="s">
        <v>25</v>
      </c>
      <c r="K670">
        <v>20251030</v>
      </c>
    </row>
    <row r="671" spans="1:11" x14ac:dyDescent="0.3">
      <c r="A671" s="4">
        <v>45961</v>
      </c>
      <c r="B671">
        <f t="shared" si="80"/>
        <v>2025</v>
      </c>
      <c r="C671">
        <f t="shared" si="81"/>
        <v>10</v>
      </c>
      <c r="D671" t="str">
        <f t="shared" si="82"/>
        <v>October</v>
      </c>
      <c r="E671">
        <f t="shared" si="83"/>
        <v>44</v>
      </c>
      <c r="F671">
        <f t="shared" si="84"/>
        <v>31</v>
      </c>
      <c r="G671" t="str">
        <f t="shared" si="85"/>
        <v>Friday</v>
      </c>
      <c r="H671" t="b">
        <f t="shared" si="86"/>
        <v>0</v>
      </c>
      <c r="I671">
        <f t="shared" si="87"/>
        <v>304</v>
      </c>
      <c r="J671" t="s">
        <v>25</v>
      </c>
      <c r="K671">
        <v>20251031</v>
      </c>
    </row>
    <row r="672" spans="1:11" x14ac:dyDescent="0.3">
      <c r="A672" s="4">
        <v>45962</v>
      </c>
      <c r="B672">
        <f t="shared" si="80"/>
        <v>2025</v>
      </c>
      <c r="C672">
        <f t="shared" si="81"/>
        <v>11</v>
      </c>
      <c r="D672" t="str">
        <f t="shared" si="82"/>
        <v>November</v>
      </c>
      <c r="E672">
        <f t="shared" si="83"/>
        <v>44</v>
      </c>
      <c r="F672">
        <f t="shared" si="84"/>
        <v>1</v>
      </c>
      <c r="G672" t="str">
        <f t="shared" si="85"/>
        <v>Saturday</v>
      </c>
      <c r="H672" t="b">
        <f t="shared" si="86"/>
        <v>1</v>
      </c>
      <c r="I672">
        <f t="shared" si="87"/>
        <v>305</v>
      </c>
      <c r="J672" t="s">
        <v>22</v>
      </c>
      <c r="K672">
        <v>20251101</v>
      </c>
    </row>
    <row r="673" spans="1:11" x14ac:dyDescent="0.3">
      <c r="A673" s="4">
        <v>45963</v>
      </c>
      <c r="B673">
        <f t="shared" si="80"/>
        <v>2025</v>
      </c>
      <c r="C673">
        <f t="shared" si="81"/>
        <v>11</v>
      </c>
      <c r="D673" t="str">
        <f t="shared" si="82"/>
        <v>November</v>
      </c>
      <c r="E673">
        <f t="shared" si="83"/>
        <v>45</v>
      </c>
      <c r="F673">
        <f t="shared" si="84"/>
        <v>2</v>
      </c>
      <c r="G673" t="str">
        <f t="shared" si="85"/>
        <v>Sunday</v>
      </c>
      <c r="H673" t="b">
        <f t="shared" si="86"/>
        <v>1</v>
      </c>
      <c r="I673">
        <f t="shared" si="87"/>
        <v>306</v>
      </c>
      <c r="J673" t="s">
        <v>22</v>
      </c>
      <c r="K673">
        <v>20251102</v>
      </c>
    </row>
    <row r="674" spans="1:11" x14ac:dyDescent="0.3">
      <c r="A674" s="4">
        <v>45964</v>
      </c>
      <c r="B674">
        <f t="shared" si="80"/>
        <v>2025</v>
      </c>
      <c r="C674">
        <f t="shared" si="81"/>
        <v>11</v>
      </c>
      <c r="D674" t="str">
        <f t="shared" si="82"/>
        <v>November</v>
      </c>
      <c r="E674">
        <f t="shared" si="83"/>
        <v>45</v>
      </c>
      <c r="F674">
        <f t="shared" si="84"/>
        <v>3</v>
      </c>
      <c r="G674" t="str">
        <f t="shared" si="85"/>
        <v>Monday</v>
      </c>
      <c r="H674" t="b">
        <f t="shared" si="86"/>
        <v>0</v>
      </c>
      <c r="I674">
        <f t="shared" si="87"/>
        <v>307</v>
      </c>
      <c r="J674" t="s">
        <v>22</v>
      </c>
      <c r="K674">
        <v>20251103</v>
      </c>
    </row>
    <row r="675" spans="1:11" x14ac:dyDescent="0.3">
      <c r="A675" s="4">
        <v>45965</v>
      </c>
      <c r="B675">
        <f t="shared" si="80"/>
        <v>2025</v>
      </c>
      <c r="C675">
        <f t="shared" si="81"/>
        <v>11</v>
      </c>
      <c r="D675" t="str">
        <f t="shared" si="82"/>
        <v>November</v>
      </c>
      <c r="E675">
        <f t="shared" si="83"/>
        <v>45</v>
      </c>
      <c r="F675">
        <f t="shared" si="84"/>
        <v>4</v>
      </c>
      <c r="G675" t="str">
        <f t="shared" si="85"/>
        <v>Tuesday</v>
      </c>
      <c r="H675" t="b">
        <f t="shared" si="86"/>
        <v>0</v>
      </c>
      <c r="I675">
        <f t="shared" si="87"/>
        <v>308</v>
      </c>
      <c r="J675" t="s">
        <v>22</v>
      </c>
      <c r="K675">
        <v>20251104</v>
      </c>
    </row>
    <row r="676" spans="1:11" x14ac:dyDescent="0.3">
      <c r="A676" s="4">
        <v>45966</v>
      </c>
      <c r="B676">
        <f t="shared" si="80"/>
        <v>2025</v>
      </c>
      <c r="C676">
        <f t="shared" si="81"/>
        <v>11</v>
      </c>
      <c r="D676" t="str">
        <f t="shared" si="82"/>
        <v>November</v>
      </c>
      <c r="E676">
        <f t="shared" si="83"/>
        <v>45</v>
      </c>
      <c r="F676">
        <f t="shared" si="84"/>
        <v>5</v>
      </c>
      <c r="G676" t="str">
        <f t="shared" si="85"/>
        <v>Wednesday</v>
      </c>
      <c r="H676" t="b">
        <f t="shared" si="86"/>
        <v>0</v>
      </c>
      <c r="I676">
        <f t="shared" si="87"/>
        <v>309</v>
      </c>
      <c r="J676" t="s">
        <v>22</v>
      </c>
      <c r="K676">
        <v>20251105</v>
      </c>
    </row>
    <row r="677" spans="1:11" x14ac:dyDescent="0.3">
      <c r="A677" s="4">
        <v>45967</v>
      </c>
      <c r="B677">
        <f t="shared" si="80"/>
        <v>2025</v>
      </c>
      <c r="C677">
        <f t="shared" si="81"/>
        <v>11</v>
      </c>
      <c r="D677" t="str">
        <f t="shared" si="82"/>
        <v>November</v>
      </c>
      <c r="E677">
        <f t="shared" si="83"/>
        <v>45</v>
      </c>
      <c r="F677">
        <f t="shared" si="84"/>
        <v>6</v>
      </c>
      <c r="G677" t="str">
        <f t="shared" si="85"/>
        <v>Thursday</v>
      </c>
      <c r="H677" t="b">
        <f t="shared" si="86"/>
        <v>0</v>
      </c>
      <c r="I677">
        <f t="shared" si="87"/>
        <v>310</v>
      </c>
      <c r="J677" t="s">
        <v>22</v>
      </c>
      <c r="K677">
        <v>20251106</v>
      </c>
    </row>
    <row r="678" spans="1:11" x14ac:dyDescent="0.3">
      <c r="A678" s="4">
        <v>45968</v>
      </c>
      <c r="B678">
        <f t="shared" si="80"/>
        <v>2025</v>
      </c>
      <c r="C678">
        <f t="shared" si="81"/>
        <v>11</v>
      </c>
      <c r="D678" t="str">
        <f t="shared" si="82"/>
        <v>November</v>
      </c>
      <c r="E678">
        <f t="shared" si="83"/>
        <v>45</v>
      </c>
      <c r="F678">
        <f t="shared" si="84"/>
        <v>7</v>
      </c>
      <c r="G678" t="str">
        <f t="shared" si="85"/>
        <v>Friday</v>
      </c>
      <c r="H678" t="b">
        <f t="shared" si="86"/>
        <v>0</v>
      </c>
      <c r="I678">
        <f t="shared" si="87"/>
        <v>311</v>
      </c>
      <c r="J678" t="s">
        <v>22</v>
      </c>
      <c r="K678">
        <v>20251107</v>
      </c>
    </row>
    <row r="679" spans="1:11" x14ac:dyDescent="0.3">
      <c r="A679" s="4">
        <v>45969</v>
      </c>
      <c r="B679">
        <f t="shared" si="80"/>
        <v>2025</v>
      </c>
      <c r="C679">
        <f t="shared" si="81"/>
        <v>11</v>
      </c>
      <c r="D679" t="str">
        <f t="shared" si="82"/>
        <v>November</v>
      </c>
      <c r="E679">
        <f t="shared" si="83"/>
        <v>45</v>
      </c>
      <c r="F679">
        <f t="shared" si="84"/>
        <v>8</v>
      </c>
      <c r="G679" t="str">
        <f t="shared" si="85"/>
        <v>Saturday</v>
      </c>
      <c r="H679" t="b">
        <f t="shared" si="86"/>
        <v>1</v>
      </c>
      <c r="I679">
        <f t="shared" si="87"/>
        <v>312</v>
      </c>
      <c r="J679" t="s">
        <v>22</v>
      </c>
      <c r="K679">
        <v>20251108</v>
      </c>
    </row>
    <row r="680" spans="1:11" x14ac:dyDescent="0.3">
      <c r="A680" s="4">
        <v>45970</v>
      </c>
      <c r="B680">
        <f t="shared" si="80"/>
        <v>2025</v>
      </c>
      <c r="C680">
        <f t="shared" si="81"/>
        <v>11</v>
      </c>
      <c r="D680" t="str">
        <f t="shared" si="82"/>
        <v>November</v>
      </c>
      <c r="E680">
        <f t="shared" si="83"/>
        <v>46</v>
      </c>
      <c r="F680">
        <f t="shared" si="84"/>
        <v>9</v>
      </c>
      <c r="G680" t="str">
        <f t="shared" si="85"/>
        <v>Sunday</v>
      </c>
      <c r="H680" t="b">
        <f t="shared" si="86"/>
        <v>1</v>
      </c>
      <c r="I680">
        <f t="shared" si="87"/>
        <v>313</v>
      </c>
      <c r="J680" t="s">
        <v>22</v>
      </c>
      <c r="K680">
        <v>20251109</v>
      </c>
    </row>
    <row r="681" spans="1:11" x14ac:dyDescent="0.3">
      <c r="A681" s="4">
        <v>45971</v>
      </c>
      <c r="B681">
        <f t="shared" si="80"/>
        <v>2025</v>
      </c>
      <c r="C681">
        <f t="shared" si="81"/>
        <v>11</v>
      </c>
      <c r="D681" t="str">
        <f t="shared" si="82"/>
        <v>November</v>
      </c>
      <c r="E681">
        <f t="shared" si="83"/>
        <v>46</v>
      </c>
      <c r="F681">
        <f t="shared" si="84"/>
        <v>10</v>
      </c>
      <c r="G681" t="str">
        <f t="shared" si="85"/>
        <v>Monday</v>
      </c>
      <c r="H681" t="b">
        <f t="shared" si="86"/>
        <v>0</v>
      </c>
      <c r="I681">
        <f t="shared" si="87"/>
        <v>314</v>
      </c>
      <c r="J681" t="s">
        <v>22</v>
      </c>
      <c r="K681">
        <v>20251110</v>
      </c>
    </row>
    <row r="682" spans="1:11" x14ac:dyDescent="0.3">
      <c r="A682" s="4">
        <v>45972</v>
      </c>
      <c r="B682">
        <f t="shared" si="80"/>
        <v>2025</v>
      </c>
      <c r="C682">
        <f t="shared" si="81"/>
        <v>11</v>
      </c>
      <c r="D682" t="str">
        <f t="shared" si="82"/>
        <v>November</v>
      </c>
      <c r="E682">
        <f t="shared" si="83"/>
        <v>46</v>
      </c>
      <c r="F682">
        <f t="shared" si="84"/>
        <v>11</v>
      </c>
      <c r="G682" t="str">
        <f t="shared" si="85"/>
        <v>Tuesday</v>
      </c>
      <c r="H682" t="b">
        <f t="shared" si="86"/>
        <v>0</v>
      </c>
      <c r="I682">
        <f t="shared" si="87"/>
        <v>315</v>
      </c>
      <c r="J682" t="s">
        <v>22</v>
      </c>
      <c r="K682">
        <v>20251111</v>
      </c>
    </row>
    <row r="683" spans="1:11" x14ac:dyDescent="0.3">
      <c r="A683" s="4">
        <v>45973</v>
      </c>
      <c r="B683">
        <f t="shared" si="80"/>
        <v>2025</v>
      </c>
      <c r="C683">
        <f t="shared" si="81"/>
        <v>11</v>
      </c>
      <c r="D683" t="str">
        <f t="shared" si="82"/>
        <v>November</v>
      </c>
      <c r="E683">
        <f t="shared" si="83"/>
        <v>46</v>
      </c>
      <c r="F683">
        <f t="shared" si="84"/>
        <v>12</v>
      </c>
      <c r="G683" t="str">
        <f t="shared" si="85"/>
        <v>Wednesday</v>
      </c>
      <c r="H683" t="b">
        <f t="shared" si="86"/>
        <v>0</v>
      </c>
      <c r="I683">
        <f t="shared" si="87"/>
        <v>316</v>
      </c>
      <c r="J683" t="s">
        <v>22</v>
      </c>
      <c r="K683">
        <v>20251112</v>
      </c>
    </row>
    <row r="684" spans="1:11" x14ac:dyDescent="0.3">
      <c r="A684" s="4">
        <v>45974</v>
      </c>
      <c r="B684">
        <f t="shared" si="80"/>
        <v>2025</v>
      </c>
      <c r="C684">
        <f t="shared" si="81"/>
        <v>11</v>
      </c>
      <c r="D684" t="str">
        <f t="shared" si="82"/>
        <v>November</v>
      </c>
      <c r="E684">
        <f t="shared" si="83"/>
        <v>46</v>
      </c>
      <c r="F684">
        <f t="shared" si="84"/>
        <v>13</v>
      </c>
      <c r="G684" t="str">
        <f t="shared" si="85"/>
        <v>Thursday</v>
      </c>
      <c r="H684" t="b">
        <f t="shared" si="86"/>
        <v>0</v>
      </c>
      <c r="I684">
        <f t="shared" si="87"/>
        <v>317</v>
      </c>
      <c r="J684" t="s">
        <v>22</v>
      </c>
      <c r="K684">
        <v>20251113</v>
      </c>
    </row>
    <row r="685" spans="1:11" x14ac:dyDescent="0.3">
      <c r="A685" s="4">
        <v>45975</v>
      </c>
      <c r="B685">
        <f t="shared" si="80"/>
        <v>2025</v>
      </c>
      <c r="C685">
        <f t="shared" si="81"/>
        <v>11</v>
      </c>
      <c r="D685" t="str">
        <f t="shared" si="82"/>
        <v>November</v>
      </c>
      <c r="E685">
        <f t="shared" si="83"/>
        <v>46</v>
      </c>
      <c r="F685">
        <f t="shared" si="84"/>
        <v>14</v>
      </c>
      <c r="G685" t="str">
        <f t="shared" si="85"/>
        <v>Friday</v>
      </c>
      <c r="H685" t="b">
        <f t="shared" si="86"/>
        <v>0</v>
      </c>
      <c r="I685">
        <f t="shared" si="87"/>
        <v>318</v>
      </c>
      <c r="J685" t="s">
        <v>22</v>
      </c>
      <c r="K685">
        <v>20251114</v>
      </c>
    </row>
    <row r="686" spans="1:11" x14ac:dyDescent="0.3">
      <c r="A686" s="4">
        <v>45976</v>
      </c>
      <c r="B686">
        <f t="shared" si="80"/>
        <v>2025</v>
      </c>
      <c r="C686">
        <f t="shared" si="81"/>
        <v>11</v>
      </c>
      <c r="D686" t="str">
        <f t="shared" si="82"/>
        <v>November</v>
      </c>
      <c r="E686">
        <f t="shared" si="83"/>
        <v>46</v>
      </c>
      <c r="F686">
        <f t="shared" si="84"/>
        <v>15</v>
      </c>
      <c r="G686" t="str">
        <f t="shared" si="85"/>
        <v>Saturday</v>
      </c>
      <c r="H686" t="b">
        <f t="shared" si="86"/>
        <v>1</v>
      </c>
      <c r="I686">
        <f t="shared" si="87"/>
        <v>319</v>
      </c>
      <c r="J686" t="s">
        <v>22</v>
      </c>
      <c r="K686">
        <v>20251115</v>
      </c>
    </row>
    <row r="687" spans="1:11" x14ac:dyDescent="0.3">
      <c r="A687" s="4">
        <v>45977</v>
      </c>
      <c r="B687">
        <f t="shared" si="80"/>
        <v>2025</v>
      </c>
      <c r="C687">
        <f t="shared" si="81"/>
        <v>11</v>
      </c>
      <c r="D687" t="str">
        <f t="shared" si="82"/>
        <v>November</v>
      </c>
      <c r="E687">
        <f t="shared" si="83"/>
        <v>47</v>
      </c>
      <c r="F687">
        <f t="shared" si="84"/>
        <v>16</v>
      </c>
      <c r="G687" t="str">
        <f t="shared" si="85"/>
        <v>Sunday</v>
      </c>
      <c r="H687" t="b">
        <f t="shared" si="86"/>
        <v>1</v>
      </c>
      <c r="I687">
        <f t="shared" si="87"/>
        <v>320</v>
      </c>
      <c r="J687" t="s">
        <v>22</v>
      </c>
      <c r="K687">
        <v>20251116</v>
      </c>
    </row>
    <row r="688" spans="1:11" x14ac:dyDescent="0.3">
      <c r="A688" s="4">
        <v>45978</v>
      </c>
      <c r="B688">
        <f t="shared" si="80"/>
        <v>2025</v>
      </c>
      <c r="C688">
        <f t="shared" si="81"/>
        <v>11</v>
      </c>
      <c r="D688" t="str">
        <f t="shared" si="82"/>
        <v>November</v>
      </c>
      <c r="E688">
        <f t="shared" si="83"/>
        <v>47</v>
      </c>
      <c r="F688">
        <f t="shared" si="84"/>
        <v>17</v>
      </c>
      <c r="G688" t="str">
        <f t="shared" si="85"/>
        <v>Monday</v>
      </c>
      <c r="H688" t="b">
        <f t="shared" si="86"/>
        <v>0</v>
      </c>
      <c r="I688">
        <f t="shared" si="87"/>
        <v>321</v>
      </c>
      <c r="J688" t="s">
        <v>22</v>
      </c>
      <c r="K688">
        <v>20251117</v>
      </c>
    </row>
    <row r="689" spans="1:11" x14ac:dyDescent="0.3">
      <c r="A689" s="4">
        <v>45979</v>
      </c>
      <c r="B689">
        <f t="shared" si="80"/>
        <v>2025</v>
      </c>
      <c r="C689">
        <f t="shared" si="81"/>
        <v>11</v>
      </c>
      <c r="D689" t="str">
        <f t="shared" si="82"/>
        <v>November</v>
      </c>
      <c r="E689">
        <f t="shared" si="83"/>
        <v>47</v>
      </c>
      <c r="F689">
        <f t="shared" si="84"/>
        <v>18</v>
      </c>
      <c r="G689" t="str">
        <f t="shared" si="85"/>
        <v>Tuesday</v>
      </c>
      <c r="H689" t="b">
        <f t="shared" si="86"/>
        <v>0</v>
      </c>
      <c r="I689">
        <f t="shared" si="87"/>
        <v>322</v>
      </c>
      <c r="J689" t="s">
        <v>22</v>
      </c>
      <c r="K689">
        <v>20251118</v>
      </c>
    </row>
    <row r="690" spans="1:11" x14ac:dyDescent="0.3">
      <c r="A690" s="4">
        <v>45980</v>
      </c>
      <c r="B690">
        <f t="shared" si="80"/>
        <v>2025</v>
      </c>
      <c r="C690">
        <f t="shared" si="81"/>
        <v>11</v>
      </c>
      <c r="D690" t="str">
        <f t="shared" si="82"/>
        <v>November</v>
      </c>
      <c r="E690">
        <f t="shared" si="83"/>
        <v>47</v>
      </c>
      <c r="F690">
        <f t="shared" si="84"/>
        <v>19</v>
      </c>
      <c r="G690" t="str">
        <f t="shared" si="85"/>
        <v>Wednesday</v>
      </c>
      <c r="H690" t="b">
        <f t="shared" si="86"/>
        <v>0</v>
      </c>
      <c r="I690">
        <f t="shared" si="87"/>
        <v>323</v>
      </c>
      <c r="J690" t="s">
        <v>22</v>
      </c>
      <c r="K690">
        <v>20251119</v>
      </c>
    </row>
    <row r="691" spans="1:11" x14ac:dyDescent="0.3">
      <c r="A691" s="4">
        <v>45981</v>
      </c>
      <c r="B691">
        <f t="shared" si="80"/>
        <v>2025</v>
      </c>
      <c r="C691">
        <f t="shared" si="81"/>
        <v>11</v>
      </c>
      <c r="D691" t="str">
        <f t="shared" si="82"/>
        <v>November</v>
      </c>
      <c r="E691">
        <f t="shared" si="83"/>
        <v>47</v>
      </c>
      <c r="F691">
        <f t="shared" si="84"/>
        <v>20</v>
      </c>
      <c r="G691" t="str">
        <f t="shared" si="85"/>
        <v>Thursday</v>
      </c>
      <c r="H691" t="b">
        <f t="shared" si="86"/>
        <v>0</v>
      </c>
      <c r="I691">
        <f t="shared" si="87"/>
        <v>324</v>
      </c>
      <c r="J691" t="s">
        <v>22</v>
      </c>
      <c r="K691">
        <v>20251120</v>
      </c>
    </row>
    <row r="692" spans="1:11" x14ac:dyDescent="0.3">
      <c r="A692" s="4">
        <v>45982</v>
      </c>
      <c r="B692">
        <f t="shared" si="80"/>
        <v>2025</v>
      </c>
      <c r="C692">
        <f t="shared" si="81"/>
        <v>11</v>
      </c>
      <c r="D692" t="str">
        <f t="shared" si="82"/>
        <v>November</v>
      </c>
      <c r="E692">
        <f t="shared" si="83"/>
        <v>47</v>
      </c>
      <c r="F692">
        <f t="shared" si="84"/>
        <v>21</v>
      </c>
      <c r="G692" t="str">
        <f t="shared" si="85"/>
        <v>Friday</v>
      </c>
      <c r="H692" t="b">
        <f t="shared" si="86"/>
        <v>0</v>
      </c>
      <c r="I692">
        <f t="shared" si="87"/>
        <v>325</v>
      </c>
      <c r="J692" t="s">
        <v>22</v>
      </c>
      <c r="K692">
        <v>20251121</v>
      </c>
    </row>
    <row r="693" spans="1:11" x14ac:dyDescent="0.3">
      <c r="A693" s="4">
        <v>45983</v>
      </c>
      <c r="B693">
        <f t="shared" si="80"/>
        <v>2025</v>
      </c>
      <c r="C693">
        <f t="shared" si="81"/>
        <v>11</v>
      </c>
      <c r="D693" t="str">
        <f t="shared" si="82"/>
        <v>November</v>
      </c>
      <c r="E693">
        <f t="shared" si="83"/>
        <v>47</v>
      </c>
      <c r="F693">
        <f t="shared" si="84"/>
        <v>22</v>
      </c>
      <c r="G693" t="str">
        <f t="shared" si="85"/>
        <v>Saturday</v>
      </c>
      <c r="H693" t="b">
        <f t="shared" si="86"/>
        <v>1</v>
      </c>
      <c r="I693">
        <f t="shared" si="87"/>
        <v>326</v>
      </c>
      <c r="J693" t="s">
        <v>22</v>
      </c>
      <c r="K693">
        <v>20251122</v>
      </c>
    </row>
    <row r="694" spans="1:11" x14ac:dyDescent="0.3">
      <c r="A694" s="4">
        <v>45984</v>
      </c>
      <c r="B694">
        <f t="shared" si="80"/>
        <v>2025</v>
      </c>
      <c r="C694">
        <f t="shared" si="81"/>
        <v>11</v>
      </c>
      <c r="D694" t="str">
        <f t="shared" si="82"/>
        <v>November</v>
      </c>
      <c r="E694">
        <f t="shared" si="83"/>
        <v>48</v>
      </c>
      <c r="F694">
        <f t="shared" si="84"/>
        <v>23</v>
      </c>
      <c r="G694" t="str">
        <f t="shared" si="85"/>
        <v>Sunday</v>
      </c>
      <c r="H694" t="b">
        <f t="shared" si="86"/>
        <v>1</v>
      </c>
      <c r="I694">
        <f t="shared" si="87"/>
        <v>327</v>
      </c>
      <c r="J694" t="s">
        <v>22</v>
      </c>
      <c r="K694">
        <v>20251123</v>
      </c>
    </row>
    <row r="695" spans="1:11" x14ac:dyDescent="0.3">
      <c r="A695" s="4">
        <v>45985</v>
      </c>
      <c r="B695">
        <f t="shared" si="80"/>
        <v>2025</v>
      </c>
      <c r="C695">
        <f t="shared" si="81"/>
        <v>11</v>
      </c>
      <c r="D695" t="str">
        <f t="shared" si="82"/>
        <v>November</v>
      </c>
      <c r="E695">
        <f t="shared" si="83"/>
        <v>48</v>
      </c>
      <c r="F695">
        <f t="shared" si="84"/>
        <v>24</v>
      </c>
      <c r="G695" t="str">
        <f t="shared" si="85"/>
        <v>Monday</v>
      </c>
      <c r="H695" t="b">
        <f t="shared" si="86"/>
        <v>0</v>
      </c>
      <c r="I695">
        <f t="shared" si="87"/>
        <v>328</v>
      </c>
      <c r="J695" t="s">
        <v>22</v>
      </c>
      <c r="K695">
        <v>20251124</v>
      </c>
    </row>
    <row r="696" spans="1:11" x14ac:dyDescent="0.3">
      <c r="A696" s="4">
        <v>45986</v>
      </c>
      <c r="B696">
        <f t="shared" si="80"/>
        <v>2025</v>
      </c>
      <c r="C696">
        <f t="shared" si="81"/>
        <v>11</v>
      </c>
      <c r="D696" t="str">
        <f t="shared" si="82"/>
        <v>November</v>
      </c>
      <c r="E696">
        <f t="shared" si="83"/>
        <v>48</v>
      </c>
      <c r="F696">
        <f t="shared" si="84"/>
        <v>25</v>
      </c>
      <c r="G696" t="str">
        <f t="shared" si="85"/>
        <v>Tuesday</v>
      </c>
      <c r="H696" t="b">
        <f t="shared" si="86"/>
        <v>0</v>
      </c>
      <c r="I696">
        <f t="shared" si="87"/>
        <v>329</v>
      </c>
      <c r="J696" t="s">
        <v>22</v>
      </c>
      <c r="K696">
        <v>20251125</v>
      </c>
    </row>
    <row r="697" spans="1:11" x14ac:dyDescent="0.3">
      <c r="A697" s="4">
        <v>45987</v>
      </c>
      <c r="B697">
        <f t="shared" si="80"/>
        <v>2025</v>
      </c>
      <c r="C697">
        <f t="shared" si="81"/>
        <v>11</v>
      </c>
      <c r="D697" t="str">
        <f t="shared" si="82"/>
        <v>November</v>
      </c>
      <c r="E697">
        <f t="shared" si="83"/>
        <v>48</v>
      </c>
      <c r="F697">
        <f t="shared" si="84"/>
        <v>26</v>
      </c>
      <c r="G697" t="str">
        <f t="shared" si="85"/>
        <v>Wednesday</v>
      </c>
      <c r="H697" t="b">
        <f t="shared" si="86"/>
        <v>0</v>
      </c>
      <c r="I697">
        <f t="shared" si="87"/>
        <v>330</v>
      </c>
      <c r="J697" t="s">
        <v>22</v>
      </c>
      <c r="K697">
        <v>20251126</v>
      </c>
    </row>
    <row r="698" spans="1:11" x14ac:dyDescent="0.3">
      <c r="A698" s="4">
        <v>45988</v>
      </c>
      <c r="B698">
        <f t="shared" si="80"/>
        <v>2025</v>
      </c>
      <c r="C698">
        <f t="shared" si="81"/>
        <v>11</v>
      </c>
      <c r="D698" t="str">
        <f t="shared" si="82"/>
        <v>November</v>
      </c>
      <c r="E698">
        <f t="shared" si="83"/>
        <v>48</v>
      </c>
      <c r="F698">
        <f t="shared" si="84"/>
        <v>27</v>
      </c>
      <c r="G698" t="str">
        <f t="shared" si="85"/>
        <v>Thursday</v>
      </c>
      <c r="H698" t="b">
        <f t="shared" si="86"/>
        <v>0</v>
      </c>
      <c r="I698">
        <f t="shared" si="87"/>
        <v>331</v>
      </c>
      <c r="J698" t="s">
        <v>22</v>
      </c>
      <c r="K698">
        <v>20251127</v>
      </c>
    </row>
    <row r="699" spans="1:11" x14ac:dyDescent="0.3">
      <c r="A699" s="4">
        <v>45989</v>
      </c>
      <c r="B699">
        <f t="shared" si="80"/>
        <v>2025</v>
      </c>
      <c r="C699">
        <f t="shared" si="81"/>
        <v>11</v>
      </c>
      <c r="D699" t="str">
        <f t="shared" si="82"/>
        <v>November</v>
      </c>
      <c r="E699">
        <f t="shared" si="83"/>
        <v>48</v>
      </c>
      <c r="F699">
        <f t="shared" si="84"/>
        <v>28</v>
      </c>
      <c r="G699" t="str">
        <f t="shared" si="85"/>
        <v>Friday</v>
      </c>
      <c r="H699" t="b">
        <f t="shared" si="86"/>
        <v>0</v>
      </c>
      <c r="I699">
        <f t="shared" si="87"/>
        <v>332</v>
      </c>
      <c r="J699" t="s">
        <v>22</v>
      </c>
      <c r="K699">
        <v>20251128</v>
      </c>
    </row>
    <row r="700" spans="1:11" x14ac:dyDescent="0.3">
      <c r="A700" s="4">
        <v>45990</v>
      </c>
      <c r="B700">
        <f t="shared" si="80"/>
        <v>2025</v>
      </c>
      <c r="C700">
        <f t="shared" si="81"/>
        <v>11</v>
      </c>
      <c r="D700" t="str">
        <f t="shared" si="82"/>
        <v>November</v>
      </c>
      <c r="E700">
        <f t="shared" si="83"/>
        <v>48</v>
      </c>
      <c r="F700">
        <f t="shared" si="84"/>
        <v>29</v>
      </c>
      <c r="G700" t="str">
        <f t="shared" si="85"/>
        <v>Saturday</v>
      </c>
      <c r="H700" t="b">
        <f t="shared" si="86"/>
        <v>1</v>
      </c>
      <c r="I700">
        <f t="shared" si="87"/>
        <v>333</v>
      </c>
      <c r="J700" t="s">
        <v>22</v>
      </c>
      <c r="K700">
        <v>20251129</v>
      </c>
    </row>
    <row r="701" spans="1:11" x14ac:dyDescent="0.3">
      <c r="A701" s="4">
        <v>45991</v>
      </c>
      <c r="B701">
        <f t="shared" si="80"/>
        <v>2025</v>
      </c>
      <c r="C701">
        <f t="shared" si="81"/>
        <v>11</v>
      </c>
      <c r="D701" t="str">
        <f t="shared" si="82"/>
        <v>November</v>
      </c>
      <c r="E701">
        <f t="shared" si="83"/>
        <v>49</v>
      </c>
      <c r="F701">
        <f t="shared" si="84"/>
        <v>30</v>
      </c>
      <c r="G701" t="str">
        <f t="shared" si="85"/>
        <v>Sunday</v>
      </c>
      <c r="H701" t="b">
        <f t="shared" si="86"/>
        <v>1</v>
      </c>
      <c r="I701">
        <f t="shared" si="87"/>
        <v>334</v>
      </c>
      <c r="J701" t="s">
        <v>22</v>
      </c>
      <c r="K701">
        <v>20251130</v>
      </c>
    </row>
    <row r="702" spans="1:11" x14ac:dyDescent="0.3">
      <c r="A702" s="4">
        <v>45992</v>
      </c>
      <c r="B702">
        <f t="shared" si="80"/>
        <v>2025</v>
      </c>
      <c r="C702">
        <f t="shared" si="81"/>
        <v>12</v>
      </c>
      <c r="D702" t="str">
        <f t="shared" si="82"/>
        <v>December</v>
      </c>
      <c r="E702">
        <f t="shared" si="83"/>
        <v>49</v>
      </c>
      <c r="F702">
        <f t="shared" si="84"/>
        <v>1</v>
      </c>
      <c r="G702" t="str">
        <f t="shared" si="85"/>
        <v>Monday</v>
      </c>
      <c r="H702" t="b">
        <f t="shared" si="86"/>
        <v>0</v>
      </c>
      <c r="I702">
        <f t="shared" si="87"/>
        <v>335</v>
      </c>
      <c r="J702" t="s">
        <v>22</v>
      </c>
      <c r="K702">
        <v>20251201</v>
      </c>
    </row>
    <row r="703" spans="1:11" x14ac:dyDescent="0.3">
      <c r="A703" s="4">
        <v>45993</v>
      </c>
      <c r="B703">
        <f t="shared" si="80"/>
        <v>2025</v>
      </c>
      <c r="C703">
        <f t="shared" si="81"/>
        <v>12</v>
      </c>
      <c r="D703" t="str">
        <f t="shared" si="82"/>
        <v>December</v>
      </c>
      <c r="E703">
        <f t="shared" si="83"/>
        <v>49</v>
      </c>
      <c r="F703">
        <f t="shared" si="84"/>
        <v>2</v>
      </c>
      <c r="G703" t="str">
        <f t="shared" si="85"/>
        <v>Tuesday</v>
      </c>
      <c r="H703" t="b">
        <f t="shared" si="86"/>
        <v>0</v>
      </c>
      <c r="I703">
        <f t="shared" si="87"/>
        <v>336</v>
      </c>
      <c r="J703" t="s">
        <v>22</v>
      </c>
      <c r="K703">
        <v>20251202</v>
      </c>
    </row>
    <row r="704" spans="1:11" x14ac:dyDescent="0.3">
      <c r="A704" s="4">
        <v>45994</v>
      </c>
      <c r="B704">
        <f t="shared" si="80"/>
        <v>2025</v>
      </c>
      <c r="C704">
        <f t="shared" si="81"/>
        <v>12</v>
      </c>
      <c r="D704" t="str">
        <f t="shared" si="82"/>
        <v>December</v>
      </c>
      <c r="E704">
        <f t="shared" si="83"/>
        <v>49</v>
      </c>
      <c r="F704">
        <f t="shared" si="84"/>
        <v>3</v>
      </c>
      <c r="G704" t="str">
        <f t="shared" si="85"/>
        <v>Wednesday</v>
      </c>
      <c r="H704" t="b">
        <f t="shared" si="86"/>
        <v>0</v>
      </c>
      <c r="I704">
        <f t="shared" si="87"/>
        <v>337</v>
      </c>
      <c r="J704" t="s">
        <v>22</v>
      </c>
      <c r="K704">
        <v>20251203</v>
      </c>
    </row>
    <row r="705" spans="1:11" x14ac:dyDescent="0.3">
      <c r="A705" s="4">
        <v>45995</v>
      </c>
      <c r="B705">
        <f t="shared" si="80"/>
        <v>2025</v>
      </c>
      <c r="C705">
        <f t="shared" si="81"/>
        <v>12</v>
      </c>
      <c r="D705" t="str">
        <f t="shared" si="82"/>
        <v>December</v>
      </c>
      <c r="E705">
        <f t="shared" si="83"/>
        <v>49</v>
      </c>
      <c r="F705">
        <f t="shared" si="84"/>
        <v>4</v>
      </c>
      <c r="G705" t="str">
        <f t="shared" si="85"/>
        <v>Thursday</v>
      </c>
      <c r="H705" t="b">
        <f t="shared" si="86"/>
        <v>0</v>
      </c>
      <c r="I705">
        <f t="shared" si="87"/>
        <v>338</v>
      </c>
      <c r="J705" t="s">
        <v>22</v>
      </c>
      <c r="K705">
        <v>20251204</v>
      </c>
    </row>
    <row r="706" spans="1:11" x14ac:dyDescent="0.3">
      <c r="A706" s="4">
        <v>45996</v>
      </c>
      <c r="B706">
        <f t="shared" si="80"/>
        <v>2025</v>
      </c>
      <c r="C706">
        <f t="shared" si="81"/>
        <v>12</v>
      </c>
      <c r="D706" t="str">
        <f t="shared" si="82"/>
        <v>December</v>
      </c>
      <c r="E706">
        <f t="shared" si="83"/>
        <v>49</v>
      </c>
      <c r="F706">
        <f t="shared" si="84"/>
        <v>5</v>
      </c>
      <c r="G706" t="str">
        <f t="shared" si="85"/>
        <v>Friday</v>
      </c>
      <c r="H706" t="b">
        <f t="shared" si="86"/>
        <v>0</v>
      </c>
      <c r="I706">
        <f t="shared" si="87"/>
        <v>339</v>
      </c>
      <c r="J706" t="s">
        <v>22</v>
      </c>
      <c r="K706">
        <v>20251205</v>
      </c>
    </row>
    <row r="707" spans="1:11" x14ac:dyDescent="0.3">
      <c r="A707" s="4">
        <v>45997</v>
      </c>
      <c r="B707">
        <f t="shared" ref="B707:B770" si="88">YEAR(A707)</f>
        <v>2025</v>
      </c>
      <c r="C707">
        <f t="shared" ref="C707:C770" si="89">MONTH(A707)</f>
        <v>12</v>
      </c>
      <c r="D707" t="str">
        <f t="shared" ref="D707:D770" si="90">TEXT(A707,"mmmm")</f>
        <v>December</v>
      </c>
      <c r="E707">
        <f t="shared" ref="E707:E770" si="91">WEEKNUM(A707)</f>
        <v>49</v>
      </c>
      <c r="F707">
        <f t="shared" ref="F707:F770" si="92">DAY(A707)</f>
        <v>6</v>
      </c>
      <c r="G707" t="str">
        <f t="shared" ref="G707:G770" si="93">TEXT((A707),"dddd")</f>
        <v>Saturday</v>
      </c>
      <c r="H707" t="b">
        <f t="shared" ref="H707:H770" si="94">IF(OR(G707="Saturday",G707="Sunday"),TRUE,FALSE)</f>
        <v>1</v>
      </c>
      <c r="I707">
        <f t="shared" ref="I707:I770" si="95">A707-DATE(YEAR(A707),1,1)+1</f>
        <v>340</v>
      </c>
      <c r="J707" t="s">
        <v>22</v>
      </c>
      <c r="K707">
        <v>20251206</v>
      </c>
    </row>
    <row r="708" spans="1:11" x14ac:dyDescent="0.3">
      <c r="A708" s="4">
        <v>45998</v>
      </c>
      <c r="B708">
        <f t="shared" si="88"/>
        <v>2025</v>
      </c>
      <c r="C708">
        <f t="shared" si="89"/>
        <v>12</v>
      </c>
      <c r="D708" t="str">
        <f t="shared" si="90"/>
        <v>December</v>
      </c>
      <c r="E708">
        <f t="shared" si="91"/>
        <v>50</v>
      </c>
      <c r="F708">
        <f t="shared" si="92"/>
        <v>7</v>
      </c>
      <c r="G708" t="str">
        <f t="shared" si="93"/>
        <v>Sunday</v>
      </c>
      <c r="H708" t="b">
        <f t="shared" si="94"/>
        <v>1</v>
      </c>
      <c r="I708">
        <f t="shared" si="95"/>
        <v>341</v>
      </c>
      <c r="J708" t="s">
        <v>22</v>
      </c>
      <c r="K708">
        <v>20251207</v>
      </c>
    </row>
    <row r="709" spans="1:11" x14ac:dyDescent="0.3">
      <c r="A709" s="4">
        <v>45999</v>
      </c>
      <c r="B709">
        <f t="shared" si="88"/>
        <v>2025</v>
      </c>
      <c r="C709">
        <f t="shared" si="89"/>
        <v>12</v>
      </c>
      <c r="D709" t="str">
        <f t="shared" si="90"/>
        <v>December</v>
      </c>
      <c r="E709">
        <f t="shared" si="91"/>
        <v>50</v>
      </c>
      <c r="F709">
        <f t="shared" si="92"/>
        <v>8</v>
      </c>
      <c r="G709" t="str">
        <f t="shared" si="93"/>
        <v>Monday</v>
      </c>
      <c r="H709" t="b">
        <f t="shared" si="94"/>
        <v>0</v>
      </c>
      <c r="I709">
        <f t="shared" si="95"/>
        <v>342</v>
      </c>
      <c r="J709" t="s">
        <v>22</v>
      </c>
      <c r="K709">
        <v>20251208</v>
      </c>
    </row>
    <row r="710" spans="1:11" x14ac:dyDescent="0.3">
      <c r="A710" s="4">
        <v>46000</v>
      </c>
      <c r="B710">
        <f t="shared" si="88"/>
        <v>2025</v>
      </c>
      <c r="C710">
        <f t="shared" si="89"/>
        <v>12</v>
      </c>
      <c r="D710" t="str">
        <f t="shared" si="90"/>
        <v>December</v>
      </c>
      <c r="E710">
        <f t="shared" si="91"/>
        <v>50</v>
      </c>
      <c r="F710">
        <f t="shared" si="92"/>
        <v>9</v>
      </c>
      <c r="G710" t="str">
        <f t="shared" si="93"/>
        <v>Tuesday</v>
      </c>
      <c r="H710" t="b">
        <f t="shared" si="94"/>
        <v>0</v>
      </c>
      <c r="I710">
        <f t="shared" si="95"/>
        <v>343</v>
      </c>
      <c r="J710" t="s">
        <v>22</v>
      </c>
      <c r="K710">
        <v>20251209</v>
      </c>
    </row>
    <row r="711" spans="1:11" x14ac:dyDescent="0.3">
      <c r="A711" s="4">
        <v>46001</v>
      </c>
      <c r="B711">
        <f t="shared" si="88"/>
        <v>2025</v>
      </c>
      <c r="C711">
        <f t="shared" si="89"/>
        <v>12</v>
      </c>
      <c r="D711" t="str">
        <f t="shared" si="90"/>
        <v>December</v>
      </c>
      <c r="E711">
        <f t="shared" si="91"/>
        <v>50</v>
      </c>
      <c r="F711">
        <f t="shared" si="92"/>
        <v>10</v>
      </c>
      <c r="G711" t="str">
        <f t="shared" si="93"/>
        <v>Wednesday</v>
      </c>
      <c r="H711" t="b">
        <f t="shared" si="94"/>
        <v>0</v>
      </c>
      <c r="I711">
        <f t="shared" si="95"/>
        <v>344</v>
      </c>
      <c r="J711" t="s">
        <v>22</v>
      </c>
      <c r="K711">
        <v>20251210</v>
      </c>
    </row>
    <row r="712" spans="1:11" x14ac:dyDescent="0.3">
      <c r="A712" s="4">
        <v>46002</v>
      </c>
      <c r="B712">
        <f t="shared" si="88"/>
        <v>2025</v>
      </c>
      <c r="C712">
        <f t="shared" si="89"/>
        <v>12</v>
      </c>
      <c r="D712" t="str">
        <f t="shared" si="90"/>
        <v>December</v>
      </c>
      <c r="E712">
        <f t="shared" si="91"/>
        <v>50</v>
      </c>
      <c r="F712">
        <f t="shared" si="92"/>
        <v>11</v>
      </c>
      <c r="G712" t="str">
        <f t="shared" si="93"/>
        <v>Thursday</v>
      </c>
      <c r="H712" t="b">
        <f t="shared" si="94"/>
        <v>0</v>
      </c>
      <c r="I712">
        <f t="shared" si="95"/>
        <v>345</v>
      </c>
      <c r="J712" t="s">
        <v>22</v>
      </c>
      <c r="K712">
        <v>20251211</v>
      </c>
    </row>
    <row r="713" spans="1:11" x14ac:dyDescent="0.3">
      <c r="A713" s="4">
        <v>46003</v>
      </c>
      <c r="B713">
        <f t="shared" si="88"/>
        <v>2025</v>
      </c>
      <c r="C713">
        <f t="shared" si="89"/>
        <v>12</v>
      </c>
      <c r="D713" t="str">
        <f t="shared" si="90"/>
        <v>December</v>
      </c>
      <c r="E713">
        <f t="shared" si="91"/>
        <v>50</v>
      </c>
      <c r="F713">
        <f t="shared" si="92"/>
        <v>12</v>
      </c>
      <c r="G713" t="str">
        <f t="shared" si="93"/>
        <v>Friday</v>
      </c>
      <c r="H713" t="b">
        <f t="shared" si="94"/>
        <v>0</v>
      </c>
      <c r="I713">
        <f t="shared" si="95"/>
        <v>346</v>
      </c>
      <c r="J713" t="s">
        <v>22</v>
      </c>
      <c r="K713">
        <v>20251212</v>
      </c>
    </row>
    <row r="714" spans="1:11" x14ac:dyDescent="0.3">
      <c r="A714" s="4">
        <v>46004</v>
      </c>
      <c r="B714">
        <f t="shared" si="88"/>
        <v>2025</v>
      </c>
      <c r="C714">
        <f t="shared" si="89"/>
        <v>12</v>
      </c>
      <c r="D714" t="str">
        <f t="shared" si="90"/>
        <v>December</v>
      </c>
      <c r="E714">
        <f t="shared" si="91"/>
        <v>50</v>
      </c>
      <c r="F714">
        <f t="shared" si="92"/>
        <v>13</v>
      </c>
      <c r="G714" t="str">
        <f t="shared" si="93"/>
        <v>Saturday</v>
      </c>
      <c r="H714" t="b">
        <f t="shared" si="94"/>
        <v>1</v>
      </c>
      <c r="I714">
        <f t="shared" si="95"/>
        <v>347</v>
      </c>
      <c r="J714" t="s">
        <v>22</v>
      </c>
      <c r="K714">
        <v>20251213</v>
      </c>
    </row>
    <row r="715" spans="1:11" x14ac:dyDescent="0.3">
      <c r="A715" s="4">
        <v>46005</v>
      </c>
      <c r="B715">
        <f t="shared" si="88"/>
        <v>2025</v>
      </c>
      <c r="C715">
        <f t="shared" si="89"/>
        <v>12</v>
      </c>
      <c r="D715" t="str">
        <f t="shared" si="90"/>
        <v>December</v>
      </c>
      <c r="E715">
        <f t="shared" si="91"/>
        <v>51</v>
      </c>
      <c r="F715">
        <f t="shared" si="92"/>
        <v>14</v>
      </c>
      <c r="G715" t="str">
        <f t="shared" si="93"/>
        <v>Sunday</v>
      </c>
      <c r="H715" t="b">
        <f t="shared" si="94"/>
        <v>1</v>
      </c>
      <c r="I715">
        <f t="shared" si="95"/>
        <v>348</v>
      </c>
      <c r="J715" t="s">
        <v>22</v>
      </c>
      <c r="K715">
        <v>20251214</v>
      </c>
    </row>
    <row r="716" spans="1:11" x14ac:dyDescent="0.3">
      <c r="A716" s="4">
        <v>46006</v>
      </c>
      <c r="B716">
        <f t="shared" si="88"/>
        <v>2025</v>
      </c>
      <c r="C716">
        <f t="shared" si="89"/>
        <v>12</v>
      </c>
      <c r="D716" t="str">
        <f t="shared" si="90"/>
        <v>December</v>
      </c>
      <c r="E716">
        <f t="shared" si="91"/>
        <v>51</v>
      </c>
      <c r="F716">
        <f t="shared" si="92"/>
        <v>15</v>
      </c>
      <c r="G716" t="str">
        <f t="shared" si="93"/>
        <v>Monday</v>
      </c>
      <c r="H716" t="b">
        <f t="shared" si="94"/>
        <v>0</v>
      </c>
      <c r="I716">
        <f t="shared" si="95"/>
        <v>349</v>
      </c>
      <c r="J716" t="s">
        <v>22</v>
      </c>
      <c r="K716">
        <v>20251215</v>
      </c>
    </row>
    <row r="717" spans="1:11" x14ac:dyDescent="0.3">
      <c r="A717" s="4">
        <v>46007</v>
      </c>
      <c r="B717">
        <f t="shared" si="88"/>
        <v>2025</v>
      </c>
      <c r="C717">
        <f t="shared" si="89"/>
        <v>12</v>
      </c>
      <c r="D717" t="str">
        <f t="shared" si="90"/>
        <v>December</v>
      </c>
      <c r="E717">
        <f t="shared" si="91"/>
        <v>51</v>
      </c>
      <c r="F717">
        <f t="shared" si="92"/>
        <v>16</v>
      </c>
      <c r="G717" t="str">
        <f t="shared" si="93"/>
        <v>Tuesday</v>
      </c>
      <c r="H717" t="b">
        <f t="shared" si="94"/>
        <v>0</v>
      </c>
      <c r="I717">
        <f t="shared" si="95"/>
        <v>350</v>
      </c>
      <c r="J717" t="s">
        <v>22</v>
      </c>
      <c r="K717">
        <v>20251216</v>
      </c>
    </row>
    <row r="718" spans="1:11" x14ac:dyDescent="0.3">
      <c r="A718" s="4">
        <v>46008</v>
      </c>
      <c r="B718">
        <f t="shared" si="88"/>
        <v>2025</v>
      </c>
      <c r="C718">
        <f t="shared" si="89"/>
        <v>12</v>
      </c>
      <c r="D718" t="str">
        <f t="shared" si="90"/>
        <v>December</v>
      </c>
      <c r="E718">
        <f t="shared" si="91"/>
        <v>51</v>
      </c>
      <c r="F718">
        <f t="shared" si="92"/>
        <v>17</v>
      </c>
      <c r="G718" t="str">
        <f t="shared" si="93"/>
        <v>Wednesday</v>
      </c>
      <c r="H718" t="b">
        <f t="shared" si="94"/>
        <v>0</v>
      </c>
      <c r="I718">
        <f t="shared" si="95"/>
        <v>351</v>
      </c>
      <c r="J718" t="s">
        <v>22</v>
      </c>
      <c r="K718">
        <v>20251217</v>
      </c>
    </row>
    <row r="719" spans="1:11" x14ac:dyDescent="0.3">
      <c r="A719" s="4">
        <v>46009</v>
      </c>
      <c r="B719">
        <f t="shared" si="88"/>
        <v>2025</v>
      </c>
      <c r="C719">
        <f t="shared" si="89"/>
        <v>12</v>
      </c>
      <c r="D719" t="str">
        <f t="shared" si="90"/>
        <v>December</v>
      </c>
      <c r="E719">
        <f t="shared" si="91"/>
        <v>51</v>
      </c>
      <c r="F719">
        <f t="shared" si="92"/>
        <v>18</v>
      </c>
      <c r="G719" t="str">
        <f t="shared" si="93"/>
        <v>Thursday</v>
      </c>
      <c r="H719" t="b">
        <f t="shared" si="94"/>
        <v>0</v>
      </c>
      <c r="I719">
        <f t="shared" si="95"/>
        <v>352</v>
      </c>
      <c r="J719" t="s">
        <v>22</v>
      </c>
      <c r="K719">
        <v>20251218</v>
      </c>
    </row>
    <row r="720" spans="1:11" x14ac:dyDescent="0.3">
      <c r="A720" s="4">
        <v>46010</v>
      </c>
      <c r="B720">
        <f t="shared" si="88"/>
        <v>2025</v>
      </c>
      <c r="C720">
        <f t="shared" si="89"/>
        <v>12</v>
      </c>
      <c r="D720" t="str">
        <f t="shared" si="90"/>
        <v>December</v>
      </c>
      <c r="E720">
        <f t="shared" si="91"/>
        <v>51</v>
      </c>
      <c r="F720">
        <f t="shared" si="92"/>
        <v>19</v>
      </c>
      <c r="G720" t="str">
        <f t="shared" si="93"/>
        <v>Friday</v>
      </c>
      <c r="H720" t="b">
        <f t="shared" si="94"/>
        <v>0</v>
      </c>
      <c r="I720">
        <f t="shared" si="95"/>
        <v>353</v>
      </c>
      <c r="J720" t="s">
        <v>22</v>
      </c>
      <c r="K720">
        <v>20251219</v>
      </c>
    </row>
    <row r="721" spans="1:11" x14ac:dyDescent="0.3">
      <c r="A721" s="4">
        <v>46011</v>
      </c>
      <c r="B721">
        <f t="shared" si="88"/>
        <v>2025</v>
      </c>
      <c r="C721">
        <f t="shared" si="89"/>
        <v>12</v>
      </c>
      <c r="D721" t="str">
        <f t="shared" si="90"/>
        <v>December</v>
      </c>
      <c r="E721">
        <f t="shared" si="91"/>
        <v>51</v>
      </c>
      <c r="F721">
        <f t="shared" si="92"/>
        <v>20</v>
      </c>
      <c r="G721" t="str">
        <f t="shared" si="93"/>
        <v>Saturday</v>
      </c>
      <c r="H721" t="b">
        <f t="shared" si="94"/>
        <v>1</v>
      </c>
      <c r="I721">
        <f t="shared" si="95"/>
        <v>354</v>
      </c>
      <c r="J721" t="s">
        <v>22</v>
      </c>
      <c r="K721">
        <v>20251220</v>
      </c>
    </row>
    <row r="722" spans="1:11" x14ac:dyDescent="0.3">
      <c r="A722" s="4">
        <v>46012</v>
      </c>
      <c r="B722">
        <f t="shared" si="88"/>
        <v>2025</v>
      </c>
      <c r="C722">
        <f t="shared" si="89"/>
        <v>12</v>
      </c>
      <c r="D722" t="str">
        <f t="shared" si="90"/>
        <v>December</v>
      </c>
      <c r="E722">
        <f t="shared" si="91"/>
        <v>52</v>
      </c>
      <c r="F722">
        <f t="shared" si="92"/>
        <v>21</v>
      </c>
      <c r="G722" t="str">
        <f t="shared" si="93"/>
        <v>Sunday</v>
      </c>
      <c r="H722" t="b">
        <f t="shared" si="94"/>
        <v>1</v>
      </c>
      <c r="I722">
        <f t="shared" si="95"/>
        <v>355</v>
      </c>
      <c r="J722" t="s">
        <v>22</v>
      </c>
      <c r="K722">
        <v>20251221</v>
      </c>
    </row>
    <row r="723" spans="1:11" x14ac:dyDescent="0.3">
      <c r="A723" s="4">
        <v>46013</v>
      </c>
      <c r="B723">
        <f t="shared" si="88"/>
        <v>2025</v>
      </c>
      <c r="C723">
        <f t="shared" si="89"/>
        <v>12</v>
      </c>
      <c r="D723" t="str">
        <f t="shared" si="90"/>
        <v>December</v>
      </c>
      <c r="E723">
        <f t="shared" si="91"/>
        <v>52</v>
      </c>
      <c r="F723">
        <f t="shared" si="92"/>
        <v>22</v>
      </c>
      <c r="G723" t="str">
        <f t="shared" si="93"/>
        <v>Monday</v>
      </c>
      <c r="H723" t="b">
        <f t="shared" si="94"/>
        <v>0</v>
      </c>
      <c r="I723">
        <f t="shared" si="95"/>
        <v>356</v>
      </c>
      <c r="J723" t="s">
        <v>22</v>
      </c>
      <c r="K723">
        <v>20251222</v>
      </c>
    </row>
    <row r="724" spans="1:11" x14ac:dyDescent="0.3">
      <c r="A724" s="4">
        <v>46014</v>
      </c>
      <c r="B724">
        <f t="shared" si="88"/>
        <v>2025</v>
      </c>
      <c r="C724">
        <f t="shared" si="89"/>
        <v>12</v>
      </c>
      <c r="D724" t="str">
        <f t="shared" si="90"/>
        <v>December</v>
      </c>
      <c r="E724">
        <f t="shared" si="91"/>
        <v>52</v>
      </c>
      <c r="F724">
        <f t="shared" si="92"/>
        <v>23</v>
      </c>
      <c r="G724" t="str">
        <f t="shared" si="93"/>
        <v>Tuesday</v>
      </c>
      <c r="H724" t="b">
        <f t="shared" si="94"/>
        <v>0</v>
      </c>
      <c r="I724">
        <f t="shared" si="95"/>
        <v>357</v>
      </c>
      <c r="J724" t="s">
        <v>22</v>
      </c>
      <c r="K724">
        <v>20251223</v>
      </c>
    </row>
    <row r="725" spans="1:11" x14ac:dyDescent="0.3">
      <c r="A725" s="4">
        <v>46015</v>
      </c>
      <c r="B725">
        <f t="shared" si="88"/>
        <v>2025</v>
      </c>
      <c r="C725">
        <f t="shared" si="89"/>
        <v>12</v>
      </c>
      <c r="D725" t="str">
        <f t="shared" si="90"/>
        <v>December</v>
      </c>
      <c r="E725">
        <f t="shared" si="91"/>
        <v>52</v>
      </c>
      <c r="F725">
        <f t="shared" si="92"/>
        <v>24</v>
      </c>
      <c r="G725" t="str">
        <f t="shared" si="93"/>
        <v>Wednesday</v>
      </c>
      <c r="H725" t="b">
        <f t="shared" si="94"/>
        <v>0</v>
      </c>
      <c r="I725">
        <f t="shared" si="95"/>
        <v>358</v>
      </c>
      <c r="J725" t="s">
        <v>22</v>
      </c>
      <c r="K725">
        <v>20251224</v>
      </c>
    </row>
    <row r="726" spans="1:11" x14ac:dyDescent="0.3">
      <c r="A726" s="4">
        <v>46016</v>
      </c>
      <c r="B726">
        <f t="shared" si="88"/>
        <v>2025</v>
      </c>
      <c r="C726">
        <f t="shared" si="89"/>
        <v>12</v>
      </c>
      <c r="D726" t="str">
        <f t="shared" si="90"/>
        <v>December</v>
      </c>
      <c r="E726">
        <f t="shared" si="91"/>
        <v>52</v>
      </c>
      <c r="F726">
        <f t="shared" si="92"/>
        <v>25</v>
      </c>
      <c r="G726" t="str">
        <f t="shared" si="93"/>
        <v>Thursday</v>
      </c>
      <c r="H726" t="b">
        <f t="shared" si="94"/>
        <v>0</v>
      </c>
      <c r="I726">
        <f t="shared" si="95"/>
        <v>359</v>
      </c>
      <c r="J726" t="s">
        <v>22</v>
      </c>
      <c r="K726">
        <v>20251225</v>
      </c>
    </row>
    <row r="727" spans="1:11" x14ac:dyDescent="0.3">
      <c r="A727" s="4">
        <v>46017</v>
      </c>
      <c r="B727">
        <f t="shared" si="88"/>
        <v>2025</v>
      </c>
      <c r="C727">
        <f t="shared" si="89"/>
        <v>12</v>
      </c>
      <c r="D727" t="str">
        <f t="shared" si="90"/>
        <v>December</v>
      </c>
      <c r="E727">
        <f t="shared" si="91"/>
        <v>52</v>
      </c>
      <c r="F727">
        <f t="shared" si="92"/>
        <v>26</v>
      </c>
      <c r="G727" t="str">
        <f t="shared" si="93"/>
        <v>Friday</v>
      </c>
      <c r="H727" t="b">
        <f t="shared" si="94"/>
        <v>0</v>
      </c>
      <c r="I727">
        <f t="shared" si="95"/>
        <v>360</v>
      </c>
      <c r="J727" t="s">
        <v>22</v>
      </c>
      <c r="K727">
        <v>20251226</v>
      </c>
    </row>
    <row r="728" spans="1:11" x14ac:dyDescent="0.3">
      <c r="A728" s="4">
        <v>46018</v>
      </c>
      <c r="B728">
        <f t="shared" si="88"/>
        <v>2025</v>
      </c>
      <c r="C728">
        <f t="shared" si="89"/>
        <v>12</v>
      </c>
      <c r="D728" t="str">
        <f t="shared" si="90"/>
        <v>December</v>
      </c>
      <c r="E728">
        <f t="shared" si="91"/>
        <v>52</v>
      </c>
      <c r="F728">
        <f t="shared" si="92"/>
        <v>27</v>
      </c>
      <c r="G728" t="str">
        <f t="shared" si="93"/>
        <v>Saturday</v>
      </c>
      <c r="H728" t="b">
        <f t="shared" si="94"/>
        <v>1</v>
      </c>
      <c r="I728">
        <f t="shared" si="95"/>
        <v>361</v>
      </c>
      <c r="J728" t="s">
        <v>22</v>
      </c>
      <c r="K728">
        <v>20251227</v>
      </c>
    </row>
    <row r="729" spans="1:11" x14ac:dyDescent="0.3">
      <c r="A729" s="4">
        <v>46019</v>
      </c>
      <c r="B729">
        <f t="shared" si="88"/>
        <v>2025</v>
      </c>
      <c r="C729">
        <f t="shared" si="89"/>
        <v>12</v>
      </c>
      <c r="D729" t="str">
        <f t="shared" si="90"/>
        <v>December</v>
      </c>
      <c r="E729">
        <f t="shared" si="91"/>
        <v>53</v>
      </c>
      <c r="F729">
        <f t="shared" si="92"/>
        <v>28</v>
      </c>
      <c r="G729" t="str">
        <f t="shared" si="93"/>
        <v>Sunday</v>
      </c>
      <c r="H729" t="b">
        <f t="shared" si="94"/>
        <v>1</v>
      </c>
      <c r="I729">
        <f t="shared" si="95"/>
        <v>362</v>
      </c>
      <c r="J729" t="s">
        <v>22</v>
      </c>
      <c r="K729">
        <v>20251228</v>
      </c>
    </row>
    <row r="730" spans="1:11" x14ac:dyDescent="0.3">
      <c r="A730" s="4">
        <v>46020</v>
      </c>
      <c r="B730">
        <f t="shared" si="88"/>
        <v>2025</v>
      </c>
      <c r="C730">
        <f t="shared" si="89"/>
        <v>12</v>
      </c>
      <c r="D730" t="str">
        <f t="shared" si="90"/>
        <v>December</v>
      </c>
      <c r="E730">
        <f t="shared" si="91"/>
        <v>53</v>
      </c>
      <c r="F730">
        <f t="shared" si="92"/>
        <v>29</v>
      </c>
      <c r="G730" t="str">
        <f t="shared" si="93"/>
        <v>Monday</v>
      </c>
      <c r="H730" t="b">
        <f t="shared" si="94"/>
        <v>0</v>
      </c>
      <c r="I730">
        <f t="shared" si="95"/>
        <v>363</v>
      </c>
      <c r="J730" t="s">
        <v>22</v>
      </c>
      <c r="K730">
        <v>20251229</v>
      </c>
    </row>
    <row r="731" spans="1:11" x14ac:dyDescent="0.3">
      <c r="A731" s="4">
        <v>46021</v>
      </c>
      <c r="B731">
        <f t="shared" si="88"/>
        <v>2025</v>
      </c>
      <c r="C731">
        <f t="shared" si="89"/>
        <v>12</v>
      </c>
      <c r="D731" t="str">
        <f t="shared" si="90"/>
        <v>December</v>
      </c>
      <c r="E731">
        <f t="shared" si="91"/>
        <v>53</v>
      </c>
      <c r="F731">
        <f t="shared" si="92"/>
        <v>30</v>
      </c>
      <c r="G731" t="str">
        <f t="shared" si="93"/>
        <v>Tuesday</v>
      </c>
      <c r="H731" t="b">
        <f t="shared" si="94"/>
        <v>0</v>
      </c>
      <c r="I731">
        <f t="shared" si="95"/>
        <v>364</v>
      </c>
      <c r="J731" t="s">
        <v>22</v>
      </c>
      <c r="K731">
        <v>20251230</v>
      </c>
    </row>
    <row r="732" spans="1:11" x14ac:dyDescent="0.3">
      <c r="A732" s="4">
        <v>46022</v>
      </c>
      <c r="B732">
        <f t="shared" si="88"/>
        <v>2025</v>
      </c>
      <c r="C732">
        <f t="shared" si="89"/>
        <v>12</v>
      </c>
      <c r="D732" t="str">
        <f t="shared" si="90"/>
        <v>December</v>
      </c>
      <c r="E732">
        <f t="shared" si="91"/>
        <v>53</v>
      </c>
      <c r="F732">
        <f t="shared" si="92"/>
        <v>31</v>
      </c>
      <c r="G732" t="str">
        <f t="shared" si="93"/>
        <v>Wednesday</v>
      </c>
      <c r="H732" t="b">
        <f t="shared" si="94"/>
        <v>0</v>
      </c>
      <c r="I732">
        <f t="shared" si="95"/>
        <v>365</v>
      </c>
      <c r="J732" t="s">
        <v>22</v>
      </c>
      <c r="K732">
        <v>20251231</v>
      </c>
    </row>
    <row r="733" spans="1:11" x14ac:dyDescent="0.3">
      <c r="A733" s="4">
        <v>46023</v>
      </c>
      <c r="B733">
        <f t="shared" si="88"/>
        <v>2026</v>
      </c>
      <c r="C733">
        <f t="shared" si="89"/>
        <v>1</v>
      </c>
      <c r="D733" t="str">
        <f t="shared" si="90"/>
        <v>January</v>
      </c>
      <c r="E733">
        <f t="shared" si="91"/>
        <v>1</v>
      </c>
      <c r="F733">
        <f t="shared" si="92"/>
        <v>1</v>
      </c>
      <c r="G733" t="str">
        <f t="shared" si="93"/>
        <v>Thursday</v>
      </c>
      <c r="H733" t="b">
        <f t="shared" si="94"/>
        <v>0</v>
      </c>
      <c r="I733">
        <f t="shared" si="95"/>
        <v>1</v>
      </c>
      <c r="J733" t="s">
        <v>22</v>
      </c>
      <c r="K733">
        <v>20260101</v>
      </c>
    </row>
    <row r="734" spans="1:11" x14ac:dyDescent="0.3">
      <c r="A734" s="4">
        <v>46024</v>
      </c>
      <c r="B734">
        <f t="shared" si="88"/>
        <v>2026</v>
      </c>
      <c r="C734">
        <f t="shared" si="89"/>
        <v>1</v>
      </c>
      <c r="D734" t="str">
        <f t="shared" si="90"/>
        <v>January</v>
      </c>
      <c r="E734">
        <f t="shared" si="91"/>
        <v>1</v>
      </c>
      <c r="F734">
        <f t="shared" si="92"/>
        <v>2</v>
      </c>
      <c r="G734" t="str">
        <f t="shared" si="93"/>
        <v>Friday</v>
      </c>
      <c r="H734" t="b">
        <f t="shared" si="94"/>
        <v>0</v>
      </c>
      <c r="I734">
        <f t="shared" si="95"/>
        <v>2</v>
      </c>
      <c r="J734" t="s">
        <v>22</v>
      </c>
      <c r="K734">
        <v>20260102</v>
      </c>
    </row>
    <row r="735" spans="1:11" x14ac:dyDescent="0.3">
      <c r="A735" s="4">
        <v>46025</v>
      </c>
      <c r="B735">
        <f t="shared" si="88"/>
        <v>2026</v>
      </c>
      <c r="C735">
        <f t="shared" si="89"/>
        <v>1</v>
      </c>
      <c r="D735" t="str">
        <f t="shared" si="90"/>
        <v>January</v>
      </c>
      <c r="E735">
        <f t="shared" si="91"/>
        <v>1</v>
      </c>
      <c r="F735">
        <f t="shared" si="92"/>
        <v>3</v>
      </c>
      <c r="G735" t="str">
        <f t="shared" si="93"/>
        <v>Saturday</v>
      </c>
      <c r="H735" t="b">
        <f t="shared" si="94"/>
        <v>1</v>
      </c>
      <c r="I735">
        <f t="shared" si="95"/>
        <v>3</v>
      </c>
      <c r="J735" t="s">
        <v>22</v>
      </c>
      <c r="K735">
        <v>20260103</v>
      </c>
    </row>
    <row r="736" spans="1:11" x14ac:dyDescent="0.3">
      <c r="A736" s="4">
        <v>46026</v>
      </c>
      <c r="B736">
        <f t="shared" si="88"/>
        <v>2026</v>
      </c>
      <c r="C736">
        <f t="shared" si="89"/>
        <v>1</v>
      </c>
      <c r="D736" t="str">
        <f t="shared" si="90"/>
        <v>January</v>
      </c>
      <c r="E736">
        <f t="shared" si="91"/>
        <v>2</v>
      </c>
      <c r="F736">
        <f t="shared" si="92"/>
        <v>4</v>
      </c>
      <c r="G736" t="str">
        <f t="shared" si="93"/>
        <v>Sunday</v>
      </c>
      <c r="H736" t="b">
        <f t="shared" si="94"/>
        <v>1</v>
      </c>
      <c r="I736">
        <f t="shared" si="95"/>
        <v>4</v>
      </c>
      <c r="J736" t="s">
        <v>22</v>
      </c>
      <c r="K736">
        <v>20260104</v>
      </c>
    </row>
    <row r="737" spans="1:11" x14ac:dyDescent="0.3">
      <c r="A737" s="4">
        <v>46027</v>
      </c>
      <c r="B737">
        <f t="shared" si="88"/>
        <v>2026</v>
      </c>
      <c r="C737">
        <f t="shared" si="89"/>
        <v>1</v>
      </c>
      <c r="D737" t="str">
        <f t="shared" si="90"/>
        <v>January</v>
      </c>
      <c r="E737">
        <f t="shared" si="91"/>
        <v>2</v>
      </c>
      <c r="F737">
        <f t="shared" si="92"/>
        <v>5</v>
      </c>
      <c r="G737" t="str">
        <f t="shared" si="93"/>
        <v>Monday</v>
      </c>
      <c r="H737" t="b">
        <f t="shared" si="94"/>
        <v>0</v>
      </c>
      <c r="I737">
        <f t="shared" si="95"/>
        <v>5</v>
      </c>
      <c r="J737" t="s">
        <v>22</v>
      </c>
      <c r="K737">
        <v>20260105</v>
      </c>
    </row>
    <row r="738" spans="1:11" x14ac:dyDescent="0.3">
      <c r="A738" s="4">
        <v>46028</v>
      </c>
      <c r="B738">
        <f t="shared" si="88"/>
        <v>2026</v>
      </c>
      <c r="C738">
        <f t="shared" si="89"/>
        <v>1</v>
      </c>
      <c r="D738" t="str">
        <f t="shared" si="90"/>
        <v>January</v>
      </c>
      <c r="E738">
        <f t="shared" si="91"/>
        <v>2</v>
      </c>
      <c r="F738">
        <f t="shared" si="92"/>
        <v>6</v>
      </c>
      <c r="G738" t="str">
        <f t="shared" si="93"/>
        <v>Tuesday</v>
      </c>
      <c r="H738" t="b">
        <f t="shared" si="94"/>
        <v>0</v>
      </c>
      <c r="I738">
        <f t="shared" si="95"/>
        <v>6</v>
      </c>
      <c r="J738" t="s">
        <v>22</v>
      </c>
      <c r="K738">
        <v>20260106</v>
      </c>
    </row>
    <row r="739" spans="1:11" x14ac:dyDescent="0.3">
      <c r="A739" s="4">
        <v>46029</v>
      </c>
      <c r="B739">
        <f t="shared" si="88"/>
        <v>2026</v>
      </c>
      <c r="C739">
        <f t="shared" si="89"/>
        <v>1</v>
      </c>
      <c r="D739" t="str">
        <f t="shared" si="90"/>
        <v>January</v>
      </c>
      <c r="E739">
        <f t="shared" si="91"/>
        <v>2</v>
      </c>
      <c r="F739">
        <f t="shared" si="92"/>
        <v>7</v>
      </c>
      <c r="G739" t="str">
        <f t="shared" si="93"/>
        <v>Wednesday</v>
      </c>
      <c r="H739" t="b">
        <f t="shared" si="94"/>
        <v>0</v>
      </c>
      <c r="I739">
        <f t="shared" si="95"/>
        <v>7</v>
      </c>
      <c r="J739" t="s">
        <v>22</v>
      </c>
      <c r="K739">
        <v>20260107</v>
      </c>
    </row>
    <row r="740" spans="1:11" x14ac:dyDescent="0.3">
      <c r="A740" s="4">
        <v>46030</v>
      </c>
      <c r="B740">
        <f t="shared" si="88"/>
        <v>2026</v>
      </c>
      <c r="C740">
        <f t="shared" si="89"/>
        <v>1</v>
      </c>
      <c r="D740" t="str">
        <f t="shared" si="90"/>
        <v>January</v>
      </c>
      <c r="E740">
        <f t="shared" si="91"/>
        <v>2</v>
      </c>
      <c r="F740">
        <f t="shared" si="92"/>
        <v>8</v>
      </c>
      <c r="G740" t="str">
        <f t="shared" si="93"/>
        <v>Thursday</v>
      </c>
      <c r="H740" t="b">
        <f t="shared" si="94"/>
        <v>0</v>
      </c>
      <c r="I740">
        <f t="shared" si="95"/>
        <v>8</v>
      </c>
      <c r="J740" t="s">
        <v>22</v>
      </c>
      <c r="K740">
        <v>20260108</v>
      </c>
    </row>
    <row r="741" spans="1:11" x14ac:dyDescent="0.3">
      <c r="A741" s="4">
        <v>46031</v>
      </c>
      <c r="B741">
        <f t="shared" si="88"/>
        <v>2026</v>
      </c>
      <c r="C741">
        <f t="shared" si="89"/>
        <v>1</v>
      </c>
      <c r="D741" t="str">
        <f t="shared" si="90"/>
        <v>January</v>
      </c>
      <c r="E741">
        <f t="shared" si="91"/>
        <v>2</v>
      </c>
      <c r="F741">
        <f t="shared" si="92"/>
        <v>9</v>
      </c>
      <c r="G741" t="str">
        <f t="shared" si="93"/>
        <v>Friday</v>
      </c>
      <c r="H741" t="b">
        <f t="shared" si="94"/>
        <v>0</v>
      </c>
      <c r="I741">
        <f t="shared" si="95"/>
        <v>9</v>
      </c>
      <c r="J741" t="s">
        <v>22</v>
      </c>
      <c r="K741">
        <v>20260109</v>
      </c>
    </row>
    <row r="742" spans="1:11" x14ac:dyDescent="0.3">
      <c r="A742" s="4">
        <v>46032</v>
      </c>
      <c r="B742">
        <f t="shared" si="88"/>
        <v>2026</v>
      </c>
      <c r="C742">
        <f t="shared" si="89"/>
        <v>1</v>
      </c>
      <c r="D742" t="str">
        <f t="shared" si="90"/>
        <v>January</v>
      </c>
      <c r="E742">
        <f t="shared" si="91"/>
        <v>2</v>
      </c>
      <c r="F742">
        <f t="shared" si="92"/>
        <v>10</v>
      </c>
      <c r="G742" t="str">
        <f t="shared" si="93"/>
        <v>Saturday</v>
      </c>
      <c r="H742" t="b">
        <f t="shared" si="94"/>
        <v>1</v>
      </c>
      <c r="I742">
        <f t="shared" si="95"/>
        <v>10</v>
      </c>
      <c r="J742" t="s">
        <v>22</v>
      </c>
      <c r="K742">
        <v>20260110</v>
      </c>
    </row>
    <row r="743" spans="1:11" x14ac:dyDescent="0.3">
      <c r="A743" s="4">
        <v>46033</v>
      </c>
      <c r="B743">
        <f t="shared" si="88"/>
        <v>2026</v>
      </c>
      <c r="C743">
        <f t="shared" si="89"/>
        <v>1</v>
      </c>
      <c r="D743" t="str">
        <f t="shared" si="90"/>
        <v>January</v>
      </c>
      <c r="E743">
        <f t="shared" si="91"/>
        <v>3</v>
      </c>
      <c r="F743">
        <f t="shared" si="92"/>
        <v>11</v>
      </c>
      <c r="G743" t="str">
        <f t="shared" si="93"/>
        <v>Sunday</v>
      </c>
      <c r="H743" t="b">
        <f t="shared" si="94"/>
        <v>1</v>
      </c>
      <c r="I743">
        <f t="shared" si="95"/>
        <v>11</v>
      </c>
      <c r="J743" t="s">
        <v>22</v>
      </c>
      <c r="K743">
        <v>20260111</v>
      </c>
    </row>
    <row r="744" spans="1:11" x14ac:dyDescent="0.3">
      <c r="A744" s="4">
        <v>46034</v>
      </c>
      <c r="B744">
        <f t="shared" si="88"/>
        <v>2026</v>
      </c>
      <c r="C744">
        <f t="shared" si="89"/>
        <v>1</v>
      </c>
      <c r="D744" t="str">
        <f t="shared" si="90"/>
        <v>January</v>
      </c>
      <c r="E744">
        <f t="shared" si="91"/>
        <v>3</v>
      </c>
      <c r="F744">
        <f t="shared" si="92"/>
        <v>12</v>
      </c>
      <c r="G744" t="str">
        <f t="shared" si="93"/>
        <v>Monday</v>
      </c>
      <c r="H744" t="b">
        <f t="shared" si="94"/>
        <v>0</v>
      </c>
      <c r="I744">
        <f t="shared" si="95"/>
        <v>12</v>
      </c>
      <c r="J744" t="s">
        <v>22</v>
      </c>
      <c r="K744">
        <v>20260112</v>
      </c>
    </row>
    <row r="745" spans="1:11" x14ac:dyDescent="0.3">
      <c r="A745" s="4">
        <v>46035</v>
      </c>
      <c r="B745">
        <f t="shared" si="88"/>
        <v>2026</v>
      </c>
      <c r="C745">
        <f t="shared" si="89"/>
        <v>1</v>
      </c>
      <c r="D745" t="str">
        <f t="shared" si="90"/>
        <v>January</v>
      </c>
      <c r="E745">
        <f t="shared" si="91"/>
        <v>3</v>
      </c>
      <c r="F745">
        <f t="shared" si="92"/>
        <v>13</v>
      </c>
      <c r="G745" t="str">
        <f t="shared" si="93"/>
        <v>Tuesday</v>
      </c>
      <c r="H745" t="b">
        <f t="shared" si="94"/>
        <v>0</v>
      </c>
      <c r="I745">
        <f t="shared" si="95"/>
        <v>13</v>
      </c>
      <c r="J745" t="s">
        <v>22</v>
      </c>
      <c r="K745">
        <v>20260113</v>
      </c>
    </row>
    <row r="746" spans="1:11" x14ac:dyDescent="0.3">
      <c r="A746" s="4">
        <v>46036</v>
      </c>
      <c r="B746">
        <f t="shared" si="88"/>
        <v>2026</v>
      </c>
      <c r="C746">
        <f t="shared" si="89"/>
        <v>1</v>
      </c>
      <c r="D746" t="str">
        <f t="shared" si="90"/>
        <v>January</v>
      </c>
      <c r="E746">
        <f t="shared" si="91"/>
        <v>3</v>
      </c>
      <c r="F746">
        <f t="shared" si="92"/>
        <v>14</v>
      </c>
      <c r="G746" t="str">
        <f t="shared" si="93"/>
        <v>Wednesday</v>
      </c>
      <c r="H746" t="b">
        <f t="shared" si="94"/>
        <v>0</v>
      </c>
      <c r="I746">
        <f t="shared" si="95"/>
        <v>14</v>
      </c>
      <c r="J746" t="s">
        <v>22</v>
      </c>
      <c r="K746">
        <v>20260114</v>
      </c>
    </row>
    <row r="747" spans="1:11" x14ac:dyDescent="0.3">
      <c r="A747" s="4">
        <v>46037</v>
      </c>
      <c r="B747">
        <f t="shared" si="88"/>
        <v>2026</v>
      </c>
      <c r="C747">
        <f t="shared" si="89"/>
        <v>1</v>
      </c>
      <c r="D747" t="str">
        <f t="shared" si="90"/>
        <v>January</v>
      </c>
      <c r="E747">
        <f t="shared" si="91"/>
        <v>3</v>
      </c>
      <c r="F747">
        <f t="shared" si="92"/>
        <v>15</v>
      </c>
      <c r="G747" t="str">
        <f t="shared" si="93"/>
        <v>Thursday</v>
      </c>
      <c r="H747" t="b">
        <f t="shared" si="94"/>
        <v>0</v>
      </c>
      <c r="I747">
        <f t="shared" si="95"/>
        <v>15</v>
      </c>
      <c r="J747" t="s">
        <v>22</v>
      </c>
      <c r="K747">
        <v>20260115</v>
      </c>
    </row>
    <row r="748" spans="1:11" x14ac:dyDescent="0.3">
      <c r="A748" s="4">
        <v>46038</v>
      </c>
      <c r="B748">
        <f t="shared" si="88"/>
        <v>2026</v>
      </c>
      <c r="C748">
        <f t="shared" si="89"/>
        <v>1</v>
      </c>
      <c r="D748" t="str">
        <f t="shared" si="90"/>
        <v>January</v>
      </c>
      <c r="E748">
        <f t="shared" si="91"/>
        <v>3</v>
      </c>
      <c r="F748">
        <f t="shared" si="92"/>
        <v>16</v>
      </c>
      <c r="G748" t="str">
        <f t="shared" si="93"/>
        <v>Friday</v>
      </c>
      <c r="H748" t="b">
        <f t="shared" si="94"/>
        <v>0</v>
      </c>
      <c r="I748">
        <f t="shared" si="95"/>
        <v>16</v>
      </c>
      <c r="J748" t="s">
        <v>22</v>
      </c>
      <c r="K748">
        <v>20260116</v>
      </c>
    </row>
    <row r="749" spans="1:11" x14ac:dyDescent="0.3">
      <c r="A749" s="4">
        <v>46039</v>
      </c>
      <c r="B749">
        <f t="shared" si="88"/>
        <v>2026</v>
      </c>
      <c r="C749">
        <f t="shared" si="89"/>
        <v>1</v>
      </c>
      <c r="D749" t="str">
        <f t="shared" si="90"/>
        <v>January</v>
      </c>
      <c r="E749">
        <f t="shared" si="91"/>
        <v>3</v>
      </c>
      <c r="F749">
        <f t="shared" si="92"/>
        <v>17</v>
      </c>
      <c r="G749" t="str">
        <f t="shared" si="93"/>
        <v>Saturday</v>
      </c>
      <c r="H749" t="b">
        <f t="shared" si="94"/>
        <v>1</v>
      </c>
      <c r="I749">
        <f t="shared" si="95"/>
        <v>17</v>
      </c>
      <c r="J749" t="s">
        <v>22</v>
      </c>
      <c r="K749">
        <v>20260117</v>
      </c>
    </row>
    <row r="750" spans="1:11" x14ac:dyDescent="0.3">
      <c r="A750" s="4">
        <v>46040</v>
      </c>
      <c r="B750">
        <f t="shared" si="88"/>
        <v>2026</v>
      </c>
      <c r="C750">
        <f t="shared" si="89"/>
        <v>1</v>
      </c>
      <c r="D750" t="str">
        <f t="shared" si="90"/>
        <v>January</v>
      </c>
      <c r="E750">
        <f t="shared" si="91"/>
        <v>4</v>
      </c>
      <c r="F750">
        <f t="shared" si="92"/>
        <v>18</v>
      </c>
      <c r="G750" t="str">
        <f t="shared" si="93"/>
        <v>Sunday</v>
      </c>
      <c r="H750" t="b">
        <f t="shared" si="94"/>
        <v>1</v>
      </c>
      <c r="I750">
        <f t="shared" si="95"/>
        <v>18</v>
      </c>
      <c r="J750" t="s">
        <v>22</v>
      </c>
      <c r="K750">
        <v>20260118</v>
      </c>
    </row>
    <row r="751" spans="1:11" x14ac:dyDescent="0.3">
      <c r="A751" s="4">
        <v>46041</v>
      </c>
      <c r="B751">
        <f t="shared" si="88"/>
        <v>2026</v>
      </c>
      <c r="C751">
        <f t="shared" si="89"/>
        <v>1</v>
      </c>
      <c r="D751" t="str">
        <f t="shared" si="90"/>
        <v>January</v>
      </c>
      <c r="E751">
        <f t="shared" si="91"/>
        <v>4</v>
      </c>
      <c r="F751">
        <f t="shared" si="92"/>
        <v>19</v>
      </c>
      <c r="G751" t="str">
        <f t="shared" si="93"/>
        <v>Monday</v>
      </c>
      <c r="H751" t="b">
        <f t="shared" si="94"/>
        <v>0</v>
      </c>
      <c r="I751">
        <f t="shared" si="95"/>
        <v>19</v>
      </c>
      <c r="J751" t="s">
        <v>22</v>
      </c>
      <c r="K751">
        <v>20260119</v>
      </c>
    </row>
    <row r="752" spans="1:11" x14ac:dyDescent="0.3">
      <c r="A752" s="4">
        <v>46042</v>
      </c>
      <c r="B752">
        <f t="shared" si="88"/>
        <v>2026</v>
      </c>
      <c r="C752">
        <f t="shared" si="89"/>
        <v>1</v>
      </c>
      <c r="D752" t="str">
        <f t="shared" si="90"/>
        <v>January</v>
      </c>
      <c r="E752">
        <f t="shared" si="91"/>
        <v>4</v>
      </c>
      <c r="F752">
        <f t="shared" si="92"/>
        <v>20</v>
      </c>
      <c r="G752" t="str">
        <f t="shared" si="93"/>
        <v>Tuesday</v>
      </c>
      <c r="H752" t="b">
        <f t="shared" si="94"/>
        <v>0</v>
      </c>
      <c r="I752">
        <f t="shared" si="95"/>
        <v>20</v>
      </c>
      <c r="J752" t="s">
        <v>22</v>
      </c>
      <c r="K752">
        <v>20260120</v>
      </c>
    </row>
    <row r="753" spans="1:11" x14ac:dyDescent="0.3">
      <c r="A753" s="4">
        <v>46043</v>
      </c>
      <c r="B753">
        <f t="shared" si="88"/>
        <v>2026</v>
      </c>
      <c r="C753">
        <f t="shared" si="89"/>
        <v>1</v>
      </c>
      <c r="D753" t="str">
        <f t="shared" si="90"/>
        <v>January</v>
      </c>
      <c r="E753">
        <f t="shared" si="91"/>
        <v>4</v>
      </c>
      <c r="F753">
        <f t="shared" si="92"/>
        <v>21</v>
      </c>
      <c r="G753" t="str">
        <f t="shared" si="93"/>
        <v>Wednesday</v>
      </c>
      <c r="H753" t="b">
        <f t="shared" si="94"/>
        <v>0</v>
      </c>
      <c r="I753">
        <f t="shared" si="95"/>
        <v>21</v>
      </c>
      <c r="J753" t="s">
        <v>22</v>
      </c>
      <c r="K753">
        <v>20260121</v>
      </c>
    </row>
    <row r="754" spans="1:11" x14ac:dyDescent="0.3">
      <c r="A754" s="4">
        <v>46044</v>
      </c>
      <c r="B754">
        <f t="shared" si="88"/>
        <v>2026</v>
      </c>
      <c r="C754">
        <f t="shared" si="89"/>
        <v>1</v>
      </c>
      <c r="D754" t="str">
        <f t="shared" si="90"/>
        <v>January</v>
      </c>
      <c r="E754">
        <f t="shared" si="91"/>
        <v>4</v>
      </c>
      <c r="F754">
        <f t="shared" si="92"/>
        <v>22</v>
      </c>
      <c r="G754" t="str">
        <f t="shared" si="93"/>
        <v>Thursday</v>
      </c>
      <c r="H754" t="b">
        <f t="shared" si="94"/>
        <v>0</v>
      </c>
      <c r="I754">
        <f t="shared" si="95"/>
        <v>22</v>
      </c>
      <c r="J754" t="s">
        <v>22</v>
      </c>
      <c r="K754">
        <v>20260122</v>
      </c>
    </row>
    <row r="755" spans="1:11" x14ac:dyDescent="0.3">
      <c r="A755" s="4">
        <v>46045</v>
      </c>
      <c r="B755">
        <f t="shared" si="88"/>
        <v>2026</v>
      </c>
      <c r="C755">
        <f t="shared" si="89"/>
        <v>1</v>
      </c>
      <c r="D755" t="str">
        <f t="shared" si="90"/>
        <v>January</v>
      </c>
      <c r="E755">
        <f t="shared" si="91"/>
        <v>4</v>
      </c>
      <c r="F755">
        <f t="shared" si="92"/>
        <v>23</v>
      </c>
      <c r="G755" t="str">
        <f t="shared" si="93"/>
        <v>Friday</v>
      </c>
      <c r="H755" t="b">
        <f t="shared" si="94"/>
        <v>0</v>
      </c>
      <c r="I755">
        <f t="shared" si="95"/>
        <v>23</v>
      </c>
      <c r="J755" t="s">
        <v>22</v>
      </c>
      <c r="K755">
        <v>20260123</v>
      </c>
    </row>
    <row r="756" spans="1:11" x14ac:dyDescent="0.3">
      <c r="A756" s="4">
        <v>46046</v>
      </c>
      <c r="B756">
        <f t="shared" si="88"/>
        <v>2026</v>
      </c>
      <c r="C756">
        <f t="shared" si="89"/>
        <v>1</v>
      </c>
      <c r="D756" t="str">
        <f t="shared" si="90"/>
        <v>January</v>
      </c>
      <c r="E756">
        <f t="shared" si="91"/>
        <v>4</v>
      </c>
      <c r="F756">
        <f t="shared" si="92"/>
        <v>24</v>
      </c>
      <c r="G756" t="str">
        <f t="shared" si="93"/>
        <v>Saturday</v>
      </c>
      <c r="H756" t="b">
        <f t="shared" si="94"/>
        <v>1</v>
      </c>
      <c r="I756">
        <f t="shared" si="95"/>
        <v>24</v>
      </c>
      <c r="J756" t="s">
        <v>22</v>
      </c>
      <c r="K756">
        <v>20260124</v>
      </c>
    </row>
    <row r="757" spans="1:11" x14ac:dyDescent="0.3">
      <c r="A757" s="4">
        <v>46047</v>
      </c>
      <c r="B757">
        <f t="shared" si="88"/>
        <v>2026</v>
      </c>
      <c r="C757">
        <f t="shared" si="89"/>
        <v>1</v>
      </c>
      <c r="D757" t="str">
        <f t="shared" si="90"/>
        <v>January</v>
      </c>
      <c r="E757">
        <f t="shared" si="91"/>
        <v>5</v>
      </c>
      <c r="F757">
        <f t="shared" si="92"/>
        <v>25</v>
      </c>
      <c r="G757" t="str">
        <f t="shared" si="93"/>
        <v>Sunday</v>
      </c>
      <c r="H757" t="b">
        <f t="shared" si="94"/>
        <v>1</v>
      </c>
      <c r="I757">
        <f t="shared" si="95"/>
        <v>25</v>
      </c>
      <c r="J757" t="s">
        <v>22</v>
      </c>
      <c r="K757">
        <v>20260125</v>
      </c>
    </row>
    <row r="758" spans="1:11" x14ac:dyDescent="0.3">
      <c r="A758" s="4">
        <v>46048</v>
      </c>
      <c r="B758">
        <f t="shared" si="88"/>
        <v>2026</v>
      </c>
      <c r="C758">
        <f t="shared" si="89"/>
        <v>1</v>
      </c>
      <c r="D758" t="str">
        <f t="shared" si="90"/>
        <v>January</v>
      </c>
      <c r="E758">
        <f t="shared" si="91"/>
        <v>5</v>
      </c>
      <c r="F758">
        <f t="shared" si="92"/>
        <v>26</v>
      </c>
      <c r="G758" t="str">
        <f t="shared" si="93"/>
        <v>Monday</v>
      </c>
      <c r="H758" t="b">
        <f t="shared" si="94"/>
        <v>0</v>
      </c>
      <c r="I758">
        <f t="shared" si="95"/>
        <v>26</v>
      </c>
      <c r="J758" t="s">
        <v>22</v>
      </c>
      <c r="K758">
        <v>20260126</v>
      </c>
    </row>
    <row r="759" spans="1:11" x14ac:dyDescent="0.3">
      <c r="A759" s="4">
        <v>46049</v>
      </c>
      <c r="B759">
        <f t="shared" si="88"/>
        <v>2026</v>
      </c>
      <c r="C759">
        <f t="shared" si="89"/>
        <v>1</v>
      </c>
      <c r="D759" t="str">
        <f t="shared" si="90"/>
        <v>January</v>
      </c>
      <c r="E759">
        <f t="shared" si="91"/>
        <v>5</v>
      </c>
      <c r="F759">
        <f t="shared" si="92"/>
        <v>27</v>
      </c>
      <c r="G759" t="str">
        <f t="shared" si="93"/>
        <v>Tuesday</v>
      </c>
      <c r="H759" t="b">
        <f t="shared" si="94"/>
        <v>0</v>
      </c>
      <c r="I759">
        <f t="shared" si="95"/>
        <v>27</v>
      </c>
      <c r="J759" t="s">
        <v>22</v>
      </c>
      <c r="K759">
        <v>20260127</v>
      </c>
    </row>
    <row r="760" spans="1:11" x14ac:dyDescent="0.3">
      <c r="A760" s="4">
        <v>46050</v>
      </c>
      <c r="B760">
        <f t="shared" si="88"/>
        <v>2026</v>
      </c>
      <c r="C760">
        <f t="shared" si="89"/>
        <v>1</v>
      </c>
      <c r="D760" t="str">
        <f t="shared" si="90"/>
        <v>January</v>
      </c>
      <c r="E760">
        <f t="shared" si="91"/>
        <v>5</v>
      </c>
      <c r="F760">
        <f t="shared" si="92"/>
        <v>28</v>
      </c>
      <c r="G760" t="str">
        <f t="shared" si="93"/>
        <v>Wednesday</v>
      </c>
      <c r="H760" t="b">
        <f t="shared" si="94"/>
        <v>0</v>
      </c>
      <c r="I760">
        <f t="shared" si="95"/>
        <v>28</v>
      </c>
      <c r="J760" t="s">
        <v>22</v>
      </c>
      <c r="K760">
        <v>20260128</v>
      </c>
    </row>
    <row r="761" spans="1:11" x14ac:dyDescent="0.3">
      <c r="A761" s="4">
        <v>46051</v>
      </c>
      <c r="B761">
        <f t="shared" si="88"/>
        <v>2026</v>
      </c>
      <c r="C761">
        <f t="shared" si="89"/>
        <v>1</v>
      </c>
      <c r="D761" t="str">
        <f t="shared" si="90"/>
        <v>January</v>
      </c>
      <c r="E761">
        <f t="shared" si="91"/>
        <v>5</v>
      </c>
      <c r="F761">
        <f t="shared" si="92"/>
        <v>29</v>
      </c>
      <c r="G761" t="str">
        <f t="shared" si="93"/>
        <v>Thursday</v>
      </c>
      <c r="H761" t="b">
        <f t="shared" si="94"/>
        <v>0</v>
      </c>
      <c r="I761">
        <f t="shared" si="95"/>
        <v>29</v>
      </c>
      <c r="J761" t="s">
        <v>22</v>
      </c>
      <c r="K761">
        <v>20260129</v>
      </c>
    </row>
    <row r="762" spans="1:11" x14ac:dyDescent="0.3">
      <c r="A762" s="4">
        <v>46052</v>
      </c>
      <c r="B762">
        <f t="shared" si="88"/>
        <v>2026</v>
      </c>
      <c r="C762">
        <f t="shared" si="89"/>
        <v>1</v>
      </c>
      <c r="D762" t="str">
        <f t="shared" si="90"/>
        <v>January</v>
      </c>
      <c r="E762">
        <f t="shared" si="91"/>
        <v>5</v>
      </c>
      <c r="F762">
        <f t="shared" si="92"/>
        <v>30</v>
      </c>
      <c r="G762" t="str">
        <f t="shared" si="93"/>
        <v>Friday</v>
      </c>
      <c r="H762" t="b">
        <f t="shared" si="94"/>
        <v>0</v>
      </c>
      <c r="I762">
        <f t="shared" si="95"/>
        <v>30</v>
      </c>
      <c r="J762" t="s">
        <v>22</v>
      </c>
      <c r="K762">
        <v>20260130</v>
      </c>
    </row>
    <row r="763" spans="1:11" x14ac:dyDescent="0.3">
      <c r="A763" s="4">
        <v>46053</v>
      </c>
      <c r="B763">
        <f t="shared" si="88"/>
        <v>2026</v>
      </c>
      <c r="C763">
        <f t="shared" si="89"/>
        <v>1</v>
      </c>
      <c r="D763" t="str">
        <f t="shared" si="90"/>
        <v>January</v>
      </c>
      <c r="E763">
        <f t="shared" si="91"/>
        <v>5</v>
      </c>
      <c r="F763">
        <f t="shared" si="92"/>
        <v>31</v>
      </c>
      <c r="G763" t="str">
        <f t="shared" si="93"/>
        <v>Saturday</v>
      </c>
      <c r="H763" t="b">
        <f t="shared" si="94"/>
        <v>1</v>
      </c>
      <c r="I763">
        <f t="shared" si="95"/>
        <v>31</v>
      </c>
      <c r="J763" t="s">
        <v>22</v>
      </c>
      <c r="K763">
        <v>20260131</v>
      </c>
    </row>
    <row r="764" spans="1:11" x14ac:dyDescent="0.3">
      <c r="A764" s="4">
        <v>46054</v>
      </c>
      <c r="B764">
        <f t="shared" si="88"/>
        <v>2026</v>
      </c>
      <c r="C764">
        <f t="shared" si="89"/>
        <v>2</v>
      </c>
      <c r="D764" t="str">
        <f t="shared" si="90"/>
        <v>February</v>
      </c>
      <c r="E764">
        <f t="shared" si="91"/>
        <v>6</v>
      </c>
      <c r="F764">
        <f t="shared" si="92"/>
        <v>1</v>
      </c>
      <c r="G764" t="str">
        <f t="shared" si="93"/>
        <v>Sunday</v>
      </c>
      <c r="H764" t="b">
        <f t="shared" si="94"/>
        <v>1</v>
      </c>
      <c r="I764">
        <f t="shared" si="95"/>
        <v>32</v>
      </c>
      <c r="J764" t="s">
        <v>22</v>
      </c>
      <c r="K764">
        <v>20260201</v>
      </c>
    </row>
    <row r="765" spans="1:11" x14ac:dyDescent="0.3">
      <c r="A765" s="4">
        <v>46055</v>
      </c>
      <c r="B765">
        <f t="shared" si="88"/>
        <v>2026</v>
      </c>
      <c r="C765">
        <f t="shared" si="89"/>
        <v>2</v>
      </c>
      <c r="D765" t="str">
        <f t="shared" si="90"/>
        <v>February</v>
      </c>
      <c r="E765">
        <f t="shared" si="91"/>
        <v>6</v>
      </c>
      <c r="F765">
        <f t="shared" si="92"/>
        <v>2</v>
      </c>
      <c r="G765" t="str">
        <f t="shared" si="93"/>
        <v>Monday</v>
      </c>
      <c r="H765" t="b">
        <f t="shared" si="94"/>
        <v>0</v>
      </c>
      <c r="I765">
        <f t="shared" si="95"/>
        <v>33</v>
      </c>
      <c r="J765" t="s">
        <v>22</v>
      </c>
      <c r="K765">
        <v>20260202</v>
      </c>
    </row>
    <row r="766" spans="1:11" x14ac:dyDescent="0.3">
      <c r="A766" s="4">
        <v>46056</v>
      </c>
      <c r="B766">
        <f t="shared" si="88"/>
        <v>2026</v>
      </c>
      <c r="C766">
        <f t="shared" si="89"/>
        <v>2</v>
      </c>
      <c r="D766" t="str">
        <f t="shared" si="90"/>
        <v>February</v>
      </c>
      <c r="E766">
        <f t="shared" si="91"/>
        <v>6</v>
      </c>
      <c r="F766">
        <f t="shared" si="92"/>
        <v>3</v>
      </c>
      <c r="G766" t="str">
        <f t="shared" si="93"/>
        <v>Tuesday</v>
      </c>
      <c r="H766" t="b">
        <f t="shared" si="94"/>
        <v>0</v>
      </c>
      <c r="I766">
        <f t="shared" si="95"/>
        <v>34</v>
      </c>
      <c r="J766" t="s">
        <v>22</v>
      </c>
      <c r="K766">
        <v>20260203</v>
      </c>
    </row>
    <row r="767" spans="1:11" x14ac:dyDescent="0.3">
      <c r="A767" s="4">
        <v>46057</v>
      </c>
      <c r="B767">
        <f t="shared" si="88"/>
        <v>2026</v>
      </c>
      <c r="C767">
        <f t="shared" si="89"/>
        <v>2</v>
      </c>
      <c r="D767" t="str">
        <f t="shared" si="90"/>
        <v>February</v>
      </c>
      <c r="E767">
        <f t="shared" si="91"/>
        <v>6</v>
      </c>
      <c r="F767">
        <f t="shared" si="92"/>
        <v>4</v>
      </c>
      <c r="G767" t="str">
        <f t="shared" si="93"/>
        <v>Wednesday</v>
      </c>
      <c r="H767" t="b">
        <f t="shared" si="94"/>
        <v>0</v>
      </c>
      <c r="I767">
        <f t="shared" si="95"/>
        <v>35</v>
      </c>
      <c r="J767" t="s">
        <v>22</v>
      </c>
      <c r="K767">
        <v>20260204</v>
      </c>
    </row>
    <row r="768" spans="1:11" x14ac:dyDescent="0.3">
      <c r="A768" s="4">
        <v>46058</v>
      </c>
      <c r="B768">
        <f t="shared" si="88"/>
        <v>2026</v>
      </c>
      <c r="C768">
        <f t="shared" si="89"/>
        <v>2</v>
      </c>
      <c r="D768" t="str">
        <f t="shared" si="90"/>
        <v>February</v>
      </c>
      <c r="E768">
        <f t="shared" si="91"/>
        <v>6</v>
      </c>
      <c r="F768">
        <f t="shared" si="92"/>
        <v>5</v>
      </c>
      <c r="G768" t="str">
        <f t="shared" si="93"/>
        <v>Thursday</v>
      </c>
      <c r="H768" t="b">
        <f t="shared" si="94"/>
        <v>0</v>
      </c>
      <c r="I768">
        <f t="shared" si="95"/>
        <v>36</v>
      </c>
      <c r="J768" t="s">
        <v>22</v>
      </c>
      <c r="K768">
        <v>20260205</v>
      </c>
    </row>
    <row r="769" spans="1:11" x14ac:dyDescent="0.3">
      <c r="A769" s="4">
        <v>46059</v>
      </c>
      <c r="B769">
        <f t="shared" si="88"/>
        <v>2026</v>
      </c>
      <c r="C769">
        <f t="shared" si="89"/>
        <v>2</v>
      </c>
      <c r="D769" t="str">
        <f t="shared" si="90"/>
        <v>February</v>
      </c>
      <c r="E769">
        <f t="shared" si="91"/>
        <v>6</v>
      </c>
      <c r="F769">
        <f t="shared" si="92"/>
        <v>6</v>
      </c>
      <c r="G769" t="str">
        <f t="shared" si="93"/>
        <v>Friday</v>
      </c>
      <c r="H769" t="b">
        <f t="shared" si="94"/>
        <v>0</v>
      </c>
      <c r="I769">
        <f t="shared" si="95"/>
        <v>37</v>
      </c>
      <c r="J769" t="s">
        <v>22</v>
      </c>
      <c r="K769">
        <v>20260206</v>
      </c>
    </row>
    <row r="770" spans="1:11" x14ac:dyDescent="0.3">
      <c r="A770" s="4">
        <v>46060</v>
      </c>
      <c r="B770">
        <f t="shared" si="88"/>
        <v>2026</v>
      </c>
      <c r="C770">
        <f t="shared" si="89"/>
        <v>2</v>
      </c>
      <c r="D770" t="str">
        <f t="shared" si="90"/>
        <v>February</v>
      </c>
      <c r="E770">
        <f t="shared" si="91"/>
        <v>6</v>
      </c>
      <c r="F770">
        <f t="shared" si="92"/>
        <v>7</v>
      </c>
      <c r="G770" t="str">
        <f t="shared" si="93"/>
        <v>Saturday</v>
      </c>
      <c r="H770" t="b">
        <f t="shared" si="94"/>
        <v>1</v>
      </c>
      <c r="I770">
        <f t="shared" si="95"/>
        <v>38</v>
      </c>
      <c r="J770" t="s">
        <v>22</v>
      </c>
      <c r="K770">
        <v>20260207</v>
      </c>
    </row>
    <row r="771" spans="1:11" x14ac:dyDescent="0.3">
      <c r="A771" s="4">
        <v>46061</v>
      </c>
      <c r="B771">
        <f t="shared" ref="B771:B834" si="96">YEAR(A771)</f>
        <v>2026</v>
      </c>
      <c r="C771">
        <f t="shared" ref="C771:C834" si="97">MONTH(A771)</f>
        <v>2</v>
      </c>
      <c r="D771" t="str">
        <f t="shared" ref="D771:D834" si="98">TEXT(A771,"mmmm")</f>
        <v>February</v>
      </c>
      <c r="E771">
        <f t="shared" ref="E771:E834" si="99">WEEKNUM(A771)</f>
        <v>7</v>
      </c>
      <c r="F771">
        <f t="shared" ref="F771:F834" si="100">DAY(A771)</f>
        <v>8</v>
      </c>
      <c r="G771" t="str">
        <f t="shared" ref="G771:G834" si="101">TEXT((A771),"dddd")</f>
        <v>Sunday</v>
      </c>
      <c r="H771" t="b">
        <f t="shared" ref="H771:H834" si="102">IF(OR(G771="Saturday",G771="Sunday"),TRUE,FALSE)</f>
        <v>1</v>
      </c>
      <c r="I771">
        <f t="shared" ref="I771:I834" si="103">A771-DATE(YEAR(A771),1,1)+1</f>
        <v>39</v>
      </c>
      <c r="J771" t="s">
        <v>22</v>
      </c>
      <c r="K771">
        <v>20260208</v>
      </c>
    </row>
    <row r="772" spans="1:11" x14ac:dyDescent="0.3">
      <c r="A772" s="4">
        <v>46062</v>
      </c>
      <c r="B772">
        <f t="shared" si="96"/>
        <v>2026</v>
      </c>
      <c r="C772">
        <f t="shared" si="97"/>
        <v>2</v>
      </c>
      <c r="D772" t="str">
        <f t="shared" si="98"/>
        <v>February</v>
      </c>
      <c r="E772">
        <f t="shared" si="99"/>
        <v>7</v>
      </c>
      <c r="F772">
        <f t="shared" si="100"/>
        <v>9</v>
      </c>
      <c r="G772" t="str">
        <f t="shared" si="101"/>
        <v>Monday</v>
      </c>
      <c r="H772" t="b">
        <f t="shared" si="102"/>
        <v>0</v>
      </c>
      <c r="I772">
        <f t="shared" si="103"/>
        <v>40</v>
      </c>
      <c r="J772" t="s">
        <v>22</v>
      </c>
      <c r="K772">
        <v>20260209</v>
      </c>
    </row>
    <row r="773" spans="1:11" x14ac:dyDescent="0.3">
      <c r="A773" s="4">
        <v>46063</v>
      </c>
      <c r="B773">
        <f t="shared" si="96"/>
        <v>2026</v>
      </c>
      <c r="C773">
        <f t="shared" si="97"/>
        <v>2</v>
      </c>
      <c r="D773" t="str">
        <f t="shared" si="98"/>
        <v>February</v>
      </c>
      <c r="E773">
        <f t="shared" si="99"/>
        <v>7</v>
      </c>
      <c r="F773">
        <f t="shared" si="100"/>
        <v>10</v>
      </c>
      <c r="G773" t="str">
        <f t="shared" si="101"/>
        <v>Tuesday</v>
      </c>
      <c r="H773" t="b">
        <f t="shared" si="102"/>
        <v>0</v>
      </c>
      <c r="I773">
        <f t="shared" si="103"/>
        <v>41</v>
      </c>
      <c r="J773" t="s">
        <v>22</v>
      </c>
      <c r="K773">
        <v>20260210</v>
      </c>
    </row>
    <row r="774" spans="1:11" x14ac:dyDescent="0.3">
      <c r="A774" s="4">
        <v>46064</v>
      </c>
      <c r="B774">
        <f t="shared" si="96"/>
        <v>2026</v>
      </c>
      <c r="C774">
        <f t="shared" si="97"/>
        <v>2</v>
      </c>
      <c r="D774" t="str">
        <f t="shared" si="98"/>
        <v>February</v>
      </c>
      <c r="E774">
        <f t="shared" si="99"/>
        <v>7</v>
      </c>
      <c r="F774">
        <f t="shared" si="100"/>
        <v>11</v>
      </c>
      <c r="G774" t="str">
        <f t="shared" si="101"/>
        <v>Wednesday</v>
      </c>
      <c r="H774" t="b">
        <f t="shared" si="102"/>
        <v>0</v>
      </c>
      <c r="I774">
        <f t="shared" si="103"/>
        <v>42</v>
      </c>
      <c r="J774" t="s">
        <v>22</v>
      </c>
      <c r="K774">
        <v>20260211</v>
      </c>
    </row>
    <row r="775" spans="1:11" x14ac:dyDescent="0.3">
      <c r="A775" s="4">
        <v>46065</v>
      </c>
      <c r="B775">
        <f t="shared" si="96"/>
        <v>2026</v>
      </c>
      <c r="C775">
        <f t="shared" si="97"/>
        <v>2</v>
      </c>
      <c r="D775" t="str">
        <f t="shared" si="98"/>
        <v>February</v>
      </c>
      <c r="E775">
        <f t="shared" si="99"/>
        <v>7</v>
      </c>
      <c r="F775">
        <f t="shared" si="100"/>
        <v>12</v>
      </c>
      <c r="G775" t="str">
        <f t="shared" si="101"/>
        <v>Thursday</v>
      </c>
      <c r="H775" t="b">
        <f t="shared" si="102"/>
        <v>0</v>
      </c>
      <c r="I775">
        <f t="shared" si="103"/>
        <v>43</v>
      </c>
      <c r="J775" t="s">
        <v>22</v>
      </c>
      <c r="K775">
        <v>20260212</v>
      </c>
    </row>
    <row r="776" spans="1:11" x14ac:dyDescent="0.3">
      <c r="A776" s="4">
        <v>46066</v>
      </c>
      <c r="B776">
        <f t="shared" si="96"/>
        <v>2026</v>
      </c>
      <c r="C776">
        <f t="shared" si="97"/>
        <v>2</v>
      </c>
      <c r="D776" t="str">
        <f t="shared" si="98"/>
        <v>February</v>
      </c>
      <c r="E776">
        <f t="shared" si="99"/>
        <v>7</v>
      </c>
      <c r="F776">
        <f t="shared" si="100"/>
        <v>13</v>
      </c>
      <c r="G776" t="str">
        <f t="shared" si="101"/>
        <v>Friday</v>
      </c>
      <c r="H776" t="b">
        <f t="shared" si="102"/>
        <v>0</v>
      </c>
      <c r="I776">
        <f t="shared" si="103"/>
        <v>44</v>
      </c>
      <c r="J776" t="s">
        <v>22</v>
      </c>
      <c r="K776">
        <v>20260213</v>
      </c>
    </row>
    <row r="777" spans="1:11" x14ac:dyDescent="0.3">
      <c r="A777" s="4">
        <v>46067</v>
      </c>
      <c r="B777">
        <f t="shared" si="96"/>
        <v>2026</v>
      </c>
      <c r="C777">
        <f t="shared" si="97"/>
        <v>2</v>
      </c>
      <c r="D777" t="str">
        <f t="shared" si="98"/>
        <v>February</v>
      </c>
      <c r="E777">
        <f t="shared" si="99"/>
        <v>7</v>
      </c>
      <c r="F777">
        <f t="shared" si="100"/>
        <v>14</v>
      </c>
      <c r="G777" t="str">
        <f t="shared" si="101"/>
        <v>Saturday</v>
      </c>
      <c r="H777" t="b">
        <f t="shared" si="102"/>
        <v>1</v>
      </c>
      <c r="I777">
        <f t="shared" si="103"/>
        <v>45</v>
      </c>
      <c r="J777" t="s">
        <v>22</v>
      </c>
      <c r="K777">
        <v>20260214</v>
      </c>
    </row>
    <row r="778" spans="1:11" x14ac:dyDescent="0.3">
      <c r="A778" s="4">
        <v>46068</v>
      </c>
      <c r="B778">
        <f t="shared" si="96"/>
        <v>2026</v>
      </c>
      <c r="C778">
        <f t="shared" si="97"/>
        <v>2</v>
      </c>
      <c r="D778" t="str">
        <f t="shared" si="98"/>
        <v>February</v>
      </c>
      <c r="E778">
        <f t="shared" si="99"/>
        <v>8</v>
      </c>
      <c r="F778">
        <f t="shared" si="100"/>
        <v>15</v>
      </c>
      <c r="G778" t="str">
        <f t="shared" si="101"/>
        <v>Sunday</v>
      </c>
      <c r="H778" t="b">
        <f t="shared" si="102"/>
        <v>1</v>
      </c>
      <c r="I778">
        <f t="shared" si="103"/>
        <v>46</v>
      </c>
      <c r="J778" t="s">
        <v>22</v>
      </c>
      <c r="K778">
        <v>20260215</v>
      </c>
    </row>
    <row r="779" spans="1:11" x14ac:dyDescent="0.3">
      <c r="A779" s="4">
        <v>46069</v>
      </c>
      <c r="B779">
        <f t="shared" si="96"/>
        <v>2026</v>
      </c>
      <c r="C779">
        <f t="shared" si="97"/>
        <v>2</v>
      </c>
      <c r="D779" t="str">
        <f t="shared" si="98"/>
        <v>February</v>
      </c>
      <c r="E779">
        <f t="shared" si="99"/>
        <v>8</v>
      </c>
      <c r="F779">
        <f t="shared" si="100"/>
        <v>16</v>
      </c>
      <c r="G779" t="str">
        <f t="shared" si="101"/>
        <v>Monday</v>
      </c>
      <c r="H779" t="b">
        <f t="shared" si="102"/>
        <v>0</v>
      </c>
      <c r="I779">
        <f t="shared" si="103"/>
        <v>47</v>
      </c>
      <c r="J779" t="s">
        <v>22</v>
      </c>
      <c r="K779">
        <v>20260216</v>
      </c>
    </row>
    <row r="780" spans="1:11" x14ac:dyDescent="0.3">
      <c r="A780" s="4">
        <v>46070</v>
      </c>
      <c r="B780">
        <f t="shared" si="96"/>
        <v>2026</v>
      </c>
      <c r="C780">
        <f t="shared" si="97"/>
        <v>2</v>
      </c>
      <c r="D780" t="str">
        <f t="shared" si="98"/>
        <v>February</v>
      </c>
      <c r="E780">
        <f t="shared" si="99"/>
        <v>8</v>
      </c>
      <c r="F780">
        <f t="shared" si="100"/>
        <v>17</v>
      </c>
      <c r="G780" t="str">
        <f t="shared" si="101"/>
        <v>Tuesday</v>
      </c>
      <c r="H780" t="b">
        <f t="shared" si="102"/>
        <v>0</v>
      </c>
      <c r="I780">
        <f t="shared" si="103"/>
        <v>48</v>
      </c>
      <c r="J780" t="s">
        <v>22</v>
      </c>
      <c r="K780">
        <v>20260217</v>
      </c>
    </row>
    <row r="781" spans="1:11" x14ac:dyDescent="0.3">
      <c r="A781" s="4">
        <v>46071</v>
      </c>
      <c r="B781">
        <f t="shared" si="96"/>
        <v>2026</v>
      </c>
      <c r="C781">
        <f t="shared" si="97"/>
        <v>2</v>
      </c>
      <c r="D781" t="str">
        <f t="shared" si="98"/>
        <v>February</v>
      </c>
      <c r="E781">
        <f t="shared" si="99"/>
        <v>8</v>
      </c>
      <c r="F781">
        <f t="shared" si="100"/>
        <v>18</v>
      </c>
      <c r="G781" t="str">
        <f t="shared" si="101"/>
        <v>Wednesday</v>
      </c>
      <c r="H781" t="b">
        <f t="shared" si="102"/>
        <v>0</v>
      </c>
      <c r="I781">
        <f t="shared" si="103"/>
        <v>49</v>
      </c>
      <c r="J781" t="s">
        <v>22</v>
      </c>
      <c r="K781">
        <v>20260218</v>
      </c>
    </row>
    <row r="782" spans="1:11" x14ac:dyDescent="0.3">
      <c r="A782" s="4">
        <v>46072</v>
      </c>
      <c r="B782">
        <f t="shared" si="96"/>
        <v>2026</v>
      </c>
      <c r="C782">
        <f t="shared" si="97"/>
        <v>2</v>
      </c>
      <c r="D782" t="str">
        <f t="shared" si="98"/>
        <v>February</v>
      </c>
      <c r="E782">
        <f t="shared" si="99"/>
        <v>8</v>
      </c>
      <c r="F782">
        <f t="shared" si="100"/>
        <v>19</v>
      </c>
      <c r="G782" t="str">
        <f t="shared" si="101"/>
        <v>Thursday</v>
      </c>
      <c r="H782" t="b">
        <f t="shared" si="102"/>
        <v>0</v>
      </c>
      <c r="I782">
        <f t="shared" si="103"/>
        <v>50</v>
      </c>
      <c r="J782" t="s">
        <v>22</v>
      </c>
      <c r="K782">
        <v>20260219</v>
      </c>
    </row>
    <row r="783" spans="1:11" x14ac:dyDescent="0.3">
      <c r="A783" s="4">
        <v>46073</v>
      </c>
      <c r="B783">
        <f t="shared" si="96"/>
        <v>2026</v>
      </c>
      <c r="C783">
        <f t="shared" si="97"/>
        <v>2</v>
      </c>
      <c r="D783" t="str">
        <f t="shared" si="98"/>
        <v>February</v>
      </c>
      <c r="E783">
        <f t="shared" si="99"/>
        <v>8</v>
      </c>
      <c r="F783">
        <f t="shared" si="100"/>
        <v>20</v>
      </c>
      <c r="G783" t="str">
        <f t="shared" si="101"/>
        <v>Friday</v>
      </c>
      <c r="H783" t="b">
        <f t="shared" si="102"/>
        <v>0</v>
      </c>
      <c r="I783">
        <f t="shared" si="103"/>
        <v>51</v>
      </c>
      <c r="J783" t="s">
        <v>22</v>
      </c>
      <c r="K783">
        <v>20260220</v>
      </c>
    </row>
    <row r="784" spans="1:11" x14ac:dyDescent="0.3">
      <c r="A784" s="4">
        <v>46074</v>
      </c>
      <c r="B784">
        <f t="shared" si="96"/>
        <v>2026</v>
      </c>
      <c r="C784">
        <f t="shared" si="97"/>
        <v>2</v>
      </c>
      <c r="D784" t="str">
        <f t="shared" si="98"/>
        <v>February</v>
      </c>
      <c r="E784">
        <f t="shared" si="99"/>
        <v>8</v>
      </c>
      <c r="F784">
        <f t="shared" si="100"/>
        <v>21</v>
      </c>
      <c r="G784" t="str">
        <f t="shared" si="101"/>
        <v>Saturday</v>
      </c>
      <c r="H784" t="b">
        <f t="shared" si="102"/>
        <v>1</v>
      </c>
      <c r="I784">
        <f t="shared" si="103"/>
        <v>52</v>
      </c>
      <c r="J784" t="s">
        <v>22</v>
      </c>
      <c r="K784">
        <v>20260221</v>
      </c>
    </row>
    <row r="785" spans="1:11" x14ac:dyDescent="0.3">
      <c r="A785" s="4">
        <v>46075</v>
      </c>
      <c r="B785">
        <f t="shared" si="96"/>
        <v>2026</v>
      </c>
      <c r="C785">
        <f t="shared" si="97"/>
        <v>2</v>
      </c>
      <c r="D785" t="str">
        <f t="shared" si="98"/>
        <v>February</v>
      </c>
      <c r="E785">
        <f t="shared" si="99"/>
        <v>9</v>
      </c>
      <c r="F785">
        <f t="shared" si="100"/>
        <v>22</v>
      </c>
      <c r="G785" t="str">
        <f t="shared" si="101"/>
        <v>Sunday</v>
      </c>
      <c r="H785" t="b">
        <f t="shared" si="102"/>
        <v>1</v>
      </c>
      <c r="I785">
        <f t="shared" si="103"/>
        <v>53</v>
      </c>
      <c r="J785" t="s">
        <v>22</v>
      </c>
      <c r="K785">
        <v>20260222</v>
      </c>
    </row>
    <row r="786" spans="1:11" x14ac:dyDescent="0.3">
      <c r="A786" s="4">
        <v>46076</v>
      </c>
      <c r="B786">
        <f t="shared" si="96"/>
        <v>2026</v>
      </c>
      <c r="C786">
        <f t="shared" si="97"/>
        <v>2</v>
      </c>
      <c r="D786" t="str">
        <f t="shared" si="98"/>
        <v>February</v>
      </c>
      <c r="E786">
        <f t="shared" si="99"/>
        <v>9</v>
      </c>
      <c r="F786">
        <f t="shared" si="100"/>
        <v>23</v>
      </c>
      <c r="G786" t="str">
        <f t="shared" si="101"/>
        <v>Monday</v>
      </c>
      <c r="H786" t="b">
        <f t="shared" si="102"/>
        <v>0</v>
      </c>
      <c r="I786">
        <f t="shared" si="103"/>
        <v>54</v>
      </c>
      <c r="J786" t="s">
        <v>22</v>
      </c>
      <c r="K786">
        <v>20260223</v>
      </c>
    </row>
    <row r="787" spans="1:11" x14ac:dyDescent="0.3">
      <c r="A787" s="4">
        <v>46077</v>
      </c>
      <c r="B787">
        <f t="shared" si="96"/>
        <v>2026</v>
      </c>
      <c r="C787">
        <f t="shared" si="97"/>
        <v>2</v>
      </c>
      <c r="D787" t="str">
        <f t="shared" si="98"/>
        <v>February</v>
      </c>
      <c r="E787">
        <f t="shared" si="99"/>
        <v>9</v>
      </c>
      <c r="F787">
        <f t="shared" si="100"/>
        <v>24</v>
      </c>
      <c r="G787" t="str">
        <f t="shared" si="101"/>
        <v>Tuesday</v>
      </c>
      <c r="H787" t="b">
        <f t="shared" si="102"/>
        <v>0</v>
      </c>
      <c r="I787">
        <f t="shared" si="103"/>
        <v>55</v>
      </c>
      <c r="J787" t="s">
        <v>22</v>
      </c>
      <c r="K787">
        <v>20260224</v>
      </c>
    </row>
    <row r="788" spans="1:11" x14ac:dyDescent="0.3">
      <c r="A788" s="4">
        <v>46078</v>
      </c>
      <c r="B788">
        <f t="shared" si="96"/>
        <v>2026</v>
      </c>
      <c r="C788">
        <f t="shared" si="97"/>
        <v>2</v>
      </c>
      <c r="D788" t="str">
        <f t="shared" si="98"/>
        <v>February</v>
      </c>
      <c r="E788">
        <f t="shared" si="99"/>
        <v>9</v>
      </c>
      <c r="F788">
        <f t="shared" si="100"/>
        <v>25</v>
      </c>
      <c r="G788" t="str">
        <f t="shared" si="101"/>
        <v>Wednesday</v>
      </c>
      <c r="H788" t="b">
        <f t="shared" si="102"/>
        <v>0</v>
      </c>
      <c r="I788">
        <f t="shared" si="103"/>
        <v>56</v>
      </c>
      <c r="J788" t="s">
        <v>22</v>
      </c>
      <c r="K788">
        <v>20260225</v>
      </c>
    </row>
    <row r="789" spans="1:11" x14ac:dyDescent="0.3">
      <c r="A789" s="4">
        <v>46079</v>
      </c>
      <c r="B789">
        <f t="shared" si="96"/>
        <v>2026</v>
      </c>
      <c r="C789">
        <f t="shared" si="97"/>
        <v>2</v>
      </c>
      <c r="D789" t="str">
        <f t="shared" si="98"/>
        <v>February</v>
      </c>
      <c r="E789">
        <f t="shared" si="99"/>
        <v>9</v>
      </c>
      <c r="F789">
        <f t="shared" si="100"/>
        <v>26</v>
      </c>
      <c r="G789" t="str">
        <f t="shared" si="101"/>
        <v>Thursday</v>
      </c>
      <c r="H789" t="b">
        <f t="shared" si="102"/>
        <v>0</v>
      </c>
      <c r="I789">
        <f t="shared" si="103"/>
        <v>57</v>
      </c>
      <c r="J789" t="s">
        <v>22</v>
      </c>
      <c r="K789">
        <v>20260226</v>
      </c>
    </row>
    <row r="790" spans="1:11" x14ac:dyDescent="0.3">
      <c r="A790" s="4">
        <v>46080</v>
      </c>
      <c r="B790">
        <f t="shared" si="96"/>
        <v>2026</v>
      </c>
      <c r="C790">
        <f t="shared" si="97"/>
        <v>2</v>
      </c>
      <c r="D790" t="str">
        <f t="shared" si="98"/>
        <v>February</v>
      </c>
      <c r="E790">
        <f t="shared" si="99"/>
        <v>9</v>
      </c>
      <c r="F790">
        <f t="shared" si="100"/>
        <v>27</v>
      </c>
      <c r="G790" t="str">
        <f t="shared" si="101"/>
        <v>Friday</v>
      </c>
      <c r="H790" t="b">
        <f t="shared" si="102"/>
        <v>0</v>
      </c>
      <c r="I790">
        <f t="shared" si="103"/>
        <v>58</v>
      </c>
      <c r="J790" t="s">
        <v>22</v>
      </c>
      <c r="K790">
        <v>20260227</v>
      </c>
    </row>
    <row r="791" spans="1:11" x14ac:dyDescent="0.3">
      <c r="A791" s="4">
        <v>46081</v>
      </c>
      <c r="B791">
        <f t="shared" si="96"/>
        <v>2026</v>
      </c>
      <c r="C791">
        <f t="shared" si="97"/>
        <v>2</v>
      </c>
      <c r="D791" t="str">
        <f t="shared" si="98"/>
        <v>February</v>
      </c>
      <c r="E791">
        <f t="shared" si="99"/>
        <v>9</v>
      </c>
      <c r="F791">
        <f t="shared" si="100"/>
        <v>28</v>
      </c>
      <c r="G791" t="str">
        <f t="shared" si="101"/>
        <v>Saturday</v>
      </c>
      <c r="H791" t="b">
        <f t="shared" si="102"/>
        <v>1</v>
      </c>
      <c r="I791">
        <f t="shared" si="103"/>
        <v>59</v>
      </c>
      <c r="J791" t="s">
        <v>22</v>
      </c>
      <c r="K791">
        <v>20260228</v>
      </c>
    </row>
    <row r="792" spans="1:11" x14ac:dyDescent="0.3">
      <c r="A792" s="4">
        <v>46082</v>
      </c>
      <c r="B792">
        <f t="shared" si="96"/>
        <v>2026</v>
      </c>
      <c r="C792">
        <f t="shared" si="97"/>
        <v>3</v>
      </c>
      <c r="D792" t="str">
        <f t="shared" si="98"/>
        <v>March</v>
      </c>
      <c r="E792">
        <f t="shared" si="99"/>
        <v>10</v>
      </c>
      <c r="F792">
        <f t="shared" si="100"/>
        <v>1</v>
      </c>
      <c r="G792" t="str">
        <f t="shared" si="101"/>
        <v>Sunday</v>
      </c>
      <c r="H792" t="b">
        <f t="shared" si="102"/>
        <v>1</v>
      </c>
      <c r="I792">
        <f t="shared" si="103"/>
        <v>60</v>
      </c>
      <c r="J792" t="s">
        <v>25</v>
      </c>
      <c r="K792">
        <v>20260301</v>
      </c>
    </row>
    <row r="793" spans="1:11" x14ac:dyDescent="0.3">
      <c r="A793" s="4">
        <v>46083</v>
      </c>
      <c r="B793">
        <f t="shared" si="96"/>
        <v>2026</v>
      </c>
      <c r="C793">
        <f t="shared" si="97"/>
        <v>3</v>
      </c>
      <c r="D793" t="str">
        <f t="shared" si="98"/>
        <v>March</v>
      </c>
      <c r="E793">
        <f t="shared" si="99"/>
        <v>10</v>
      </c>
      <c r="F793">
        <f t="shared" si="100"/>
        <v>2</v>
      </c>
      <c r="G793" t="str">
        <f t="shared" si="101"/>
        <v>Monday</v>
      </c>
      <c r="H793" t="b">
        <f t="shared" si="102"/>
        <v>0</v>
      </c>
      <c r="I793">
        <f t="shared" si="103"/>
        <v>61</v>
      </c>
      <c r="J793" t="s">
        <v>25</v>
      </c>
      <c r="K793">
        <v>20260302</v>
      </c>
    </row>
    <row r="794" spans="1:11" x14ac:dyDescent="0.3">
      <c r="A794" s="4">
        <v>46084</v>
      </c>
      <c r="B794">
        <f t="shared" si="96"/>
        <v>2026</v>
      </c>
      <c r="C794">
        <f t="shared" si="97"/>
        <v>3</v>
      </c>
      <c r="D794" t="str">
        <f t="shared" si="98"/>
        <v>March</v>
      </c>
      <c r="E794">
        <f t="shared" si="99"/>
        <v>10</v>
      </c>
      <c r="F794">
        <f t="shared" si="100"/>
        <v>3</v>
      </c>
      <c r="G794" t="str">
        <f t="shared" si="101"/>
        <v>Tuesday</v>
      </c>
      <c r="H794" t="b">
        <f t="shared" si="102"/>
        <v>0</v>
      </c>
      <c r="I794">
        <f t="shared" si="103"/>
        <v>62</v>
      </c>
      <c r="J794" t="s">
        <v>25</v>
      </c>
      <c r="K794">
        <v>20260303</v>
      </c>
    </row>
    <row r="795" spans="1:11" x14ac:dyDescent="0.3">
      <c r="A795" s="4">
        <v>46085</v>
      </c>
      <c r="B795">
        <f t="shared" si="96"/>
        <v>2026</v>
      </c>
      <c r="C795">
        <f t="shared" si="97"/>
        <v>3</v>
      </c>
      <c r="D795" t="str">
        <f t="shared" si="98"/>
        <v>March</v>
      </c>
      <c r="E795">
        <f t="shared" si="99"/>
        <v>10</v>
      </c>
      <c r="F795">
        <f t="shared" si="100"/>
        <v>4</v>
      </c>
      <c r="G795" t="str">
        <f t="shared" si="101"/>
        <v>Wednesday</v>
      </c>
      <c r="H795" t="b">
        <f t="shared" si="102"/>
        <v>0</v>
      </c>
      <c r="I795">
        <f t="shared" si="103"/>
        <v>63</v>
      </c>
      <c r="J795" t="s">
        <v>25</v>
      </c>
      <c r="K795">
        <v>20260304</v>
      </c>
    </row>
    <row r="796" spans="1:11" x14ac:dyDescent="0.3">
      <c r="A796" s="4">
        <v>46086</v>
      </c>
      <c r="B796">
        <f t="shared" si="96"/>
        <v>2026</v>
      </c>
      <c r="C796">
        <f t="shared" si="97"/>
        <v>3</v>
      </c>
      <c r="D796" t="str">
        <f t="shared" si="98"/>
        <v>March</v>
      </c>
      <c r="E796">
        <f t="shared" si="99"/>
        <v>10</v>
      </c>
      <c r="F796">
        <f t="shared" si="100"/>
        <v>5</v>
      </c>
      <c r="G796" t="str">
        <f t="shared" si="101"/>
        <v>Thursday</v>
      </c>
      <c r="H796" t="b">
        <f t="shared" si="102"/>
        <v>0</v>
      </c>
      <c r="I796">
        <f t="shared" si="103"/>
        <v>64</v>
      </c>
      <c r="J796" t="s">
        <v>25</v>
      </c>
      <c r="K796">
        <v>20260305</v>
      </c>
    </row>
    <row r="797" spans="1:11" x14ac:dyDescent="0.3">
      <c r="A797" s="4">
        <v>46087</v>
      </c>
      <c r="B797">
        <f t="shared" si="96"/>
        <v>2026</v>
      </c>
      <c r="C797">
        <f t="shared" si="97"/>
        <v>3</v>
      </c>
      <c r="D797" t="str">
        <f t="shared" si="98"/>
        <v>March</v>
      </c>
      <c r="E797">
        <f t="shared" si="99"/>
        <v>10</v>
      </c>
      <c r="F797">
        <f t="shared" si="100"/>
        <v>6</v>
      </c>
      <c r="G797" t="str">
        <f t="shared" si="101"/>
        <v>Friday</v>
      </c>
      <c r="H797" t="b">
        <f t="shared" si="102"/>
        <v>0</v>
      </c>
      <c r="I797">
        <f t="shared" si="103"/>
        <v>65</v>
      </c>
      <c r="J797" t="s">
        <v>25</v>
      </c>
      <c r="K797">
        <v>20260306</v>
      </c>
    </row>
    <row r="798" spans="1:11" x14ac:dyDescent="0.3">
      <c r="A798" s="4">
        <v>46088</v>
      </c>
      <c r="B798">
        <f t="shared" si="96"/>
        <v>2026</v>
      </c>
      <c r="C798">
        <f t="shared" si="97"/>
        <v>3</v>
      </c>
      <c r="D798" t="str">
        <f t="shared" si="98"/>
        <v>March</v>
      </c>
      <c r="E798">
        <f t="shared" si="99"/>
        <v>10</v>
      </c>
      <c r="F798">
        <f t="shared" si="100"/>
        <v>7</v>
      </c>
      <c r="G798" t="str">
        <f t="shared" si="101"/>
        <v>Saturday</v>
      </c>
      <c r="H798" t="b">
        <f t="shared" si="102"/>
        <v>1</v>
      </c>
      <c r="I798">
        <f t="shared" si="103"/>
        <v>66</v>
      </c>
      <c r="J798" t="s">
        <v>25</v>
      </c>
      <c r="K798">
        <v>20260307</v>
      </c>
    </row>
    <row r="799" spans="1:11" x14ac:dyDescent="0.3">
      <c r="A799" s="4">
        <v>46089</v>
      </c>
      <c r="B799">
        <f t="shared" si="96"/>
        <v>2026</v>
      </c>
      <c r="C799">
        <f t="shared" si="97"/>
        <v>3</v>
      </c>
      <c r="D799" t="str">
        <f t="shared" si="98"/>
        <v>March</v>
      </c>
      <c r="E799">
        <f t="shared" si="99"/>
        <v>11</v>
      </c>
      <c r="F799">
        <f t="shared" si="100"/>
        <v>8</v>
      </c>
      <c r="G799" t="str">
        <f t="shared" si="101"/>
        <v>Sunday</v>
      </c>
      <c r="H799" t="b">
        <f t="shared" si="102"/>
        <v>1</v>
      </c>
      <c r="I799">
        <f t="shared" si="103"/>
        <v>67</v>
      </c>
      <c r="J799" t="s">
        <v>25</v>
      </c>
      <c r="K799">
        <v>20260308</v>
      </c>
    </row>
    <row r="800" spans="1:11" x14ac:dyDescent="0.3">
      <c r="A800" s="4">
        <v>46090</v>
      </c>
      <c r="B800">
        <f t="shared" si="96"/>
        <v>2026</v>
      </c>
      <c r="C800">
        <f t="shared" si="97"/>
        <v>3</v>
      </c>
      <c r="D800" t="str">
        <f t="shared" si="98"/>
        <v>March</v>
      </c>
      <c r="E800">
        <f t="shared" si="99"/>
        <v>11</v>
      </c>
      <c r="F800">
        <f t="shared" si="100"/>
        <v>9</v>
      </c>
      <c r="G800" t="str">
        <f t="shared" si="101"/>
        <v>Monday</v>
      </c>
      <c r="H800" t="b">
        <f t="shared" si="102"/>
        <v>0</v>
      </c>
      <c r="I800">
        <f t="shared" si="103"/>
        <v>68</v>
      </c>
      <c r="J800" t="s">
        <v>25</v>
      </c>
      <c r="K800">
        <v>20260309</v>
      </c>
    </row>
    <row r="801" spans="1:11" x14ac:dyDescent="0.3">
      <c r="A801" s="4">
        <v>46091</v>
      </c>
      <c r="B801">
        <f t="shared" si="96"/>
        <v>2026</v>
      </c>
      <c r="C801">
        <f t="shared" si="97"/>
        <v>3</v>
      </c>
      <c r="D801" t="str">
        <f t="shared" si="98"/>
        <v>March</v>
      </c>
      <c r="E801">
        <f t="shared" si="99"/>
        <v>11</v>
      </c>
      <c r="F801">
        <f t="shared" si="100"/>
        <v>10</v>
      </c>
      <c r="G801" t="str">
        <f t="shared" si="101"/>
        <v>Tuesday</v>
      </c>
      <c r="H801" t="b">
        <f t="shared" si="102"/>
        <v>0</v>
      </c>
      <c r="I801">
        <f t="shared" si="103"/>
        <v>69</v>
      </c>
      <c r="J801" t="s">
        <v>25</v>
      </c>
      <c r="K801">
        <v>20260310</v>
      </c>
    </row>
    <row r="802" spans="1:11" x14ac:dyDescent="0.3">
      <c r="A802" s="4">
        <v>46092</v>
      </c>
      <c r="B802">
        <f t="shared" si="96"/>
        <v>2026</v>
      </c>
      <c r="C802">
        <f t="shared" si="97"/>
        <v>3</v>
      </c>
      <c r="D802" t="str">
        <f t="shared" si="98"/>
        <v>March</v>
      </c>
      <c r="E802">
        <f t="shared" si="99"/>
        <v>11</v>
      </c>
      <c r="F802">
        <f t="shared" si="100"/>
        <v>11</v>
      </c>
      <c r="G802" t="str">
        <f t="shared" si="101"/>
        <v>Wednesday</v>
      </c>
      <c r="H802" t="b">
        <f t="shared" si="102"/>
        <v>0</v>
      </c>
      <c r="I802">
        <f t="shared" si="103"/>
        <v>70</v>
      </c>
      <c r="J802" t="s">
        <v>25</v>
      </c>
      <c r="K802">
        <v>20260311</v>
      </c>
    </row>
    <row r="803" spans="1:11" x14ac:dyDescent="0.3">
      <c r="A803" s="4">
        <v>46093</v>
      </c>
      <c r="B803">
        <f t="shared" si="96"/>
        <v>2026</v>
      </c>
      <c r="C803">
        <f t="shared" si="97"/>
        <v>3</v>
      </c>
      <c r="D803" t="str">
        <f t="shared" si="98"/>
        <v>March</v>
      </c>
      <c r="E803">
        <f t="shared" si="99"/>
        <v>11</v>
      </c>
      <c r="F803">
        <f t="shared" si="100"/>
        <v>12</v>
      </c>
      <c r="G803" t="str">
        <f t="shared" si="101"/>
        <v>Thursday</v>
      </c>
      <c r="H803" t="b">
        <f t="shared" si="102"/>
        <v>0</v>
      </c>
      <c r="I803">
        <f t="shared" si="103"/>
        <v>71</v>
      </c>
      <c r="J803" t="s">
        <v>25</v>
      </c>
      <c r="K803">
        <v>20260312</v>
      </c>
    </row>
    <row r="804" spans="1:11" x14ac:dyDescent="0.3">
      <c r="A804" s="4">
        <v>46094</v>
      </c>
      <c r="B804">
        <f t="shared" si="96"/>
        <v>2026</v>
      </c>
      <c r="C804">
        <f t="shared" si="97"/>
        <v>3</v>
      </c>
      <c r="D804" t="str">
        <f t="shared" si="98"/>
        <v>March</v>
      </c>
      <c r="E804">
        <f t="shared" si="99"/>
        <v>11</v>
      </c>
      <c r="F804">
        <f t="shared" si="100"/>
        <v>13</v>
      </c>
      <c r="G804" t="str">
        <f t="shared" si="101"/>
        <v>Friday</v>
      </c>
      <c r="H804" t="b">
        <f t="shared" si="102"/>
        <v>0</v>
      </c>
      <c r="I804">
        <f t="shared" si="103"/>
        <v>72</v>
      </c>
      <c r="J804" t="s">
        <v>25</v>
      </c>
      <c r="K804">
        <v>20260313</v>
      </c>
    </row>
    <row r="805" spans="1:11" x14ac:dyDescent="0.3">
      <c r="A805" s="4">
        <v>46095</v>
      </c>
      <c r="B805">
        <f t="shared" si="96"/>
        <v>2026</v>
      </c>
      <c r="C805">
        <f t="shared" si="97"/>
        <v>3</v>
      </c>
      <c r="D805" t="str">
        <f t="shared" si="98"/>
        <v>March</v>
      </c>
      <c r="E805">
        <f t="shared" si="99"/>
        <v>11</v>
      </c>
      <c r="F805">
        <f t="shared" si="100"/>
        <v>14</v>
      </c>
      <c r="G805" t="str">
        <f t="shared" si="101"/>
        <v>Saturday</v>
      </c>
      <c r="H805" t="b">
        <f t="shared" si="102"/>
        <v>1</v>
      </c>
      <c r="I805">
        <f t="shared" si="103"/>
        <v>73</v>
      </c>
      <c r="J805" t="s">
        <v>25</v>
      </c>
      <c r="K805">
        <v>20260314</v>
      </c>
    </row>
    <row r="806" spans="1:11" x14ac:dyDescent="0.3">
      <c r="A806" s="4">
        <v>46096</v>
      </c>
      <c r="B806">
        <f t="shared" si="96"/>
        <v>2026</v>
      </c>
      <c r="C806">
        <f t="shared" si="97"/>
        <v>3</v>
      </c>
      <c r="D806" t="str">
        <f t="shared" si="98"/>
        <v>March</v>
      </c>
      <c r="E806">
        <f t="shared" si="99"/>
        <v>12</v>
      </c>
      <c r="F806">
        <f t="shared" si="100"/>
        <v>15</v>
      </c>
      <c r="G806" t="str">
        <f t="shared" si="101"/>
        <v>Sunday</v>
      </c>
      <c r="H806" t="b">
        <f t="shared" si="102"/>
        <v>1</v>
      </c>
      <c r="I806">
        <f t="shared" si="103"/>
        <v>74</v>
      </c>
      <c r="J806" t="s">
        <v>25</v>
      </c>
      <c r="K806">
        <v>20260315</v>
      </c>
    </row>
    <row r="807" spans="1:11" x14ac:dyDescent="0.3">
      <c r="A807" s="4">
        <v>46097</v>
      </c>
      <c r="B807">
        <f t="shared" si="96"/>
        <v>2026</v>
      </c>
      <c r="C807">
        <f t="shared" si="97"/>
        <v>3</v>
      </c>
      <c r="D807" t="str">
        <f t="shared" si="98"/>
        <v>March</v>
      </c>
      <c r="E807">
        <f t="shared" si="99"/>
        <v>12</v>
      </c>
      <c r="F807">
        <f t="shared" si="100"/>
        <v>16</v>
      </c>
      <c r="G807" t="str">
        <f t="shared" si="101"/>
        <v>Monday</v>
      </c>
      <c r="H807" t="b">
        <f t="shared" si="102"/>
        <v>0</v>
      </c>
      <c r="I807">
        <f t="shared" si="103"/>
        <v>75</v>
      </c>
      <c r="J807" t="s">
        <v>25</v>
      </c>
      <c r="K807">
        <v>20260316</v>
      </c>
    </row>
    <row r="808" spans="1:11" x14ac:dyDescent="0.3">
      <c r="A808" s="4">
        <v>46098</v>
      </c>
      <c r="B808">
        <f t="shared" si="96"/>
        <v>2026</v>
      </c>
      <c r="C808">
        <f t="shared" si="97"/>
        <v>3</v>
      </c>
      <c r="D808" t="str">
        <f t="shared" si="98"/>
        <v>March</v>
      </c>
      <c r="E808">
        <f t="shared" si="99"/>
        <v>12</v>
      </c>
      <c r="F808">
        <f t="shared" si="100"/>
        <v>17</v>
      </c>
      <c r="G808" t="str">
        <f t="shared" si="101"/>
        <v>Tuesday</v>
      </c>
      <c r="H808" t="b">
        <f t="shared" si="102"/>
        <v>0</v>
      </c>
      <c r="I808">
        <f t="shared" si="103"/>
        <v>76</v>
      </c>
      <c r="J808" t="s">
        <v>25</v>
      </c>
      <c r="K808">
        <v>20260317</v>
      </c>
    </row>
    <row r="809" spans="1:11" x14ac:dyDescent="0.3">
      <c r="A809" s="4">
        <v>46099</v>
      </c>
      <c r="B809">
        <f t="shared" si="96"/>
        <v>2026</v>
      </c>
      <c r="C809">
        <f t="shared" si="97"/>
        <v>3</v>
      </c>
      <c r="D809" t="str">
        <f t="shared" si="98"/>
        <v>March</v>
      </c>
      <c r="E809">
        <f t="shared" si="99"/>
        <v>12</v>
      </c>
      <c r="F809">
        <f t="shared" si="100"/>
        <v>18</v>
      </c>
      <c r="G809" t="str">
        <f t="shared" si="101"/>
        <v>Wednesday</v>
      </c>
      <c r="H809" t="b">
        <f t="shared" si="102"/>
        <v>0</v>
      </c>
      <c r="I809">
        <f t="shared" si="103"/>
        <v>77</v>
      </c>
      <c r="J809" t="s">
        <v>25</v>
      </c>
      <c r="K809">
        <v>20260318</v>
      </c>
    </row>
    <row r="810" spans="1:11" x14ac:dyDescent="0.3">
      <c r="A810" s="4">
        <v>46100</v>
      </c>
      <c r="B810">
        <f t="shared" si="96"/>
        <v>2026</v>
      </c>
      <c r="C810">
        <f t="shared" si="97"/>
        <v>3</v>
      </c>
      <c r="D810" t="str">
        <f t="shared" si="98"/>
        <v>March</v>
      </c>
      <c r="E810">
        <f t="shared" si="99"/>
        <v>12</v>
      </c>
      <c r="F810">
        <f t="shared" si="100"/>
        <v>19</v>
      </c>
      <c r="G810" t="str">
        <f t="shared" si="101"/>
        <v>Thursday</v>
      </c>
      <c r="H810" t="b">
        <f t="shared" si="102"/>
        <v>0</v>
      </c>
      <c r="I810">
        <f t="shared" si="103"/>
        <v>78</v>
      </c>
      <c r="J810" t="s">
        <v>25</v>
      </c>
      <c r="K810">
        <v>20260319</v>
      </c>
    </row>
    <row r="811" spans="1:11" x14ac:dyDescent="0.3">
      <c r="A811" s="4">
        <v>46101</v>
      </c>
      <c r="B811">
        <f t="shared" si="96"/>
        <v>2026</v>
      </c>
      <c r="C811">
        <f t="shared" si="97"/>
        <v>3</v>
      </c>
      <c r="D811" t="str">
        <f t="shared" si="98"/>
        <v>March</v>
      </c>
      <c r="E811">
        <f t="shared" si="99"/>
        <v>12</v>
      </c>
      <c r="F811">
        <f t="shared" si="100"/>
        <v>20</v>
      </c>
      <c r="G811" t="str">
        <f t="shared" si="101"/>
        <v>Friday</v>
      </c>
      <c r="H811" t="b">
        <f t="shared" si="102"/>
        <v>0</v>
      </c>
      <c r="I811">
        <f t="shared" si="103"/>
        <v>79</v>
      </c>
      <c r="J811" t="s">
        <v>25</v>
      </c>
      <c r="K811">
        <v>20260320</v>
      </c>
    </row>
    <row r="812" spans="1:11" x14ac:dyDescent="0.3">
      <c r="A812" s="4">
        <v>46102</v>
      </c>
      <c r="B812">
        <f t="shared" si="96"/>
        <v>2026</v>
      </c>
      <c r="C812">
        <f t="shared" si="97"/>
        <v>3</v>
      </c>
      <c r="D812" t="str">
        <f t="shared" si="98"/>
        <v>March</v>
      </c>
      <c r="E812">
        <f t="shared" si="99"/>
        <v>12</v>
      </c>
      <c r="F812">
        <f t="shared" si="100"/>
        <v>21</v>
      </c>
      <c r="G812" t="str">
        <f t="shared" si="101"/>
        <v>Saturday</v>
      </c>
      <c r="H812" t="b">
        <f t="shared" si="102"/>
        <v>1</v>
      </c>
      <c r="I812">
        <f t="shared" si="103"/>
        <v>80</v>
      </c>
      <c r="J812" t="s">
        <v>25</v>
      </c>
      <c r="K812">
        <v>20260321</v>
      </c>
    </row>
    <row r="813" spans="1:11" x14ac:dyDescent="0.3">
      <c r="A813" s="4">
        <v>46103</v>
      </c>
      <c r="B813">
        <f t="shared" si="96"/>
        <v>2026</v>
      </c>
      <c r="C813">
        <f t="shared" si="97"/>
        <v>3</v>
      </c>
      <c r="D813" t="str">
        <f t="shared" si="98"/>
        <v>March</v>
      </c>
      <c r="E813">
        <f t="shared" si="99"/>
        <v>13</v>
      </c>
      <c r="F813">
        <f t="shared" si="100"/>
        <v>22</v>
      </c>
      <c r="G813" t="str">
        <f t="shared" si="101"/>
        <v>Sunday</v>
      </c>
      <c r="H813" t="b">
        <f t="shared" si="102"/>
        <v>1</v>
      </c>
      <c r="I813">
        <f t="shared" si="103"/>
        <v>81</v>
      </c>
      <c r="J813" t="s">
        <v>25</v>
      </c>
      <c r="K813">
        <v>20260322</v>
      </c>
    </row>
    <row r="814" spans="1:11" x14ac:dyDescent="0.3">
      <c r="A814" s="4">
        <v>46104</v>
      </c>
      <c r="B814">
        <f t="shared" si="96"/>
        <v>2026</v>
      </c>
      <c r="C814">
        <f t="shared" si="97"/>
        <v>3</v>
      </c>
      <c r="D814" t="str">
        <f t="shared" si="98"/>
        <v>March</v>
      </c>
      <c r="E814">
        <f t="shared" si="99"/>
        <v>13</v>
      </c>
      <c r="F814">
        <f t="shared" si="100"/>
        <v>23</v>
      </c>
      <c r="G814" t="str">
        <f t="shared" si="101"/>
        <v>Monday</v>
      </c>
      <c r="H814" t="b">
        <f t="shared" si="102"/>
        <v>0</v>
      </c>
      <c r="I814">
        <f t="shared" si="103"/>
        <v>82</v>
      </c>
      <c r="J814" t="s">
        <v>25</v>
      </c>
      <c r="K814">
        <v>20260323</v>
      </c>
    </row>
    <row r="815" spans="1:11" x14ac:dyDescent="0.3">
      <c r="A815" s="4">
        <v>46105</v>
      </c>
      <c r="B815">
        <f t="shared" si="96"/>
        <v>2026</v>
      </c>
      <c r="C815">
        <f t="shared" si="97"/>
        <v>3</v>
      </c>
      <c r="D815" t="str">
        <f t="shared" si="98"/>
        <v>March</v>
      </c>
      <c r="E815">
        <f t="shared" si="99"/>
        <v>13</v>
      </c>
      <c r="F815">
        <f t="shared" si="100"/>
        <v>24</v>
      </c>
      <c r="G815" t="str">
        <f t="shared" si="101"/>
        <v>Tuesday</v>
      </c>
      <c r="H815" t="b">
        <f t="shared" si="102"/>
        <v>0</v>
      </c>
      <c r="I815">
        <f t="shared" si="103"/>
        <v>83</v>
      </c>
      <c r="J815" t="s">
        <v>25</v>
      </c>
      <c r="K815">
        <v>20260324</v>
      </c>
    </row>
    <row r="816" spans="1:11" x14ac:dyDescent="0.3">
      <c r="A816" s="4">
        <v>46106</v>
      </c>
      <c r="B816">
        <f t="shared" si="96"/>
        <v>2026</v>
      </c>
      <c r="C816">
        <f t="shared" si="97"/>
        <v>3</v>
      </c>
      <c r="D816" t="str">
        <f t="shared" si="98"/>
        <v>March</v>
      </c>
      <c r="E816">
        <f t="shared" si="99"/>
        <v>13</v>
      </c>
      <c r="F816">
        <f t="shared" si="100"/>
        <v>25</v>
      </c>
      <c r="G816" t="str">
        <f t="shared" si="101"/>
        <v>Wednesday</v>
      </c>
      <c r="H816" t="b">
        <f t="shared" si="102"/>
        <v>0</v>
      </c>
      <c r="I816">
        <f t="shared" si="103"/>
        <v>84</v>
      </c>
      <c r="J816" t="s">
        <v>25</v>
      </c>
      <c r="K816">
        <v>20260325</v>
      </c>
    </row>
    <row r="817" spans="1:11" x14ac:dyDescent="0.3">
      <c r="A817" s="4">
        <v>46107</v>
      </c>
      <c r="B817">
        <f t="shared" si="96"/>
        <v>2026</v>
      </c>
      <c r="C817">
        <f t="shared" si="97"/>
        <v>3</v>
      </c>
      <c r="D817" t="str">
        <f t="shared" si="98"/>
        <v>March</v>
      </c>
      <c r="E817">
        <f t="shared" si="99"/>
        <v>13</v>
      </c>
      <c r="F817">
        <f t="shared" si="100"/>
        <v>26</v>
      </c>
      <c r="G817" t="str">
        <f t="shared" si="101"/>
        <v>Thursday</v>
      </c>
      <c r="H817" t="b">
        <f t="shared" si="102"/>
        <v>0</v>
      </c>
      <c r="I817">
        <f t="shared" si="103"/>
        <v>85</v>
      </c>
      <c r="J817" t="s">
        <v>25</v>
      </c>
      <c r="K817">
        <v>20260326</v>
      </c>
    </row>
    <row r="818" spans="1:11" x14ac:dyDescent="0.3">
      <c r="A818" s="4">
        <v>46108</v>
      </c>
      <c r="B818">
        <f t="shared" si="96"/>
        <v>2026</v>
      </c>
      <c r="C818">
        <f t="shared" si="97"/>
        <v>3</v>
      </c>
      <c r="D818" t="str">
        <f t="shared" si="98"/>
        <v>March</v>
      </c>
      <c r="E818">
        <f t="shared" si="99"/>
        <v>13</v>
      </c>
      <c r="F818">
        <f t="shared" si="100"/>
        <v>27</v>
      </c>
      <c r="G818" t="str">
        <f t="shared" si="101"/>
        <v>Friday</v>
      </c>
      <c r="H818" t="b">
        <f t="shared" si="102"/>
        <v>0</v>
      </c>
      <c r="I818">
        <f t="shared" si="103"/>
        <v>86</v>
      </c>
      <c r="J818" t="s">
        <v>25</v>
      </c>
      <c r="K818">
        <v>20260327</v>
      </c>
    </row>
    <row r="819" spans="1:11" x14ac:dyDescent="0.3">
      <c r="A819" s="4">
        <v>46109</v>
      </c>
      <c r="B819">
        <f t="shared" si="96"/>
        <v>2026</v>
      </c>
      <c r="C819">
        <f t="shared" si="97"/>
        <v>3</v>
      </c>
      <c r="D819" t="str">
        <f t="shared" si="98"/>
        <v>March</v>
      </c>
      <c r="E819">
        <f t="shared" si="99"/>
        <v>13</v>
      </c>
      <c r="F819">
        <f t="shared" si="100"/>
        <v>28</v>
      </c>
      <c r="G819" t="str">
        <f t="shared" si="101"/>
        <v>Saturday</v>
      </c>
      <c r="H819" t="b">
        <f t="shared" si="102"/>
        <v>1</v>
      </c>
      <c r="I819">
        <f t="shared" si="103"/>
        <v>87</v>
      </c>
      <c r="J819" t="s">
        <v>25</v>
      </c>
      <c r="K819">
        <v>20260328</v>
      </c>
    </row>
    <row r="820" spans="1:11" x14ac:dyDescent="0.3">
      <c r="A820" s="4">
        <v>46110</v>
      </c>
      <c r="B820">
        <f t="shared" si="96"/>
        <v>2026</v>
      </c>
      <c r="C820">
        <f t="shared" si="97"/>
        <v>3</v>
      </c>
      <c r="D820" t="str">
        <f t="shared" si="98"/>
        <v>March</v>
      </c>
      <c r="E820">
        <f t="shared" si="99"/>
        <v>14</v>
      </c>
      <c r="F820">
        <f t="shared" si="100"/>
        <v>29</v>
      </c>
      <c r="G820" t="str">
        <f t="shared" si="101"/>
        <v>Sunday</v>
      </c>
      <c r="H820" t="b">
        <f t="shared" si="102"/>
        <v>1</v>
      </c>
      <c r="I820">
        <f t="shared" si="103"/>
        <v>88</v>
      </c>
      <c r="J820" t="s">
        <v>25</v>
      </c>
      <c r="K820">
        <v>20260329</v>
      </c>
    </row>
    <row r="821" spans="1:11" x14ac:dyDescent="0.3">
      <c r="A821" s="4">
        <v>46111</v>
      </c>
      <c r="B821">
        <f t="shared" si="96"/>
        <v>2026</v>
      </c>
      <c r="C821">
        <f t="shared" si="97"/>
        <v>3</v>
      </c>
      <c r="D821" t="str">
        <f t="shared" si="98"/>
        <v>March</v>
      </c>
      <c r="E821">
        <f t="shared" si="99"/>
        <v>14</v>
      </c>
      <c r="F821">
        <f t="shared" si="100"/>
        <v>30</v>
      </c>
      <c r="G821" t="str">
        <f t="shared" si="101"/>
        <v>Monday</v>
      </c>
      <c r="H821" t="b">
        <f t="shared" si="102"/>
        <v>0</v>
      </c>
      <c r="I821">
        <f t="shared" si="103"/>
        <v>89</v>
      </c>
      <c r="J821" t="s">
        <v>25</v>
      </c>
      <c r="K821">
        <v>20260330</v>
      </c>
    </row>
    <row r="822" spans="1:11" x14ac:dyDescent="0.3">
      <c r="A822" s="4">
        <v>46112</v>
      </c>
      <c r="B822">
        <f t="shared" si="96"/>
        <v>2026</v>
      </c>
      <c r="C822">
        <f t="shared" si="97"/>
        <v>3</v>
      </c>
      <c r="D822" t="str">
        <f t="shared" si="98"/>
        <v>March</v>
      </c>
      <c r="E822">
        <f t="shared" si="99"/>
        <v>14</v>
      </c>
      <c r="F822">
        <f t="shared" si="100"/>
        <v>31</v>
      </c>
      <c r="G822" t="str">
        <f t="shared" si="101"/>
        <v>Tuesday</v>
      </c>
      <c r="H822" t="b">
        <f t="shared" si="102"/>
        <v>0</v>
      </c>
      <c r="I822">
        <f t="shared" si="103"/>
        <v>90</v>
      </c>
      <c r="J822" t="s">
        <v>25</v>
      </c>
      <c r="K822">
        <v>20260331</v>
      </c>
    </row>
    <row r="823" spans="1:11" x14ac:dyDescent="0.3">
      <c r="A823" s="4">
        <v>46113</v>
      </c>
      <c r="B823">
        <f t="shared" si="96"/>
        <v>2026</v>
      </c>
      <c r="C823">
        <f t="shared" si="97"/>
        <v>4</v>
      </c>
      <c r="D823" t="str">
        <f t="shared" si="98"/>
        <v>April</v>
      </c>
      <c r="E823">
        <f t="shared" si="99"/>
        <v>14</v>
      </c>
      <c r="F823">
        <f t="shared" si="100"/>
        <v>1</v>
      </c>
      <c r="G823" t="str">
        <f t="shared" si="101"/>
        <v>Wednesday</v>
      </c>
      <c r="H823" t="b">
        <f t="shared" si="102"/>
        <v>0</v>
      </c>
      <c r="I823">
        <f t="shared" si="103"/>
        <v>91</v>
      </c>
      <c r="J823" t="s">
        <v>25</v>
      </c>
      <c r="K823">
        <v>20260401</v>
      </c>
    </row>
    <row r="824" spans="1:11" x14ac:dyDescent="0.3">
      <c r="A824" s="4">
        <v>46114</v>
      </c>
      <c r="B824">
        <f t="shared" si="96"/>
        <v>2026</v>
      </c>
      <c r="C824">
        <f t="shared" si="97"/>
        <v>4</v>
      </c>
      <c r="D824" t="str">
        <f t="shared" si="98"/>
        <v>April</v>
      </c>
      <c r="E824">
        <f t="shared" si="99"/>
        <v>14</v>
      </c>
      <c r="F824">
        <f t="shared" si="100"/>
        <v>2</v>
      </c>
      <c r="G824" t="str">
        <f t="shared" si="101"/>
        <v>Thursday</v>
      </c>
      <c r="H824" t="b">
        <f t="shared" si="102"/>
        <v>0</v>
      </c>
      <c r="I824">
        <f t="shared" si="103"/>
        <v>92</v>
      </c>
      <c r="J824" t="s">
        <v>25</v>
      </c>
      <c r="K824">
        <v>20260402</v>
      </c>
    </row>
    <row r="825" spans="1:11" x14ac:dyDescent="0.3">
      <c r="A825" s="4">
        <v>46115</v>
      </c>
      <c r="B825">
        <f t="shared" si="96"/>
        <v>2026</v>
      </c>
      <c r="C825">
        <f t="shared" si="97"/>
        <v>4</v>
      </c>
      <c r="D825" t="str">
        <f t="shared" si="98"/>
        <v>April</v>
      </c>
      <c r="E825">
        <f t="shared" si="99"/>
        <v>14</v>
      </c>
      <c r="F825">
        <f t="shared" si="100"/>
        <v>3</v>
      </c>
      <c r="G825" t="str">
        <f t="shared" si="101"/>
        <v>Friday</v>
      </c>
      <c r="H825" t="b">
        <f t="shared" si="102"/>
        <v>0</v>
      </c>
      <c r="I825">
        <f t="shared" si="103"/>
        <v>93</v>
      </c>
      <c r="J825" t="s">
        <v>25</v>
      </c>
      <c r="K825">
        <v>20260403</v>
      </c>
    </row>
    <row r="826" spans="1:11" x14ac:dyDescent="0.3">
      <c r="A826" s="4">
        <v>46116</v>
      </c>
      <c r="B826">
        <f t="shared" si="96"/>
        <v>2026</v>
      </c>
      <c r="C826">
        <f t="shared" si="97"/>
        <v>4</v>
      </c>
      <c r="D826" t="str">
        <f t="shared" si="98"/>
        <v>April</v>
      </c>
      <c r="E826">
        <f t="shared" si="99"/>
        <v>14</v>
      </c>
      <c r="F826">
        <f t="shared" si="100"/>
        <v>4</v>
      </c>
      <c r="G826" t="str">
        <f t="shared" si="101"/>
        <v>Saturday</v>
      </c>
      <c r="H826" t="b">
        <f t="shared" si="102"/>
        <v>1</v>
      </c>
      <c r="I826">
        <f t="shared" si="103"/>
        <v>94</v>
      </c>
      <c r="J826" t="s">
        <v>25</v>
      </c>
      <c r="K826">
        <v>20260404</v>
      </c>
    </row>
    <row r="827" spans="1:11" x14ac:dyDescent="0.3">
      <c r="A827" s="4">
        <v>46117</v>
      </c>
      <c r="B827">
        <f t="shared" si="96"/>
        <v>2026</v>
      </c>
      <c r="C827">
        <f t="shared" si="97"/>
        <v>4</v>
      </c>
      <c r="D827" t="str">
        <f t="shared" si="98"/>
        <v>April</v>
      </c>
      <c r="E827">
        <f t="shared" si="99"/>
        <v>15</v>
      </c>
      <c r="F827">
        <f t="shared" si="100"/>
        <v>5</v>
      </c>
      <c r="G827" t="str">
        <f t="shared" si="101"/>
        <v>Sunday</v>
      </c>
      <c r="H827" t="b">
        <f t="shared" si="102"/>
        <v>1</v>
      </c>
      <c r="I827">
        <f t="shared" si="103"/>
        <v>95</v>
      </c>
      <c r="J827" t="s">
        <v>25</v>
      </c>
      <c r="K827">
        <v>20260405</v>
      </c>
    </row>
    <row r="828" spans="1:11" x14ac:dyDescent="0.3">
      <c r="A828" s="4">
        <v>46118</v>
      </c>
      <c r="B828">
        <f t="shared" si="96"/>
        <v>2026</v>
      </c>
      <c r="C828">
        <f t="shared" si="97"/>
        <v>4</v>
      </c>
      <c r="D828" t="str">
        <f t="shared" si="98"/>
        <v>April</v>
      </c>
      <c r="E828">
        <f t="shared" si="99"/>
        <v>15</v>
      </c>
      <c r="F828">
        <f t="shared" si="100"/>
        <v>6</v>
      </c>
      <c r="G828" t="str">
        <f t="shared" si="101"/>
        <v>Monday</v>
      </c>
      <c r="H828" t="b">
        <f t="shared" si="102"/>
        <v>0</v>
      </c>
      <c r="I828">
        <f t="shared" si="103"/>
        <v>96</v>
      </c>
      <c r="J828" t="s">
        <v>25</v>
      </c>
      <c r="K828">
        <v>20260406</v>
      </c>
    </row>
    <row r="829" spans="1:11" x14ac:dyDescent="0.3">
      <c r="A829" s="4">
        <v>46119</v>
      </c>
      <c r="B829">
        <f t="shared" si="96"/>
        <v>2026</v>
      </c>
      <c r="C829">
        <f t="shared" si="97"/>
        <v>4</v>
      </c>
      <c r="D829" t="str">
        <f t="shared" si="98"/>
        <v>April</v>
      </c>
      <c r="E829">
        <f t="shared" si="99"/>
        <v>15</v>
      </c>
      <c r="F829">
        <f t="shared" si="100"/>
        <v>7</v>
      </c>
      <c r="G829" t="str">
        <f t="shared" si="101"/>
        <v>Tuesday</v>
      </c>
      <c r="H829" t="b">
        <f t="shared" si="102"/>
        <v>0</v>
      </c>
      <c r="I829">
        <f t="shared" si="103"/>
        <v>97</v>
      </c>
      <c r="J829" t="s">
        <v>25</v>
      </c>
      <c r="K829">
        <v>20260407</v>
      </c>
    </row>
    <row r="830" spans="1:11" x14ac:dyDescent="0.3">
      <c r="A830" s="4">
        <v>46120</v>
      </c>
      <c r="B830">
        <f t="shared" si="96"/>
        <v>2026</v>
      </c>
      <c r="C830">
        <f t="shared" si="97"/>
        <v>4</v>
      </c>
      <c r="D830" t="str">
        <f t="shared" si="98"/>
        <v>April</v>
      </c>
      <c r="E830">
        <f t="shared" si="99"/>
        <v>15</v>
      </c>
      <c r="F830">
        <f t="shared" si="100"/>
        <v>8</v>
      </c>
      <c r="G830" t="str">
        <f t="shared" si="101"/>
        <v>Wednesday</v>
      </c>
      <c r="H830" t="b">
        <f t="shared" si="102"/>
        <v>0</v>
      </c>
      <c r="I830">
        <f t="shared" si="103"/>
        <v>98</v>
      </c>
      <c r="J830" t="s">
        <v>25</v>
      </c>
      <c r="K830">
        <v>20260408</v>
      </c>
    </row>
    <row r="831" spans="1:11" x14ac:dyDescent="0.3">
      <c r="A831" s="4">
        <v>46121</v>
      </c>
      <c r="B831">
        <f t="shared" si="96"/>
        <v>2026</v>
      </c>
      <c r="C831">
        <f t="shared" si="97"/>
        <v>4</v>
      </c>
      <c r="D831" t="str">
        <f t="shared" si="98"/>
        <v>April</v>
      </c>
      <c r="E831">
        <f t="shared" si="99"/>
        <v>15</v>
      </c>
      <c r="F831">
        <f t="shared" si="100"/>
        <v>9</v>
      </c>
      <c r="G831" t="str">
        <f t="shared" si="101"/>
        <v>Thursday</v>
      </c>
      <c r="H831" t="b">
        <f t="shared" si="102"/>
        <v>0</v>
      </c>
      <c r="I831">
        <f t="shared" si="103"/>
        <v>99</v>
      </c>
      <c r="J831" t="s">
        <v>25</v>
      </c>
      <c r="K831">
        <v>20260409</v>
      </c>
    </row>
    <row r="832" spans="1:11" x14ac:dyDescent="0.3">
      <c r="A832" s="4">
        <v>46122</v>
      </c>
      <c r="B832">
        <f t="shared" si="96"/>
        <v>2026</v>
      </c>
      <c r="C832">
        <f t="shared" si="97"/>
        <v>4</v>
      </c>
      <c r="D832" t="str">
        <f t="shared" si="98"/>
        <v>April</v>
      </c>
      <c r="E832">
        <f t="shared" si="99"/>
        <v>15</v>
      </c>
      <c r="F832">
        <f t="shared" si="100"/>
        <v>10</v>
      </c>
      <c r="G832" t="str">
        <f t="shared" si="101"/>
        <v>Friday</v>
      </c>
      <c r="H832" t="b">
        <f t="shared" si="102"/>
        <v>0</v>
      </c>
      <c r="I832">
        <f t="shared" si="103"/>
        <v>100</v>
      </c>
      <c r="J832" t="s">
        <v>25</v>
      </c>
      <c r="K832">
        <v>20260410</v>
      </c>
    </row>
    <row r="833" spans="1:11" x14ac:dyDescent="0.3">
      <c r="A833" s="4">
        <v>46123</v>
      </c>
      <c r="B833">
        <f t="shared" si="96"/>
        <v>2026</v>
      </c>
      <c r="C833">
        <f t="shared" si="97"/>
        <v>4</v>
      </c>
      <c r="D833" t="str">
        <f t="shared" si="98"/>
        <v>April</v>
      </c>
      <c r="E833">
        <f t="shared" si="99"/>
        <v>15</v>
      </c>
      <c r="F833">
        <f t="shared" si="100"/>
        <v>11</v>
      </c>
      <c r="G833" t="str">
        <f t="shared" si="101"/>
        <v>Saturday</v>
      </c>
      <c r="H833" t="b">
        <f t="shared" si="102"/>
        <v>1</v>
      </c>
      <c r="I833">
        <f t="shared" si="103"/>
        <v>101</v>
      </c>
      <c r="J833" t="s">
        <v>25</v>
      </c>
      <c r="K833">
        <v>20260411</v>
      </c>
    </row>
    <row r="834" spans="1:11" x14ac:dyDescent="0.3">
      <c r="A834" s="4">
        <v>46124</v>
      </c>
      <c r="B834">
        <f t="shared" si="96"/>
        <v>2026</v>
      </c>
      <c r="C834">
        <f t="shared" si="97"/>
        <v>4</v>
      </c>
      <c r="D834" t="str">
        <f t="shared" si="98"/>
        <v>April</v>
      </c>
      <c r="E834">
        <f t="shared" si="99"/>
        <v>16</v>
      </c>
      <c r="F834">
        <f t="shared" si="100"/>
        <v>12</v>
      </c>
      <c r="G834" t="str">
        <f t="shared" si="101"/>
        <v>Sunday</v>
      </c>
      <c r="H834" t="b">
        <f t="shared" si="102"/>
        <v>1</v>
      </c>
      <c r="I834">
        <f t="shared" si="103"/>
        <v>102</v>
      </c>
      <c r="J834" t="s">
        <v>25</v>
      </c>
      <c r="K834">
        <v>20260412</v>
      </c>
    </row>
    <row r="835" spans="1:11" x14ac:dyDescent="0.3">
      <c r="A835" s="4">
        <v>46125</v>
      </c>
      <c r="B835">
        <f t="shared" ref="B835:B898" si="104">YEAR(A835)</f>
        <v>2026</v>
      </c>
      <c r="C835">
        <f t="shared" ref="C835:C898" si="105">MONTH(A835)</f>
        <v>4</v>
      </c>
      <c r="D835" t="str">
        <f t="shared" ref="D835:D898" si="106">TEXT(A835,"mmmm")</f>
        <v>April</v>
      </c>
      <c r="E835">
        <f t="shared" ref="E835:E898" si="107">WEEKNUM(A835)</f>
        <v>16</v>
      </c>
      <c r="F835">
        <f t="shared" ref="F835:F898" si="108">DAY(A835)</f>
        <v>13</v>
      </c>
      <c r="G835" t="str">
        <f t="shared" ref="G835:G898" si="109">TEXT((A835),"dddd")</f>
        <v>Monday</v>
      </c>
      <c r="H835" t="b">
        <f t="shared" ref="H835:H898" si="110">IF(OR(G835="Saturday",G835="Sunday"),TRUE,FALSE)</f>
        <v>0</v>
      </c>
      <c r="I835">
        <f t="shared" ref="I835:I898" si="111">A835-DATE(YEAR(A835),1,1)+1</f>
        <v>103</v>
      </c>
      <c r="J835" t="s">
        <v>25</v>
      </c>
      <c r="K835">
        <v>20260413</v>
      </c>
    </row>
    <row r="836" spans="1:11" x14ac:dyDescent="0.3">
      <c r="A836" s="4">
        <v>46126</v>
      </c>
      <c r="B836">
        <f t="shared" si="104"/>
        <v>2026</v>
      </c>
      <c r="C836">
        <f t="shared" si="105"/>
        <v>4</v>
      </c>
      <c r="D836" t="str">
        <f t="shared" si="106"/>
        <v>April</v>
      </c>
      <c r="E836">
        <f t="shared" si="107"/>
        <v>16</v>
      </c>
      <c r="F836">
        <f t="shared" si="108"/>
        <v>14</v>
      </c>
      <c r="G836" t="str">
        <f t="shared" si="109"/>
        <v>Tuesday</v>
      </c>
      <c r="H836" t="b">
        <f t="shared" si="110"/>
        <v>0</v>
      </c>
      <c r="I836">
        <f t="shared" si="111"/>
        <v>104</v>
      </c>
      <c r="J836" t="s">
        <v>25</v>
      </c>
      <c r="K836">
        <v>20260414</v>
      </c>
    </row>
    <row r="837" spans="1:11" x14ac:dyDescent="0.3">
      <c r="A837" s="4">
        <v>46127</v>
      </c>
      <c r="B837">
        <f t="shared" si="104"/>
        <v>2026</v>
      </c>
      <c r="C837">
        <f t="shared" si="105"/>
        <v>4</v>
      </c>
      <c r="D837" t="str">
        <f t="shared" si="106"/>
        <v>April</v>
      </c>
      <c r="E837">
        <f t="shared" si="107"/>
        <v>16</v>
      </c>
      <c r="F837">
        <f t="shared" si="108"/>
        <v>15</v>
      </c>
      <c r="G837" t="str">
        <f t="shared" si="109"/>
        <v>Wednesday</v>
      </c>
      <c r="H837" t="b">
        <f t="shared" si="110"/>
        <v>0</v>
      </c>
      <c r="I837">
        <f t="shared" si="111"/>
        <v>105</v>
      </c>
      <c r="J837" t="s">
        <v>25</v>
      </c>
      <c r="K837">
        <v>20260415</v>
      </c>
    </row>
    <row r="838" spans="1:11" x14ac:dyDescent="0.3">
      <c r="A838" s="4">
        <v>46128</v>
      </c>
      <c r="B838">
        <f t="shared" si="104"/>
        <v>2026</v>
      </c>
      <c r="C838">
        <f t="shared" si="105"/>
        <v>4</v>
      </c>
      <c r="D838" t="str">
        <f t="shared" si="106"/>
        <v>April</v>
      </c>
      <c r="E838">
        <f t="shared" si="107"/>
        <v>16</v>
      </c>
      <c r="F838">
        <f t="shared" si="108"/>
        <v>16</v>
      </c>
      <c r="G838" t="str">
        <f t="shared" si="109"/>
        <v>Thursday</v>
      </c>
      <c r="H838" t="b">
        <f t="shared" si="110"/>
        <v>0</v>
      </c>
      <c r="I838">
        <f t="shared" si="111"/>
        <v>106</v>
      </c>
      <c r="J838" t="s">
        <v>25</v>
      </c>
      <c r="K838">
        <v>20260416</v>
      </c>
    </row>
    <row r="839" spans="1:11" x14ac:dyDescent="0.3">
      <c r="A839" s="4">
        <v>46129</v>
      </c>
      <c r="B839">
        <f t="shared" si="104"/>
        <v>2026</v>
      </c>
      <c r="C839">
        <f t="shared" si="105"/>
        <v>4</v>
      </c>
      <c r="D839" t="str">
        <f t="shared" si="106"/>
        <v>April</v>
      </c>
      <c r="E839">
        <f t="shared" si="107"/>
        <v>16</v>
      </c>
      <c r="F839">
        <f t="shared" si="108"/>
        <v>17</v>
      </c>
      <c r="G839" t="str">
        <f t="shared" si="109"/>
        <v>Friday</v>
      </c>
      <c r="H839" t="b">
        <f t="shared" si="110"/>
        <v>0</v>
      </c>
      <c r="I839">
        <f t="shared" si="111"/>
        <v>107</v>
      </c>
      <c r="J839" t="s">
        <v>25</v>
      </c>
      <c r="K839">
        <v>20260417</v>
      </c>
    </row>
    <row r="840" spans="1:11" x14ac:dyDescent="0.3">
      <c r="A840" s="4">
        <v>46130</v>
      </c>
      <c r="B840">
        <f t="shared" si="104"/>
        <v>2026</v>
      </c>
      <c r="C840">
        <f t="shared" si="105"/>
        <v>4</v>
      </c>
      <c r="D840" t="str">
        <f t="shared" si="106"/>
        <v>April</v>
      </c>
      <c r="E840">
        <f t="shared" si="107"/>
        <v>16</v>
      </c>
      <c r="F840">
        <f t="shared" si="108"/>
        <v>18</v>
      </c>
      <c r="G840" t="str">
        <f t="shared" si="109"/>
        <v>Saturday</v>
      </c>
      <c r="H840" t="b">
        <f t="shared" si="110"/>
        <v>1</v>
      </c>
      <c r="I840">
        <f t="shared" si="111"/>
        <v>108</v>
      </c>
      <c r="J840" t="s">
        <v>25</v>
      </c>
      <c r="K840">
        <v>20260418</v>
      </c>
    </row>
    <row r="841" spans="1:11" x14ac:dyDescent="0.3">
      <c r="A841" s="4">
        <v>46131</v>
      </c>
      <c r="B841">
        <f t="shared" si="104"/>
        <v>2026</v>
      </c>
      <c r="C841">
        <f t="shared" si="105"/>
        <v>4</v>
      </c>
      <c r="D841" t="str">
        <f t="shared" si="106"/>
        <v>April</v>
      </c>
      <c r="E841">
        <f t="shared" si="107"/>
        <v>17</v>
      </c>
      <c r="F841">
        <f t="shared" si="108"/>
        <v>19</v>
      </c>
      <c r="G841" t="str">
        <f t="shared" si="109"/>
        <v>Sunday</v>
      </c>
      <c r="H841" t="b">
        <f t="shared" si="110"/>
        <v>1</v>
      </c>
      <c r="I841">
        <f t="shared" si="111"/>
        <v>109</v>
      </c>
      <c r="J841" t="s">
        <v>25</v>
      </c>
      <c r="K841">
        <v>20260419</v>
      </c>
    </row>
    <row r="842" spans="1:11" x14ac:dyDescent="0.3">
      <c r="A842" s="4">
        <v>46132</v>
      </c>
      <c r="B842">
        <f t="shared" si="104"/>
        <v>2026</v>
      </c>
      <c r="C842">
        <f t="shared" si="105"/>
        <v>4</v>
      </c>
      <c r="D842" t="str">
        <f t="shared" si="106"/>
        <v>April</v>
      </c>
      <c r="E842">
        <f t="shared" si="107"/>
        <v>17</v>
      </c>
      <c r="F842">
        <f t="shared" si="108"/>
        <v>20</v>
      </c>
      <c r="G842" t="str">
        <f t="shared" si="109"/>
        <v>Monday</v>
      </c>
      <c r="H842" t="b">
        <f t="shared" si="110"/>
        <v>0</v>
      </c>
      <c r="I842">
        <f t="shared" si="111"/>
        <v>110</v>
      </c>
      <c r="J842" t="s">
        <v>25</v>
      </c>
      <c r="K842">
        <v>20260420</v>
      </c>
    </row>
    <row r="843" spans="1:11" x14ac:dyDescent="0.3">
      <c r="A843" s="4">
        <v>46133</v>
      </c>
      <c r="B843">
        <f t="shared" si="104"/>
        <v>2026</v>
      </c>
      <c r="C843">
        <f t="shared" si="105"/>
        <v>4</v>
      </c>
      <c r="D843" t="str">
        <f t="shared" si="106"/>
        <v>April</v>
      </c>
      <c r="E843">
        <f t="shared" si="107"/>
        <v>17</v>
      </c>
      <c r="F843">
        <f t="shared" si="108"/>
        <v>21</v>
      </c>
      <c r="G843" t="str">
        <f t="shared" si="109"/>
        <v>Tuesday</v>
      </c>
      <c r="H843" t="b">
        <f t="shared" si="110"/>
        <v>0</v>
      </c>
      <c r="I843">
        <f t="shared" si="111"/>
        <v>111</v>
      </c>
      <c r="J843" t="s">
        <v>25</v>
      </c>
      <c r="K843">
        <v>20260421</v>
      </c>
    </row>
    <row r="844" spans="1:11" x14ac:dyDescent="0.3">
      <c r="A844" s="4">
        <v>46134</v>
      </c>
      <c r="B844">
        <f t="shared" si="104"/>
        <v>2026</v>
      </c>
      <c r="C844">
        <f t="shared" si="105"/>
        <v>4</v>
      </c>
      <c r="D844" t="str">
        <f t="shared" si="106"/>
        <v>April</v>
      </c>
      <c r="E844">
        <f t="shared" si="107"/>
        <v>17</v>
      </c>
      <c r="F844">
        <f t="shared" si="108"/>
        <v>22</v>
      </c>
      <c r="G844" t="str">
        <f t="shared" si="109"/>
        <v>Wednesday</v>
      </c>
      <c r="H844" t="b">
        <f t="shared" si="110"/>
        <v>0</v>
      </c>
      <c r="I844">
        <f t="shared" si="111"/>
        <v>112</v>
      </c>
      <c r="J844" t="s">
        <v>25</v>
      </c>
      <c r="K844">
        <v>20260422</v>
      </c>
    </row>
    <row r="845" spans="1:11" x14ac:dyDescent="0.3">
      <c r="A845" s="4">
        <v>46135</v>
      </c>
      <c r="B845">
        <f t="shared" si="104"/>
        <v>2026</v>
      </c>
      <c r="C845">
        <f t="shared" si="105"/>
        <v>4</v>
      </c>
      <c r="D845" t="str">
        <f t="shared" si="106"/>
        <v>April</v>
      </c>
      <c r="E845">
        <f t="shared" si="107"/>
        <v>17</v>
      </c>
      <c r="F845">
        <f t="shared" si="108"/>
        <v>23</v>
      </c>
      <c r="G845" t="str">
        <f t="shared" si="109"/>
        <v>Thursday</v>
      </c>
      <c r="H845" t="b">
        <f t="shared" si="110"/>
        <v>0</v>
      </c>
      <c r="I845">
        <f t="shared" si="111"/>
        <v>113</v>
      </c>
      <c r="J845" t="s">
        <v>25</v>
      </c>
      <c r="K845">
        <v>20260423</v>
      </c>
    </row>
    <row r="846" spans="1:11" x14ac:dyDescent="0.3">
      <c r="A846" s="4">
        <v>46136</v>
      </c>
      <c r="B846">
        <f t="shared" si="104"/>
        <v>2026</v>
      </c>
      <c r="C846">
        <f t="shared" si="105"/>
        <v>4</v>
      </c>
      <c r="D846" t="str">
        <f t="shared" si="106"/>
        <v>April</v>
      </c>
      <c r="E846">
        <f t="shared" si="107"/>
        <v>17</v>
      </c>
      <c r="F846">
        <f t="shared" si="108"/>
        <v>24</v>
      </c>
      <c r="G846" t="str">
        <f t="shared" si="109"/>
        <v>Friday</v>
      </c>
      <c r="H846" t="b">
        <f t="shared" si="110"/>
        <v>0</v>
      </c>
      <c r="I846">
        <f t="shared" si="111"/>
        <v>114</v>
      </c>
      <c r="J846" t="s">
        <v>25</v>
      </c>
      <c r="K846">
        <v>20260424</v>
      </c>
    </row>
    <row r="847" spans="1:11" x14ac:dyDescent="0.3">
      <c r="A847" s="4">
        <v>46137</v>
      </c>
      <c r="B847">
        <f t="shared" si="104"/>
        <v>2026</v>
      </c>
      <c r="C847">
        <f t="shared" si="105"/>
        <v>4</v>
      </c>
      <c r="D847" t="str">
        <f t="shared" si="106"/>
        <v>April</v>
      </c>
      <c r="E847">
        <f t="shared" si="107"/>
        <v>17</v>
      </c>
      <c r="F847">
        <f t="shared" si="108"/>
        <v>25</v>
      </c>
      <c r="G847" t="str">
        <f t="shared" si="109"/>
        <v>Saturday</v>
      </c>
      <c r="H847" t="b">
        <f t="shared" si="110"/>
        <v>1</v>
      </c>
      <c r="I847">
        <f t="shared" si="111"/>
        <v>115</v>
      </c>
      <c r="J847" t="s">
        <v>25</v>
      </c>
      <c r="K847">
        <v>20260425</v>
      </c>
    </row>
    <row r="848" spans="1:11" x14ac:dyDescent="0.3">
      <c r="A848" s="4">
        <v>46138</v>
      </c>
      <c r="B848">
        <f t="shared" si="104"/>
        <v>2026</v>
      </c>
      <c r="C848">
        <f t="shared" si="105"/>
        <v>4</v>
      </c>
      <c r="D848" t="str">
        <f t="shared" si="106"/>
        <v>April</v>
      </c>
      <c r="E848">
        <f t="shared" si="107"/>
        <v>18</v>
      </c>
      <c r="F848">
        <f t="shared" si="108"/>
        <v>26</v>
      </c>
      <c r="G848" t="str">
        <f t="shared" si="109"/>
        <v>Sunday</v>
      </c>
      <c r="H848" t="b">
        <f t="shared" si="110"/>
        <v>1</v>
      </c>
      <c r="I848">
        <f t="shared" si="111"/>
        <v>116</v>
      </c>
      <c r="J848" t="s">
        <v>25</v>
      </c>
      <c r="K848">
        <v>20260426</v>
      </c>
    </row>
    <row r="849" spans="1:11" x14ac:dyDescent="0.3">
      <c r="A849" s="4">
        <v>46139</v>
      </c>
      <c r="B849">
        <f t="shared" si="104"/>
        <v>2026</v>
      </c>
      <c r="C849">
        <f t="shared" si="105"/>
        <v>4</v>
      </c>
      <c r="D849" t="str">
        <f t="shared" si="106"/>
        <v>April</v>
      </c>
      <c r="E849">
        <f t="shared" si="107"/>
        <v>18</v>
      </c>
      <c r="F849">
        <f t="shared" si="108"/>
        <v>27</v>
      </c>
      <c r="G849" t="str">
        <f t="shared" si="109"/>
        <v>Monday</v>
      </c>
      <c r="H849" t="b">
        <f t="shared" si="110"/>
        <v>0</v>
      </c>
      <c r="I849">
        <f t="shared" si="111"/>
        <v>117</v>
      </c>
      <c r="J849" t="s">
        <v>25</v>
      </c>
      <c r="K849">
        <v>20260427</v>
      </c>
    </row>
    <row r="850" spans="1:11" x14ac:dyDescent="0.3">
      <c r="A850" s="4">
        <v>46140</v>
      </c>
      <c r="B850">
        <f t="shared" si="104"/>
        <v>2026</v>
      </c>
      <c r="C850">
        <f t="shared" si="105"/>
        <v>4</v>
      </c>
      <c r="D850" t="str">
        <f t="shared" si="106"/>
        <v>April</v>
      </c>
      <c r="E850">
        <f t="shared" si="107"/>
        <v>18</v>
      </c>
      <c r="F850">
        <f t="shared" si="108"/>
        <v>28</v>
      </c>
      <c r="G850" t="str">
        <f t="shared" si="109"/>
        <v>Tuesday</v>
      </c>
      <c r="H850" t="b">
        <f t="shared" si="110"/>
        <v>0</v>
      </c>
      <c r="I850">
        <f t="shared" si="111"/>
        <v>118</v>
      </c>
      <c r="J850" t="s">
        <v>25</v>
      </c>
      <c r="K850">
        <v>20260428</v>
      </c>
    </row>
    <row r="851" spans="1:11" x14ac:dyDescent="0.3">
      <c r="A851" s="4">
        <v>46141</v>
      </c>
      <c r="B851">
        <f t="shared" si="104"/>
        <v>2026</v>
      </c>
      <c r="C851">
        <f t="shared" si="105"/>
        <v>4</v>
      </c>
      <c r="D851" t="str">
        <f t="shared" si="106"/>
        <v>April</v>
      </c>
      <c r="E851">
        <f t="shared" si="107"/>
        <v>18</v>
      </c>
      <c r="F851">
        <f t="shared" si="108"/>
        <v>29</v>
      </c>
      <c r="G851" t="str">
        <f t="shared" si="109"/>
        <v>Wednesday</v>
      </c>
      <c r="H851" t="b">
        <f t="shared" si="110"/>
        <v>0</v>
      </c>
      <c r="I851">
        <f t="shared" si="111"/>
        <v>119</v>
      </c>
      <c r="J851" t="s">
        <v>25</v>
      </c>
      <c r="K851">
        <v>20260429</v>
      </c>
    </row>
    <row r="852" spans="1:11" x14ac:dyDescent="0.3">
      <c r="A852" s="4">
        <v>46142</v>
      </c>
      <c r="B852">
        <f t="shared" si="104"/>
        <v>2026</v>
      </c>
      <c r="C852">
        <f t="shared" si="105"/>
        <v>4</v>
      </c>
      <c r="D852" t="str">
        <f t="shared" si="106"/>
        <v>April</v>
      </c>
      <c r="E852">
        <f t="shared" si="107"/>
        <v>18</v>
      </c>
      <c r="F852">
        <f t="shared" si="108"/>
        <v>30</v>
      </c>
      <c r="G852" t="str">
        <f t="shared" si="109"/>
        <v>Thursday</v>
      </c>
      <c r="H852" t="b">
        <f t="shared" si="110"/>
        <v>0</v>
      </c>
      <c r="I852">
        <f t="shared" si="111"/>
        <v>120</v>
      </c>
      <c r="J852" t="s">
        <v>25</v>
      </c>
      <c r="K852">
        <v>20260430</v>
      </c>
    </row>
    <row r="853" spans="1:11" x14ac:dyDescent="0.3">
      <c r="A853" s="4">
        <v>46143</v>
      </c>
      <c r="B853">
        <f t="shared" si="104"/>
        <v>2026</v>
      </c>
      <c r="C853">
        <f t="shared" si="105"/>
        <v>5</v>
      </c>
      <c r="D853" t="str">
        <f t="shared" si="106"/>
        <v>May</v>
      </c>
      <c r="E853">
        <f t="shared" si="107"/>
        <v>18</v>
      </c>
      <c r="F853">
        <f t="shared" si="108"/>
        <v>1</v>
      </c>
      <c r="G853" t="str">
        <f t="shared" si="109"/>
        <v>Friday</v>
      </c>
      <c r="H853" t="b">
        <f t="shared" si="110"/>
        <v>0</v>
      </c>
      <c r="I853">
        <f t="shared" si="111"/>
        <v>121</v>
      </c>
      <c r="J853" t="s">
        <v>28</v>
      </c>
      <c r="K853">
        <v>20260501</v>
      </c>
    </row>
    <row r="854" spans="1:11" x14ac:dyDescent="0.3">
      <c r="A854" s="4">
        <v>46144</v>
      </c>
      <c r="B854">
        <f t="shared" si="104"/>
        <v>2026</v>
      </c>
      <c r="C854">
        <f t="shared" si="105"/>
        <v>5</v>
      </c>
      <c r="D854" t="str">
        <f t="shared" si="106"/>
        <v>May</v>
      </c>
      <c r="E854">
        <f t="shared" si="107"/>
        <v>18</v>
      </c>
      <c r="F854">
        <f t="shared" si="108"/>
        <v>2</v>
      </c>
      <c r="G854" t="str">
        <f t="shared" si="109"/>
        <v>Saturday</v>
      </c>
      <c r="H854" t="b">
        <f t="shared" si="110"/>
        <v>1</v>
      </c>
      <c r="I854">
        <f t="shared" si="111"/>
        <v>122</v>
      </c>
      <c r="J854" t="s">
        <v>28</v>
      </c>
      <c r="K854">
        <v>20260502</v>
      </c>
    </row>
    <row r="855" spans="1:11" x14ac:dyDescent="0.3">
      <c r="A855" s="4">
        <v>46145</v>
      </c>
      <c r="B855">
        <f t="shared" si="104"/>
        <v>2026</v>
      </c>
      <c r="C855">
        <f t="shared" si="105"/>
        <v>5</v>
      </c>
      <c r="D855" t="str">
        <f t="shared" si="106"/>
        <v>May</v>
      </c>
      <c r="E855">
        <f t="shared" si="107"/>
        <v>19</v>
      </c>
      <c r="F855">
        <f t="shared" si="108"/>
        <v>3</v>
      </c>
      <c r="G855" t="str">
        <f t="shared" si="109"/>
        <v>Sunday</v>
      </c>
      <c r="H855" t="b">
        <f t="shared" si="110"/>
        <v>1</v>
      </c>
      <c r="I855">
        <f t="shared" si="111"/>
        <v>123</v>
      </c>
      <c r="J855" t="s">
        <v>28</v>
      </c>
      <c r="K855">
        <v>20260503</v>
      </c>
    </row>
    <row r="856" spans="1:11" x14ac:dyDescent="0.3">
      <c r="A856" s="4">
        <v>46146</v>
      </c>
      <c r="B856">
        <f t="shared" si="104"/>
        <v>2026</v>
      </c>
      <c r="C856">
        <f t="shared" si="105"/>
        <v>5</v>
      </c>
      <c r="D856" t="str">
        <f t="shared" si="106"/>
        <v>May</v>
      </c>
      <c r="E856">
        <f t="shared" si="107"/>
        <v>19</v>
      </c>
      <c r="F856">
        <f t="shared" si="108"/>
        <v>4</v>
      </c>
      <c r="G856" t="str">
        <f t="shared" si="109"/>
        <v>Monday</v>
      </c>
      <c r="H856" t="b">
        <f t="shared" si="110"/>
        <v>0</v>
      </c>
      <c r="I856">
        <f t="shared" si="111"/>
        <v>124</v>
      </c>
      <c r="J856" t="s">
        <v>28</v>
      </c>
      <c r="K856">
        <v>20260504</v>
      </c>
    </row>
    <row r="857" spans="1:11" x14ac:dyDescent="0.3">
      <c r="A857" s="4">
        <v>46147</v>
      </c>
      <c r="B857">
        <f t="shared" si="104"/>
        <v>2026</v>
      </c>
      <c r="C857">
        <f t="shared" si="105"/>
        <v>5</v>
      </c>
      <c r="D857" t="str">
        <f t="shared" si="106"/>
        <v>May</v>
      </c>
      <c r="E857">
        <f t="shared" si="107"/>
        <v>19</v>
      </c>
      <c r="F857">
        <f t="shared" si="108"/>
        <v>5</v>
      </c>
      <c r="G857" t="str">
        <f t="shared" si="109"/>
        <v>Tuesday</v>
      </c>
      <c r="H857" t="b">
        <f t="shared" si="110"/>
        <v>0</v>
      </c>
      <c r="I857">
        <f t="shared" si="111"/>
        <v>125</v>
      </c>
      <c r="J857" t="s">
        <v>28</v>
      </c>
      <c r="K857">
        <v>20260505</v>
      </c>
    </row>
    <row r="858" spans="1:11" x14ac:dyDescent="0.3">
      <c r="A858" s="4">
        <v>46148</v>
      </c>
      <c r="B858">
        <f t="shared" si="104"/>
        <v>2026</v>
      </c>
      <c r="C858">
        <f t="shared" si="105"/>
        <v>5</v>
      </c>
      <c r="D858" t="str">
        <f t="shared" si="106"/>
        <v>May</v>
      </c>
      <c r="E858">
        <f t="shared" si="107"/>
        <v>19</v>
      </c>
      <c r="F858">
        <f t="shared" si="108"/>
        <v>6</v>
      </c>
      <c r="G858" t="str">
        <f t="shared" si="109"/>
        <v>Wednesday</v>
      </c>
      <c r="H858" t="b">
        <f t="shared" si="110"/>
        <v>0</v>
      </c>
      <c r="I858">
        <f t="shared" si="111"/>
        <v>126</v>
      </c>
      <c r="J858" t="s">
        <v>28</v>
      </c>
      <c r="K858">
        <v>20260506</v>
      </c>
    </row>
    <row r="859" spans="1:11" x14ac:dyDescent="0.3">
      <c r="A859" s="4">
        <v>46149</v>
      </c>
      <c r="B859">
        <f t="shared" si="104"/>
        <v>2026</v>
      </c>
      <c r="C859">
        <f t="shared" si="105"/>
        <v>5</v>
      </c>
      <c r="D859" t="str">
        <f t="shared" si="106"/>
        <v>May</v>
      </c>
      <c r="E859">
        <f t="shared" si="107"/>
        <v>19</v>
      </c>
      <c r="F859">
        <f t="shared" si="108"/>
        <v>7</v>
      </c>
      <c r="G859" t="str">
        <f t="shared" si="109"/>
        <v>Thursday</v>
      </c>
      <c r="H859" t="b">
        <f t="shared" si="110"/>
        <v>0</v>
      </c>
      <c r="I859">
        <f t="shared" si="111"/>
        <v>127</v>
      </c>
      <c r="J859" t="s">
        <v>28</v>
      </c>
      <c r="K859">
        <v>20260507</v>
      </c>
    </row>
    <row r="860" spans="1:11" x14ac:dyDescent="0.3">
      <c r="A860" s="4">
        <v>46150</v>
      </c>
      <c r="B860">
        <f t="shared" si="104"/>
        <v>2026</v>
      </c>
      <c r="C860">
        <f t="shared" si="105"/>
        <v>5</v>
      </c>
      <c r="D860" t="str">
        <f t="shared" si="106"/>
        <v>May</v>
      </c>
      <c r="E860">
        <f t="shared" si="107"/>
        <v>19</v>
      </c>
      <c r="F860">
        <f t="shared" si="108"/>
        <v>8</v>
      </c>
      <c r="G860" t="str">
        <f t="shared" si="109"/>
        <v>Friday</v>
      </c>
      <c r="H860" t="b">
        <f t="shared" si="110"/>
        <v>0</v>
      </c>
      <c r="I860">
        <f t="shared" si="111"/>
        <v>128</v>
      </c>
      <c r="J860" t="s">
        <v>28</v>
      </c>
      <c r="K860">
        <v>20260508</v>
      </c>
    </row>
    <row r="861" spans="1:11" x14ac:dyDescent="0.3">
      <c r="A861" s="4">
        <v>46151</v>
      </c>
      <c r="B861">
        <f t="shared" si="104"/>
        <v>2026</v>
      </c>
      <c r="C861">
        <f t="shared" si="105"/>
        <v>5</v>
      </c>
      <c r="D861" t="str">
        <f t="shared" si="106"/>
        <v>May</v>
      </c>
      <c r="E861">
        <f t="shared" si="107"/>
        <v>19</v>
      </c>
      <c r="F861">
        <f t="shared" si="108"/>
        <v>9</v>
      </c>
      <c r="G861" t="str">
        <f t="shared" si="109"/>
        <v>Saturday</v>
      </c>
      <c r="H861" t="b">
        <f t="shared" si="110"/>
        <v>1</v>
      </c>
      <c r="I861">
        <f t="shared" si="111"/>
        <v>129</v>
      </c>
      <c r="J861" t="s">
        <v>28</v>
      </c>
      <c r="K861">
        <v>20260509</v>
      </c>
    </row>
    <row r="862" spans="1:11" x14ac:dyDescent="0.3">
      <c r="A862" s="4">
        <v>46152</v>
      </c>
      <c r="B862">
        <f t="shared" si="104"/>
        <v>2026</v>
      </c>
      <c r="C862">
        <f t="shared" si="105"/>
        <v>5</v>
      </c>
      <c r="D862" t="str">
        <f t="shared" si="106"/>
        <v>May</v>
      </c>
      <c r="E862">
        <f t="shared" si="107"/>
        <v>20</v>
      </c>
      <c r="F862">
        <f t="shared" si="108"/>
        <v>10</v>
      </c>
      <c r="G862" t="str">
        <f t="shared" si="109"/>
        <v>Sunday</v>
      </c>
      <c r="H862" t="b">
        <f t="shared" si="110"/>
        <v>1</v>
      </c>
      <c r="I862">
        <f t="shared" si="111"/>
        <v>130</v>
      </c>
      <c r="J862" t="s">
        <v>28</v>
      </c>
      <c r="K862">
        <v>20260510</v>
      </c>
    </row>
    <row r="863" spans="1:11" x14ac:dyDescent="0.3">
      <c r="A863" s="4">
        <v>46153</v>
      </c>
      <c r="B863">
        <f t="shared" si="104"/>
        <v>2026</v>
      </c>
      <c r="C863">
        <f t="shared" si="105"/>
        <v>5</v>
      </c>
      <c r="D863" t="str">
        <f t="shared" si="106"/>
        <v>May</v>
      </c>
      <c r="E863">
        <f t="shared" si="107"/>
        <v>20</v>
      </c>
      <c r="F863">
        <f t="shared" si="108"/>
        <v>11</v>
      </c>
      <c r="G863" t="str">
        <f t="shared" si="109"/>
        <v>Monday</v>
      </c>
      <c r="H863" t="b">
        <f t="shared" si="110"/>
        <v>0</v>
      </c>
      <c r="I863">
        <f t="shared" si="111"/>
        <v>131</v>
      </c>
      <c r="J863" t="s">
        <v>28</v>
      </c>
      <c r="K863">
        <v>20260511</v>
      </c>
    </row>
    <row r="864" spans="1:11" x14ac:dyDescent="0.3">
      <c r="A864" s="4">
        <v>46154</v>
      </c>
      <c r="B864">
        <f t="shared" si="104"/>
        <v>2026</v>
      </c>
      <c r="C864">
        <f t="shared" si="105"/>
        <v>5</v>
      </c>
      <c r="D864" t="str">
        <f t="shared" si="106"/>
        <v>May</v>
      </c>
      <c r="E864">
        <f t="shared" si="107"/>
        <v>20</v>
      </c>
      <c r="F864">
        <f t="shared" si="108"/>
        <v>12</v>
      </c>
      <c r="G864" t="str">
        <f t="shared" si="109"/>
        <v>Tuesday</v>
      </c>
      <c r="H864" t="b">
        <f t="shared" si="110"/>
        <v>0</v>
      </c>
      <c r="I864">
        <f t="shared" si="111"/>
        <v>132</v>
      </c>
      <c r="J864" t="s">
        <v>28</v>
      </c>
      <c r="K864">
        <v>20260512</v>
      </c>
    </row>
    <row r="865" spans="1:11" x14ac:dyDescent="0.3">
      <c r="A865" s="4">
        <v>46155</v>
      </c>
      <c r="B865">
        <f t="shared" si="104"/>
        <v>2026</v>
      </c>
      <c r="C865">
        <f t="shared" si="105"/>
        <v>5</v>
      </c>
      <c r="D865" t="str">
        <f t="shared" si="106"/>
        <v>May</v>
      </c>
      <c r="E865">
        <f t="shared" si="107"/>
        <v>20</v>
      </c>
      <c r="F865">
        <f t="shared" si="108"/>
        <v>13</v>
      </c>
      <c r="G865" t="str">
        <f t="shared" si="109"/>
        <v>Wednesday</v>
      </c>
      <c r="H865" t="b">
        <f t="shared" si="110"/>
        <v>0</v>
      </c>
      <c r="I865">
        <f t="shared" si="111"/>
        <v>133</v>
      </c>
      <c r="J865" t="s">
        <v>28</v>
      </c>
      <c r="K865">
        <v>20260513</v>
      </c>
    </row>
    <row r="866" spans="1:11" x14ac:dyDescent="0.3">
      <c r="A866" s="4">
        <v>46156</v>
      </c>
      <c r="B866">
        <f t="shared" si="104"/>
        <v>2026</v>
      </c>
      <c r="C866">
        <f t="shared" si="105"/>
        <v>5</v>
      </c>
      <c r="D866" t="str">
        <f t="shared" si="106"/>
        <v>May</v>
      </c>
      <c r="E866">
        <f t="shared" si="107"/>
        <v>20</v>
      </c>
      <c r="F866">
        <f t="shared" si="108"/>
        <v>14</v>
      </c>
      <c r="G866" t="str">
        <f t="shared" si="109"/>
        <v>Thursday</v>
      </c>
      <c r="H866" t="b">
        <f t="shared" si="110"/>
        <v>0</v>
      </c>
      <c r="I866">
        <f t="shared" si="111"/>
        <v>134</v>
      </c>
      <c r="J866" t="s">
        <v>28</v>
      </c>
      <c r="K866">
        <v>20260514</v>
      </c>
    </row>
    <row r="867" spans="1:11" x14ac:dyDescent="0.3">
      <c r="A867" s="4">
        <v>46157</v>
      </c>
      <c r="B867">
        <f t="shared" si="104"/>
        <v>2026</v>
      </c>
      <c r="C867">
        <f t="shared" si="105"/>
        <v>5</v>
      </c>
      <c r="D867" t="str">
        <f t="shared" si="106"/>
        <v>May</v>
      </c>
      <c r="E867">
        <f t="shared" si="107"/>
        <v>20</v>
      </c>
      <c r="F867">
        <f t="shared" si="108"/>
        <v>15</v>
      </c>
      <c r="G867" t="str">
        <f t="shared" si="109"/>
        <v>Friday</v>
      </c>
      <c r="H867" t="b">
        <f t="shared" si="110"/>
        <v>0</v>
      </c>
      <c r="I867">
        <f t="shared" si="111"/>
        <v>135</v>
      </c>
      <c r="J867" t="s">
        <v>28</v>
      </c>
      <c r="K867">
        <v>20260515</v>
      </c>
    </row>
    <row r="868" spans="1:11" x14ac:dyDescent="0.3">
      <c r="A868" s="4">
        <v>46158</v>
      </c>
      <c r="B868">
        <f t="shared" si="104"/>
        <v>2026</v>
      </c>
      <c r="C868">
        <f t="shared" si="105"/>
        <v>5</v>
      </c>
      <c r="D868" t="str">
        <f t="shared" si="106"/>
        <v>May</v>
      </c>
      <c r="E868">
        <f t="shared" si="107"/>
        <v>20</v>
      </c>
      <c r="F868">
        <f t="shared" si="108"/>
        <v>16</v>
      </c>
      <c r="G868" t="str">
        <f t="shared" si="109"/>
        <v>Saturday</v>
      </c>
      <c r="H868" t="b">
        <f t="shared" si="110"/>
        <v>1</v>
      </c>
      <c r="I868">
        <f t="shared" si="111"/>
        <v>136</v>
      </c>
      <c r="J868" t="s">
        <v>28</v>
      </c>
      <c r="K868">
        <v>20260516</v>
      </c>
    </row>
    <row r="869" spans="1:11" x14ac:dyDescent="0.3">
      <c r="A869" s="4">
        <v>46159</v>
      </c>
      <c r="B869">
        <f t="shared" si="104"/>
        <v>2026</v>
      </c>
      <c r="C869">
        <f t="shared" si="105"/>
        <v>5</v>
      </c>
      <c r="D869" t="str">
        <f t="shared" si="106"/>
        <v>May</v>
      </c>
      <c r="E869">
        <f t="shared" si="107"/>
        <v>21</v>
      </c>
      <c r="F869">
        <f t="shared" si="108"/>
        <v>17</v>
      </c>
      <c r="G869" t="str">
        <f t="shared" si="109"/>
        <v>Sunday</v>
      </c>
      <c r="H869" t="b">
        <f t="shared" si="110"/>
        <v>1</v>
      </c>
      <c r="I869">
        <f t="shared" si="111"/>
        <v>137</v>
      </c>
      <c r="J869" t="s">
        <v>28</v>
      </c>
      <c r="K869">
        <v>20260517</v>
      </c>
    </row>
    <row r="870" spans="1:11" x14ac:dyDescent="0.3">
      <c r="A870" s="4">
        <v>46160</v>
      </c>
      <c r="B870">
        <f t="shared" si="104"/>
        <v>2026</v>
      </c>
      <c r="C870">
        <f t="shared" si="105"/>
        <v>5</v>
      </c>
      <c r="D870" t="str">
        <f t="shared" si="106"/>
        <v>May</v>
      </c>
      <c r="E870">
        <f t="shared" si="107"/>
        <v>21</v>
      </c>
      <c r="F870">
        <f t="shared" si="108"/>
        <v>18</v>
      </c>
      <c r="G870" t="str">
        <f t="shared" si="109"/>
        <v>Monday</v>
      </c>
      <c r="H870" t="b">
        <f t="shared" si="110"/>
        <v>0</v>
      </c>
      <c r="I870">
        <f t="shared" si="111"/>
        <v>138</v>
      </c>
      <c r="J870" t="s">
        <v>28</v>
      </c>
      <c r="K870">
        <v>20260518</v>
      </c>
    </row>
    <row r="871" spans="1:11" x14ac:dyDescent="0.3">
      <c r="A871" s="4">
        <v>46161</v>
      </c>
      <c r="B871">
        <f t="shared" si="104"/>
        <v>2026</v>
      </c>
      <c r="C871">
        <f t="shared" si="105"/>
        <v>5</v>
      </c>
      <c r="D871" t="str">
        <f t="shared" si="106"/>
        <v>May</v>
      </c>
      <c r="E871">
        <f t="shared" si="107"/>
        <v>21</v>
      </c>
      <c r="F871">
        <f t="shared" si="108"/>
        <v>19</v>
      </c>
      <c r="G871" t="str">
        <f t="shared" si="109"/>
        <v>Tuesday</v>
      </c>
      <c r="H871" t="b">
        <f t="shared" si="110"/>
        <v>0</v>
      </c>
      <c r="I871">
        <f t="shared" si="111"/>
        <v>139</v>
      </c>
      <c r="J871" t="s">
        <v>28</v>
      </c>
      <c r="K871">
        <v>20260519</v>
      </c>
    </row>
    <row r="872" spans="1:11" x14ac:dyDescent="0.3">
      <c r="A872" s="4">
        <v>46162</v>
      </c>
      <c r="B872">
        <f t="shared" si="104"/>
        <v>2026</v>
      </c>
      <c r="C872">
        <f t="shared" si="105"/>
        <v>5</v>
      </c>
      <c r="D872" t="str">
        <f t="shared" si="106"/>
        <v>May</v>
      </c>
      <c r="E872">
        <f t="shared" si="107"/>
        <v>21</v>
      </c>
      <c r="F872">
        <f t="shared" si="108"/>
        <v>20</v>
      </c>
      <c r="G872" t="str">
        <f t="shared" si="109"/>
        <v>Wednesday</v>
      </c>
      <c r="H872" t="b">
        <f t="shared" si="110"/>
        <v>0</v>
      </c>
      <c r="I872">
        <f t="shared" si="111"/>
        <v>140</v>
      </c>
      <c r="J872" t="s">
        <v>28</v>
      </c>
      <c r="K872">
        <v>20260520</v>
      </c>
    </row>
    <row r="873" spans="1:11" x14ac:dyDescent="0.3">
      <c r="A873" s="4">
        <v>46163</v>
      </c>
      <c r="B873">
        <f t="shared" si="104"/>
        <v>2026</v>
      </c>
      <c r="C873">
        <f t="shared" si="105"/>
        <v>5</v>
      </c>
      <c r="D873" t="str">
        <f t="shared" si="106"/>
        <v>May</v>
      </c>
      <c r="E873">
        <f t="shared" si="107"/>
        <v>21</v>
      </c>
      <c r="F873">
        <f t="shared" si="108"/>
        <v>21</v>
      </c>
      <c r="G873" t="str">
        <f t="shared" si="109"/>
        <v>Thursday</v>
      </c>
      <c r="H873" t="b">
        <f t="shared" si="110"/>
        <v>0</v>
      </c>
      <c r="I873">
        <f t="shared" si="111"/>
        <v>141</v>
      </c>
      <c r="J873" t="s">
        <v>28</v>
      </c>
      <c r="K873">
        <v>20260521</v>
      </c>
    </row>
    <row r="874" spans="1:11" x14ac:dyDescent="0.3">
      <c r="A874" s="4">
        <v>46164</v>
      </c>
      <c r="B874">
        <f t="shared" si="104"/>
        <v>2026</v>
      </c>
      <c r="C874">
        <f t="shared" si="105"/>
        <v>5</v>
      </c>
      <c r="D874" t="str">
        <f t="shared" si="106"/>
        <v>May</v>
      </c>
      <c r="E874">
        <f t="shared" si="107"/>
        <v>21</v>
      </c>
      <c r="F874">
        <f t="shared" si="108"/>
        <v>22</v>
      </c>
      <c r="G874" t="str">
        <f t="shared" si="109"/>
        <v>Friday</v>
      </c>
      <c r="H874" t="b">
        <f t="shared" si="110"/>
        <v>0</v>
      </c>
      <c r="I874">
        <f t="shared" si="111"/>
        <v>142</v>
      </c>
      <c r="J874" t="s">
        <v>28</v>
      </c>
      <c r="K874">
        <v>20260522</v>
      </c>
    </row>
    <row r="875" spans="1:11" x14ac:dyDescent="0.3">
      <c r="A875" s="4">
        <v>46165</v>
      </c>
      <c r="B875">
        <f t="shared" si="104"/>
        <v>2026</v>
      </c>
      <c r="C875">
        <f t="shared" si="105"/>
        <v>5</v>
      </c>
      <c r="D875" t="str">
        <f t="shared" si="106"/>
        <v>May</v>
      </c>
      <c r="E875">
        <f t="shared" si="107"/>
        <v>21</v>
      </c>
      <c r="F875">
        <f t="shared" si="108"/>
        <v>23</v>
      </c>
      <c r="G875" t="str">
        <f t="shared" si="109"/>
        <v>Saturday</v>
      </c>
      <c r="H875" t="b">
        <f t="shared" si="110"/>
        <v>1</v>
      </c>
      <c r="I875">
        <f t="shared" si="111"/>
        <v>143</v>
      </c>
      <c r="J875" t="s">
        <v>28</v>
      </c>
      <c r="K875">
        <v>20260523</v>
      </c>
    </row>
    <row r="876" spans="1:11" x14ac:dyDescent="0.3">
      <c r="A876" s="4">
        <v>46166</v>
      </c>
      <c r="B876">
        <f t="shared" si="104"/>
        <v>2026</v>
      </c>
      <c r="C876">
        <f t="shared" si="105"/>
        <v>5</v>
      </c>
      <c r="D876" t="str">
        <f t="shared" si="106"/>
        <v>May</v>
      </c>
      <c r="E876">
        <f t="shared" si="107"/>
        <v>22</v>
      </c>
      <c r="F876">
        <f t="shared" si="108"/>
        <v>24</v>
      </c>
      <c r="G876" t="str">
        <f t="shared" si="109"/>
        <v>Sunday</v>
      </c>
      <c r="H876" t="b">
        <f t="shared" si="110"/>
        <v>1</v>
      </c>
      <c r="I876">
        <f t="shared" si="111"/>
        <v>144</v>
      </c>
      <c r="J876" t="s">
        <v>28</v>
      </c>
      <c r="K876">
        <v>20260524</v>
      </c>
    </row>
    <row r="877" spans="1:11" x14ac:dyDescent="0.3">
      <c r="A877" s="4">
        <v>46167</v>
      </c>
      <c r="B877">
        <f t="shared" si="104"/>
        <v>2026</v>
      </c>
      <c r="C877">
        <f t="shared" si="105"/>
        <v>5</v>
      </c>
      <c r="D877" t="str">
        <f t="shared" si="106"/>
        <v>May</v>
      </c>
      <c r="E877">
        <f t="shared" si="107"/>
        <v>22</v>
      </c>
      <c r="F877">
        <f t="shared" si="108"/>
        <v>25</v>
      </c>
      <c r="G877" t="str">
        <f t="shared" si="109"/>
        <v>Monday</v>
      </c>
      <c r="H877" t="b">
        <f t="shared" si="110"/>
        <v>0</v>
      </c>
      <c r="I877">
        <f t="shared" si="111"/>
        <v>145</v>
      </c>
      <c r="J877" t="s">
        <v>28</v>
      </c>
      <c r="K877">
        <v>20260525</v>
      </c>
    </row>
    <row r="878" spans="1:11" x14ac:dyDescent="0.3">
      <c r="A878" s="4">
        <v>46168</v>
      </c>
      <c r="B878">
        <f t="shared" si="104"/>
        <v>2026</v>
      </c>
      <c r="C878">
        <f t="shared" si="105"/>
        <v>5</v>
      </c>
      <c r="D878" t="str">
        <f t="shared" si="106"/>
        <v>May</v>
      </c>
      <c r="E878">
        <f t="shared" si="107"/>
        <v>22</v>
      </c>
      <c r="F878">
        <f t="shared" si="108"/>
        <v>26</v>
      </c>
      <c r="G878" t="str">
        <f t="shared" si="109"/>
        <v>Tuesday</v>
      </c>
      <c r="H878" t="b">
        <f t="shared" si="110"/>
        <v>0</v>
      </c>
      <c r="I878">
        <f t="shared" si="111"/>
        <v>146</v>
      </c>
      <c r="J878" t="s">
        <v>28</v>
      </c>
      <c r="K878">
        <v>20260526</v>
      </c>
    </row>
    <row r="879" spans="1:11" x14ac:dyDescent="0.3">
      <c r="A879" s="4">
        <v>46169</v>
      </c>
      <c r="B879">
        <f t="shared" si="104"/>
        <v>2026</v>
      </c>
      <c r="C879">
        <f t="shared" si="105"/>
        <v>5</v>
      </c>
      <c r="D879" t="str">
        <f t="shared" si="106"/>
        <v>May</v>
      </c>
      <c r="E879">
        <f t="shared" si="107"/>
        <v>22</v>
      </c>
      <c r="F879">
        <f t="shared" si="108"/>
        <v>27</v>
      </c>
      <c r="G879" t="str">
        <f t="shared" si="109"/>
        <v>Wednesday</v>
      </c>
      <c r="H879" t="b">
        <f t="shared" si="110"/>
        <v>0</v>
      </c>
      <c r="I879">
        <f t="shared" si="111"/>
        <v>147</v>
      </c>
      <c r="J879" t="s">
        <v>28</v>
      </c>
      <c r="K879">
        <v>20260527</v>
      </c>
    </row>
    <row r="880" spans="1:11" x14ac:dyDescent="0.3">
      <c r="A880" s="4">
        <v>46170</v>
      </c>
      <c r="B880">
        <f t="shared" si="104"/>
        <v>2026</v>
      </c>
      <c r="C880">
        <f t="shared" si="105"/>
        <v>5</v>
      </c>
      <c r="D880" t="str">
        <f t="shared" si="106"/>
        <v>May</v>
      </c>
      <c r="E880">
        <f t="shared" si="107"/>
        <v>22</v>
      </c>
      <c r="F880">
        <f t="shared" si="108"/>
        <v>28</v>
      </c>
      <c r="G880" t="str">
        <f t="shared" si="109"/>
        <v>Thursday</v>
      </c>
      <c r="H880" t="b">
        <f t="shared" si="110"/>
        <v>0</v>
      </c>
      <c r="I880">
        <f t="shared" si="111"/>
        <v>148</v>
      </c>
      <c r="J880" t="s">
        <v>28</v>
      </c>
      <c r="K880">
        <v>20260528</v>
      </c>
    </row>
    <row r="881" spans="1:11" x14ac:dyDescent="0.3">
      <c r="A881" s="4">
        <v>46171</v>
      </c>
      <c r="B881">
        <f t="shared" si="104"/>
        <v>2026</v>
      </c>
      <c r="C881">
        <f t="shared" si="105"/>
        <v>5</v>
      </c>
      <c r="D881" t="str">
        <f t="shared" si="106"/>
        <v>May</v>
      </c>
      <c r="E881">
        <f t="shared" si="107"/>
        <v>22</v>
      </c>
      <c r="F881">
        <f t="shared" si="108"/>
        <v>29</v>
      </c>
      <c r="G881" t="str">
        <f t="shared" si="109"/>
        <v>Friday</v>
      </c>
      <c r="H881" t="b">
        <f t="shared" si="110"/>
        <v>0</v>
      </c>
      <c r="I881">
        <f t="shared" si="111"/>
        <v>149</v>
      </c>
      <c r="J881" t="s">
        <v>28</v>
      </c>
      <c r="K881">
        <v>20260529</v>
      </c>
    </row>
    <row r="882" spans="1:11" x14ac:dyDescent="0.3">
      <c r="A882" s="4">
        <v>46172</v>
      </c>
      <c r="B882">
        <f t="shared" si="104"/>
        <v>2026</v>
      </c>
      <c r="C882">
        <f t="shared" si="105"/>
        <v>5</v>
      </c>
      <c r="D882" t="str">
        <f t="shared" si="106"/>
        <v>May</v>
      </c>
      <c r="E882">
        <f t="shared" si="107"/>
        <v>22</v>
      </c>
      <c r="F882">
        <f t="shared" si="108"/>
        <v>30</v>
      </c>
      <c r="G882" t="str">
        <f t="shared" si="109"/>
        <v>Saturday</v>
      </c>
      <c r="H882" t="b">
        <f t="shared" si="110"/>
        <v>1</v>
      </c>
      <c r="I882">
        <f t="shared" si="111"/>
        <v>150</v>
      </c>
      <c r="J882" t="s">
        <v>28</v>
      </c>
      <c r="K882">
        <v>20260530</v>
      </c>
    </row>
    <row r="883" spans="1:11" x14ac:dyDescent="0.3">
      <c r="A883" s="4">
        <v>46173</v>
      </c>
      <c r="B883">
        <f t="shared" si="104"/>
        <v>2026</v>
      </c>
      <c r="C883">
        <f t="shared" si="105"/>
        <v>5</v>
      </c>
      <c r="D883" t="str">
        <f t="shared" si="106"/>
        <v>May</v>
      </c>
      <c r="E883">
        <f t="shared" si="107"/>
        <v>23</v>
      </c>
      <c r="F883">
        <f t="shared" si="108"/>
        <v>31</v>
      </c>
      <c r="G883" t="str">
        <f t="shared" si="109"/>
        <v>Sunday</v>
      </c>
      <c r="H883" t="b">
        <f t="shared" si="110"/>
        <v>1</v>
      </c>
      <c r="I883">
        <f t="shared" si="111"/>
        <v>151</v>
      </c>
      <c r="J883" t="s">
        <v>28</v>
      </c>
      <c r="K883">
        <v>20260531</v>
      </c>
    </row>
    <row r="884" spans="1:11" x14ac:dyDescent="0.3">
      <c r="A884" s="4">
        <v>46174</v>
      </c>
      <c r="B884">
        <f t="shared" si="104"/>
        <v>2026</v>
      </c>
      <c r="C884">
        <f t="shared" si="105"/>
        <v>6</v>
      </c>
      <c r="D884" t="str">
        <f t="shared" si="106"/>
        <v>June</v>
      </c>
      <c r="E884">
        <f t="shared" si="107"/>
        <v>23</v>
      </c>
      <c r="F884">
        <f t="shared" si="108"/>
        <v>1</v>
      </c>
      <c r="G884" t="str">
        <f t="shared" si="109"/>
        <v>Monday</v>
      </c>
      <c r="H884" t="b">
        <f t="shared" si="110"/>
        <v>0</v>
      </c>
      <c r="I884">
        <f t="shared" si="111"/>
        <v>152</v>
      </c>
      <c r="J884" t="s">
        <v>28</v>
      </c>
      <c r="K884">
        <v>20260601</v>
      </c>
    </row>
    <row r="885" spans="1:11" x14ac:dyDescent="0.3">
      <c r="A885" s="4">
        <v>46175</v>
      </c>
      <c r="B885">
        <f t="shared" si="104"/>
        <v>2026</v>
      </c>
      <c r="C885">
        <f t="shared" si="105"/>
        <v>6</v>
      </c>
      <c r="D885" t="str">
        <f t="shared" si="106"/>
        <v>June</v>
      </c>
      <c r="E885">
        <f t="shared" si="107"/>
        <v>23</v>
      </c>
      <c r="F885">
        <f t="shared" si="108"/>
        <v>2</v>
      </c>
      <c r="G885" t="str">
        <f t="shared" si="109"/>
        <v>Tuesday</v>
      </c>
      <c r="H885" t="b">
        <f t="shared" si="110"/>
        <v>0</v>
      </c>
      <c r="I885">
        <f t="shared" si="111"/>
        <v>153</v>
      </c>
      <c r="J885" t="s">
        <v>28</v>
      </c>
      <c r="K885">
        <v>20260602</v>
      </c>
    </row>
    <row r="886" spans="1:11" x14ac:dyDescent="0.3">
      <c r="A886" s="4">
        <v>46176</v>
      </c>
      <c r="B886">
        <f t="shared" si="104"/>
        <v>2026</v>
      </c>
      <c r="C886">
        <f t="shared" si="105"/>
        <v>6</v>
      </c>
      <c r="D886" t="str">
        <f t="shared" si="106"/>
        <v>June</v>
      </c>
      <c r="E886">
        <f t="shared" si="107"/>
        <v>23</v>
      </c>
      <c r="F886">
        <f t="shared" si="108"/>
        <v>3</v>
      </c>
      <c r="G886" t="str">
        <f t="shared" si="109"/>
        <v>Wednesday</v>
      </c>
      <c r="H886" t="b">
        <f t="shared" si="110"/>
        <v>0</v>
      </c>
      <c r="I886">
        <f t="shared" si="111"/>
        <v>154</v>
      </c>
      <c r="J886" t="s">
        <v>28</v>
      </c>
      <c r="K886">
        <v>20260603</v>
      </c>
    </row>
    <row r="887" spans="1:11" x14ac:dyDescent="0.3">
      <c r="A887" s="4">
        <v>46177</v>
      </c>
      <c r="B887">
        <f t="shared" si="104"/>
        <v>2026</v>
      </c>
      <c r="C887">
        <f t="shared" si="105"/>
        <v>6</v>
      </c>
      <c r="D887" t="str">
        <f t="shared" si="106"/>
        <v>June</v>
      </c>
      <c r="E887">
        <f t="shared" si="107"/>
        <v>23</v>
      </c>
      <c r="F887">
        <f t="shared" si="108"/>
        <v>4</v>
      </c>
      <c r="G887" t="str">
        <f t="shared" si="109"/>
        <v>Thursday</v>
      </c>
      <c r="H887" t="b">
        <f t="shared" si="110"/>
        <v>0</v>
      </c>
      <c r="I887">
        <f t="shared" si="111"/>
        <v>155</v>
      </c>
      <c r="J887" t="s">
        <v>28</v>
      </c>
      <c r="K887">
        <v>20260604</v>
      </c>
    </row>
    <row r="888" spans="1:11" x14ac:dyDescent="0.3">
      <c r="A888" s="4">
        <v>46178</v>
      </c>
      <c r="B888">
        <f t="shared" si="104"/>
        <v>2026</v>
      </c>
      <c r="C888">
        <f t="shared" si="105"/>
        <v>6</v>
      </c>
      <c r="D888" t="str">
        <f t="shared" si="106"/>
        <v>June</v>
      </c>
      <c r="E888">
        <f t="shared" si="107"/>
        <v>23</v>
      </c>
      <c r="F888">
        <f t="shared" si="108"/>
        <v>5</v>
      </c>
      <c r="G888" t="str">
        <f t="shared" si="109"/>
        <v>Friday</v>
      </c>
      <c r="H888" t="b">
        <f t="shared" si="110"/>
        <v>0</v>
      </c>
      <c r="I888">
        <f t="shared" si="111"/>
        <v>156</v>
      </c>
      <c r="J888" t="s">
        <v>28</v>
      </c>
      <c r="K888">
        <v>20260605</v>
      </c>
    </row>
    <row r="889" spans="1:11" x14ac:dyDescent="0.3">
      <c r="A889" s="4">
        <v>46179</v>
      </c>
      <c r="B889">
        <f t="shared" si="104"/>
        <v>2026</v>
      </c>
      <c r="C889">
        <f t="shared" si="105"/>
        <v>6</v>
      </c>
      <c r="D889" t="str">
        <f t="shared" si="106"/>
        <v>June</v>
      </c>
      <c r="E889">
        <f t="shared" si="107"/>
        <v>23</v>
      </c>
      <c r="F889">
        <f t="shared" si="108"/>
        <v>6</v>
      </c>
      <c r="G889" t="str">
        <f t="shared" si="109"/>
        <v>Saturday</v>
      </c>
      <c r="H889" t="b">
        <f t="shared" si="110"/>
        <v>1</v>
      </c>
      <c r="I889">
        <f t="shared" si="111"/>
        <v>157</v>
      </c>
      <c r="J889" t="s">
        <v>28</v>
      </c>
      <c r="K889">
        <v>20260606</v>
      </c>
    </row>
    <row r="890" spans="1:11" x14ac:dyDescent="0.3">
      <c r="A890" s="4">
        <v>46180</v>
      </c>
      <c r="B890">
        <f t="shared" si="104"/>
        <v>2026</v>
      </c>
      <c r="C890">
        <f t="shared" si="105"/>
        <v>6</v>
      </c>
      <c r="D890" t="str">
        <f t="shared" si="106"/>
        <v>June</v>
      </c>
      <c r="E890">
        <f t="shared" si="107"/>
        <v>24</v>
      </c>
      <c r="F890">
        <f t="shared" si="108"/>
        <v>7</v>
      </c>
      <c r="G890" t="str">
        <f t="shared" si="109"/>
        <v>Sunday</v>
      </c>
      <c r="H890" t="b">
        <f t="shared" si="110"/>
        <v>1</v>
      </c>
      <c r="I890">
        <f t="shared" si="111"/>
        <v>158</v>
      </c>
      <c r="J890" t="s">
        <v>28</v>
      </c>
      <c r="K890">
        <v>20260607</v>
      </c>
    </row>
    <row r="891" spans="1:11" x14ac:dyDescent="0.3">
      <c r="A891" s="4">
        <v>46181</v>
      </c>
      <c r="B891">
        <f t="shared" si="104"/>
        <v>2026</v>
      </c>
      <c r="C891">
        <f t="shared" si="105"/>
        <v>6</v>
      </c>
      <c r="D891" t="str">
        <f t="shared" si="106"/>
        <v>June</v>
      </c>
      <c r="E891">
        <f t="shared" si="107"/>
        <v>24</v>
      </c>
      <c r="F891">
        <f t="shared" si="108"/>
        <v>8</v>
      </c>
      <c r="G891" t="str">
        <f t="shared" si="109"/>
        <v>Monday</v>
      </c>
      <c r="H891" t="b">
        <f t="shared" si="110"/>
        <v>0</v>
      </c>
      <c r="I891">
        <f t="shared" si="111"/>
        <v>159</v>
      </c>
      <c r="J891" t="s">
        <v>28</v>
      </c>
      <c r="K891">
        <v>20260608</v>
      </c>
    </row>
    <row r="892" spans="1:11" x14ac:dyDescent="0.3">
      <c r="A892" s="4">
        <v>46182</v>
      </c>
      <c r="B892">
        <f t="shared" si="104"/>
        <v>2026</v>
      </c>
      <c r="C892">
        <f t="shared" si="105"/>
        <v>6</v>
      </c>
      <c r="D892" t="str">
        <f t="shared" si="106"/>
        <v>June</v>
      </c>
      <c r="E892">
        <f t="shared" si="107"/>
        <v>24</v>
      </c>
      <c r="F892">
        <f t="shared" si="108"/>
        <v>9</v>
      </c>
      <c r="G892" t="str">
        <f t="shared" si="109"/>
        <v>Tuesday</v>
      </c>
      <c r="H892" t="b">
        <f t="shared" si="110"/>
        <v>0</v>
      </c>
      <c r="I892">
        <f t="shared" si="111"/>
        <v>160</v>
      </c>
      <c r="J892" t="s">
        <v>28</v>
      </c>
      <c r="K892">
        <v>20260609</v>
      </c>
    </row>
    <row r="893" spans="1:11" x14ac:dyDescent="0.3">
      <c r="A893" s="4">
        <v>46183</v>
      </c>
      <c r="B893">
        <f t="shared" si="104"/>
        <v>2026</v>
      </c>
      <c r="C893">
        <f t="shared" si="105"/>
        <v>6</v>
      </c>
      <c r="D893" t="str">
        <f t="shared" si="106"/>
        <v>June</v>
      </c>
      <c r="E893">
        <f t="shared" si="107"/>
        <v>24</v>
      </c>
      <c r="F893">
        <f t="shared" si="108"/>
        <v>10</v>
      </c>
      <c r="G893" t="str">
        <f t="shared" si="109"/>
        <v>Wednesday</v>
      </c>
      <c r="H893" t="b">
        <f t="shared" si="110"/>
        <v>0</v>
      </c>
      <c r="I893">
        <f t="shared" si="111"/>
        <v>161</v>
      </c>
      <c r="J893" t="s">
        <v>28</v>
      </c>
      <c r="K893">
        <v>20260610</v>
      </c>
    </row>
    <row r="894" spans="1:11" x14ac:dyDescent="0.3">
      <c r="A894" s="4">
        <v>46184</v>
      </c>
      <c r="B894">
        <f t="shared" si="104"/>
        <v>2026</v>
      </c>
      <c r="C894">
        <f t="shared" si="105"/>
        <v>6</v>
      </c>
      <c r="D894" t="str">
        <f t="shared" si="106"/>
        <v>June</v>
      </c>
      <c r="E894">
        <f t="shared" si="107"/>
        <v>24</v>
      </c>
      <c r="F894">
        <f t="shared" si="108"/>
        <v>11</v>
      </c>
      <c r="G894" t="str">
        <f t="shared" si="109"/>
        <v>Thursday</v>
      </c>
      <c r="H894" t="b">
        <f t="shared" si="110"/>
        <v>0</v>
      </c>
      <c r="I894">
        <f t="shared" si="111"/>
        <v>162</v>
      </c>
      <c r="J894" t="s">
        <v>28</v>
      </c>
      <c r="K894">
        <v>20260611</v>
      </c>
    </row>
    <row r="895" spans="1:11" x14ac:dyDescent="0.3">
      <c r="A895" s="4">
        <v>46185</v>
      </c>
      <c r="B895">
        <f t="shared" si="104"/>
        <v>2026</v>
      </c>
      <c r="C895">
        <f t="shared" si="105"/>
        <v>6</v>
      </c>
      <c r="D895" t="str">
        <f t="shared" si="106"/>
        <v>June</v>
      </c>
      <c r="E895">
        <f t="shared" si="107"/>
        <v>24</v>
      </c>
      <c r="F895">
        <f t="shared" si="108"/>
        <v>12</v>
      </c>
      <c r="G895" t="str">
        <f t="shared" si="109"/>
        <v>Friday</v>
      </c>
      <c r="H895" t="b">
        <f t="shared" si="110"/>
        <v>0</v>
      </c>
      <c r="I895">
        <f t="shared" si="111"/>
        <v>163</v>
      </c>
      <c r="J895" t="s">
        <v>28</v>
      </c>
      <c r="K895">
        <v>20260612</v>
      </c>
    </row>
    <row r="896" spans="1:11" x14ac:dyDescent="0.3">
      <c r="A896" s="4">
        <v>46186</v>
      </c>
      <c r="B896">
        <f t="shared" si="104"/>
        <v>2026</v>
      </c>
      <c r="C896">
        <f t="shared" si="105"/>
        <v>6</v>
      </c>
      <c r="D896" t="str">
        <f t="shared" si="106"/>
        <v>June</v>
      </c>
      <c r="E896">
        <f t="shared" si="107"/>
        <v>24</v>
      </c>
      <c r="F896">
        <f t="shared" si="108"/>
        <v>13</v>
      </c>
      <c r="G896" t="str">
        <f t="shared" si="109"/>
        <v>Saturday</v>
      </c>
      <c r="H896" t="b">
        <f t="shared" si="110"/>
        <v>1</v>
      </c>
      <c r="I896">
        <f t="shared" si="111"/>
        <v>164</v>
      </c>
      <c r="J896" t="s">
        <v>28</v>
      </c>
      <c r="K896">
        <v>20260613</v>
      </c>
    </row>
    <row r="897" spans="1:11" x14ac:dyDescent="0.3">
      <c r="A897" s="4">
        <v>46187</v>
      </c>
      <c r="B897">
        <f t="shared" si="104"/>
        <v>2026</v>
      </c>
      <c r="C897">
        <f t="shared" si="105"/>
        <v>6</v>
      </c>
      <c r="D897" t="str">
        <f t="shared" si="106"/>
        <v>June</v>
      </c>
      <c r="E897">
        <f t="shared" si="107"/>
        <v>25</v>
      </c>
      <c r="F897">
        <f t="shared" si="108"/>
        <v>14</v>
      </c>
      <c r="G897" t="str">
        <f t="shared" si="109"/>
        <v>Sunday</v>
      </c>
      <c r="H897" t="b">
        <f t="shared" si="110"/>
        <v>1</v>
      </c>
      <c r="I897">
        <f t="shared" si="111"/>
        <v>165</v>
      </c>
      <c r="J897" t="s">
        <v>28</v>
      </c>
      <c r="K897">
        <v>20260614</v>
      </c>
    </row>
    <row r="898" spans="1:11" x14ac:dyDescent="0.3">
      <c r="A898" s="4">
        <v>46188</v>
      </c>
      <c r="B898">
        <f t="shared" si="104"/>
        <v>2026</v>
      </c>
      <c r="C898">
        <f t="shared" si="105"/>
        <v>6</v>
      </c>
      <c r="D898" t="str">
        <f t="shared" si="106"/>
        <v>June</v>
      </c>
      <c r="E898">
        <f t="shared" si="107"/>
        <v>25</v>
      </c>
      <c r="F898">
        <f t="shared" si="108"/>
        <v>15</v>
      </c>
      <c r="G898" t="str">
        <f t="shared" si="109"/>
        <v>Monday</v>
      </c>
      <c r="H898" t="b">
        <f t="shared" si="110"/>
        <v>0</v>
      </c>
      <c r="I898">
        <f t="shared" si="111"/>
        <v>166</v>
      </c>
      <c r="J898" t="s">
        <v>28</v>
      </c>
      <c r="K898">
        <v>20260615</v>
      </c>
    </row>
    <row r="899" spans="1:11" x14ac:dyDescent="0.3">
      <c r="A899" s="4">
        <v>46189</v>
      </c>
      <c r="B899">
        <f t="shared" ref="B899:B962" si="112">YEAR(A899)</f>
        <v>2026</v>
      </c>
      <c r="C899">
        <f t="shared" ref="C899:C962" si="113">MONTH(A899)</f>
        <v>6</v>
      </c>
      <c r="D899" t="str">
        <f t="shared" ref="D899:D962" si="114">TEXT(A899,"mmmm")</f>
        <v>June</v>
      </c>
      <c r="E899">
        <f t="shared" ref="E899:E962" si="115">WEEKNUM(A899)</f>
        <v>25</v>
      </c>
      <c r="F899">
        <f t="shared" ref="F899:F962" si="116">DAY(A899)</f>
        <v>16</v>
      </c>
      <c r="G899" t="str">
        <f t="shared" ref="G899:G962" si="117">TEXT((A899),"dddd")</f>
        <v>Tuesday</v>
      </c>
      <c r="H899" t="b">
        <f t="shared" ref="H899:H962" si="118">IF(OR(G899="Saturday",G899="Sunday"),TRUE,FALSE)</f>
        <v>0</v>
      </c>
      <c r="I899">
        <f t="shared" ref="I899:I962" si="119">A899-DATE(YEAR(A899),1,1)+1</f>
        <v>167</v>
      </c>
      <c r="J899" t="s">
        <v>28</v>
      </c>
      <c r="K899">
        <v>20260616</v>
      </c>
    </row>
    <row r="900" spans="1:11" x14ac:dyDescent="0.3">
      <c r="A900" s="4">
        <v>46190</v>
      </c>
      <c r="B900">
        <f t="shared" si="112"/>
        <v>2026</v>
      </c>
      <c r="C900">
        <f t="shared" si="113"/>
        <v>6</v>
      </c>
      <c r="D900" t="str">
        <f t="shared" si="114"/>
        <v>June</v>
      </c>
      <c r="E900">
        <f t="shared" si="115"/>
        <v>25</v>
      </c>
      <c r="F900">
        <f t="shared" si="116"/>
        <v>17</v>
      </c>
      <c r="G900" t="str">
        <f t="shared" si="117"/>
        <v>Wednesday</v>
      </c>
      <c r="H900" t="b">
        <f t="shared" si="118"/>
        <v>0</v>
      </c>
      <c r="I900">
        <f t="shared" si="119"/>
        <v>168</v>
      </c>
      <c r="J900" t="s">
        <v>28</v>
      </c>
      <c r="K900">
        <v>20260617</v>
      </c>
    </row>
    <row r="901" spans="1:11" x14ac:dyDescent="0.3">
      <c r="A901" s="4">
        <v>46191</v>
      </c>
      <c r="B901">
        <f t="shared" si="112"/>
        <v>2026</v>
      </c>
      <c r="C901">
        <f t="shared" si="113"/>
        <v>6</v>
      </c>
      <c r="D901" t="str">
        <f t="shared" si="114"/>
        <v>June</v>
      </c>
      <c r="E901">
        <f t="shared" si="115"/>
        <v>25</v>
      </c>
      <c r="F901">
        <f t="shared" si="116"/>
        <v>18</v>
      </c>
      <c r="G901" t="str">
        <f t="shared" si="117"/>
        <v>Thursday</v>
      </c>
      <c r="H901" t="b">
        <f t="shared" si="118"/>
        <v>0</v>
      </c>
      <c r="I901">
        <f t="shared" si="119"/>
        <v>169</v>
      </c>
      <c r="J901" t="s">
        <v>28</v>
      </c>
      <c r="K901">
        <v>20260618</v>
      </c>
    </row>
    <row r="902" spans="1:11" x14ac:dyDescent="0.3">
      <c r="A902" s="4">
        <v>46192</v>
      </c>
      <c r="B902">
        <f t="shared" si="112"/>
        <v>2026</v>
      </c>
      <c r="C902">
        <f t="shared" si="113"/>
        <v>6</v>
      </c>
      <c r="D902" t="str">
        <f t="shared" si="114"/>
        <v>June</v>
      </c>
      <c r="E902">
        <f t="shared" si="115"/>
        <v>25</v>
      </c>
      <c r="F902">
        <f t="shared" si="116"/>
        <v>19</v>
      </c>
      <c r="G902" t="str">
        <f t="shared" si="117"/>
        <v>Friday</v>
      </c>
      <c r="H902" t="b">
        <f t="shared" si="118"/>
        <v>0</v>
      </c>
      <c r="I902">
        <f t="shared" si="119"/>
        <v>170</v>
      </c>
      <c r="J902" t="s">
        <v>28</v>
      </c>
      <c r="K902">
        <v>20260619</v>
      </c>
    </row>
    <row r="903" spans="1:11" x14ac:dyDescent="0.3">
      <c r="A903" s="4">
        <v>46193</v>
      </c>
      <c r="B903">
        <f t="shared" si="112"/>
        <v>2026</v>
      </c>
      <c r="C903">
        <f t="shared" si="113"/>
        <v>6</v>
      </c>
      <c r="D903" t="str">
        <f t="shared" si="114"/>
        <v>June</v>
      </c>
      <c r="E903">
        <f t="shared" si="115"/>
        <v>25</v>
      </c>
      <c r="F903">
        <f t="shared" si="116"/>
        <v>20</v>
      </c>
      <c r="G903" t="str">
        <f t="shared" si="117"/>
        <v>Saturday</v>
      </c>
      <c r="H903" t="b">
        <f t="shared" si="118"/>
        <v>1</v>
      </c>
      <c r="I903">
        <f t="shared" si="119"/>
        <v>171</v>
      </c>
      <c r="J903" t="s">
        <v>28</v>
      </c>
      <c r="K903">
        <v>20260620</v>
      </c>
    </row>
    <row r="904" spans="1:11" x14ac:dyDescent="0.3">
      <c r="A904" s="4">
        <v>46194</v>
      </c>
      <c r="B904">
        <f t="shared" si="112"/>
        <v>2026</v>
      </c>
      <c r="C904">
        <f t="shared" si="113"/>
        <v>6</v>
      </c>
      <c r="D904" t="str">
        <f t="shared" si="114"/>
        <v>June</v>
      </c>
      <c r="E904">
        <f t="shared" si="115"/>
        <v>26</v>
      </c>
      <c r="F904">
        <f t="shared" si="116"/>
        <v>21</v>
      </c>
      <c r="G904" t="str">
        <f t="shared" si="117"/>
        <v>Sunday</v>
      </c>
      <c r="H904" t="b">
        <f t="shared" si="118"/>
        <v>1</v>
      </c>
      <c r="I904">
        <f t="shared" si="119"/>
        <v>172</v>
      </c>
      <c r="J904" t="s">
        <v>28</v>
      </c>
      <c r="K904">
        <v>20260621</v>
      </c>
    </row>
    <row r="905" spans="1:11" x14ac:dyDescent="0.3">
      <c r="A905" s="4">
        <v>46195</v>
      </c>
      <c r="B905">
        <f t="shared" si="112"/>
        <v>2026</v>
      </c>
      <c r="C905">
        <f t="shared" si="113"/>
        <v>6</v>
      </c>
      <c r="D905" t="str">
        <f t="shared" si="114"/>
        <v>June</v>
      </c>
      <c r="E905">
        <f t="shared" si="115"/>
        <v>26</v>
      </c>
      <c r="F905">
        <f t="shared" si="116"/>
        <v>22</v>
      </c>
      <c r="G905" t="str">
        <f t="shared" si="117"/>
        <v>Monday</v>
      </c>
      <c r="H905" t="b">
        <f t="shared" si="118"/>
        <v>0</v>
      </c>
      <c r="I905">
        <f t="shared" si="119"/>
        <v>173</v>
      </c>
      <c r="J905" t="s">
        <v>28</v>
      </c>
      <c r="K905">
        <v>20260622</v>
      </c>
    </row>
    <row r="906" spans="1:11" x14ac:dyDescent="0.3">
      <c r="A906" s="4">
        <v>46196</v>
      </c>
      <c r="B906">
        <f t="shared" si="112"/>
        <v>2026</v>
      </c>
      <c r="C906">
        <f t="shared" si="113"/>
        <v>6</v>
      </c>
      <c r="D906" t="str">
        <f t="shared" si="114"/>
        <v>June</v>
      </c>
      <c r="E906">
        <f t="shared" si="115"/>
        <v>26</v>
      </c>
      <c r="F906">
        <f t="shared" si="116"/>
        <v>23</v>
      </c>
      <c r="G906" t="str">
        <f t="shared" si="117"/>
        <v>Tuesday</v>
      </c>
      <c r="H906" t="b">
        <f t="shared" si="118"/>
        <v>0</v>
      </c>
      <c r="I906">
        <f t="shared" si="119"/>
        <v>174</v>
      </c>
      <c r="J906" t="s">
        <v>28</v>
      </c>
      <c r="K906">
        <v>20260623</v>
      </c>
    </row>
    <row r="907" spans="1:11" x14ac:dyDescent="0.3">
      <c r="A907" s="4">
        <v>46197</v>
      </c>
      <c r="B907">
        <f t="shared" si="112"/>
        <v>2026</v>
      </c>
      <c r="C907">
        <f t="shared" si="113"/>
        <v>6</v>
      </c>
      <c r="D907" t="str">
        <f t="shared" si="114"/>
        <v>June</v>
      </c>
      <c r="E907">
        <f t="shared" si="115"/>
        <v>26</v>
      </c>
      <c r="F907">
        <f t="shared" si="116"/>
        <v>24</v>
      </c>
      <c r="G907" t="str">
        <f t="shared" si="117"/>
        <v>Wednesday</v>
      </c>
      <c r="H907" t="b">
        <f t="shared" si="118"/>
        <v>0</v>
      </c>
      <c r="I907">
        <f t="shared" si="119"/>
        <v>175</v>
      </c>
      <c r="J907" t="s">
        <v>28</v>
      </c>
      <c r="K907">
        <v>20260624</v>
      </c>
    </row>
    <row r="908" spans="1:11" x14ac:dyDescent="0.3">
      <c r="A908" s="4">
        <v>46198</v>
      </c>
      <c r="B908">
        <f t="shared" si="112"/>
        <v>2026</v>
      </c>
      <c r="C908">
        <f t="shared" si="113"/>
        <v>6</v>
      </c>
      <c r="D908" t="str">
        <f t="shared" si="114"/>
        <v>June</v>
      </c>
      <c r="E908">
        <f t="shared" si="115"/>
        <v>26</v>
      </c>
      <c r="F908">
        <f t="shared" si="116"/>
        <v>25</v>
      </c>
      <c r="G908" t="str">
        <f t="shared" si="117"/>
        <v>Thursday</v>
      </c>
      <c r="H908" t="b">
        <f t="shared" si="118"/>
        <v>0</v>
      </c>
      <c r="I908">
        <f t="shared" si="119"/>
        <v>176</v>
      </c>
      <c r="J908" t="s">
        <v>28</v>
      </c>
      <c r="K908">
        <v>20260625</v>
      </c>
    </row>
    <row r="909" spans="1:11" x14ac:dyDescent="0.3">
      <c r="A909" s="4">
        <v>46199</v>
      </c>
      <c r="B909">
        <f t="shared" si="112"/>
        <v>2026</v>
      </c>
      <c r="C909">
        <f t="shared" si="113"/>
        <v>6</v>
      </c>
      <c r="D909" t="str">
        <f t="shared" si="114"/>
        <v>June</v>
      </c>
      <c r="E909">
        <f t="shared" si="115"/>
        <v>26</v>
      </c>
      <c r="F909">
        <f t="shared" si="116"/>
        <v>26</v>
      </c>
      <c r="G909" t="str">
        <f t="shared" si="117"/>
        <v>Friday</v>
      </c>
      <c r="H909" t="b">
        <f t="shared" si="118"/>
        <v>0</v>
      </c>
      <c r="I909">
        <f t="shared" si="119"/>
        <v>177</v>
      </c>
      <c r="J909" t="s">
        <v>28</v>
      </c>
      <c r="K909">
        <v>20260626</v>
      </c>
    </row>
    <row r="910" spans="1:11" x14ac:dyDescent="0.3">
      <c r="A910" s="4">
        <v>46200</v>
      </c>
      <c r="B910">
        <f t="shared" si="112"/>
        <v>2026</v>
      </c>
      <c r="C910">
        <f t="shared" si="113"/>
        <v>6</v>
      </c>
      <c r="D910" t="str">
        <f t="shared" si="114"/>
        <v>June</v>
      </c>
      <c r="E910">
        <f t="shared" si="115"/>
        <v>26</v>
      </c>
      <c r="F910">
        <f t="shared" si="116"/>
        <v>27</v>
      </c>
      <c r="G910" t="str">
        <f t="shared" si="117"/>
        <v>Saturday</v>
      </c>
      <c r="H910" t="b">
        <f t="shared" si="118"/>
        <v>1</v>
      </c>
      <c r="I910">
        <f t="shared" si="119"/>
        <v>178</v>
      </c>
      <c r="J910" t="s">
        <v>28</v>
      </c>
      <c r="K910">
        <v>20260627</v>
      </c>
    </row>
    <row r="911" spans="1:11" x14ac:dyDescent="0.3">
      <c r="A911" s="4">
        <v>46201</v>
      </c>
      <c r="B911">
        <f t="shared" si="112"/>
        <v>2026</v>
      </c>
      <c r="C911">
        <f t="shared" si="113"/>
        <v>6</v>
      </c>
      <c r="D911" t="str">
        <f t="shared" si="114"/>
        <v>June</v>
      </c>
      <c r="E911">
        <f t="shared" si="115"/>
        <v>27</v>
      </c>
      <c r="F911">
        <f t="shared" si="116"/>
        <v>28</v>
      </c>
      <c r="G911" t="str">
        <f t="shared" si="117"/>
        <v>Sunday</v>
      </c>
      <c r="H911" t="b">
        <f t="shared" si="118"/>
        <v>1</v>
      </c>
      <c r="I911">
        <f t="shared" si="119"/>
        <v>179</v>
      </c>
      <c r="J911" t="s">
        <v>28</v>
      </c>
      <c r="K911">
        <v>20260628</v>
      </c>
    </row>
    <row r="912" spans="1:11" x14ac:dyDescent="0.3">
      <c r="A912" s="4">
        <v>46202</v>
      </c>
      <c r="B912">
        <f t="shared" si="112"/>
        <v>2026</v>
      </c>
      <c r="C912">
        <f t="shared" si="113"/>
        <v>6</v>
      </c>
      <c r="D912" t="str">
        <f t="shared" si="114"/>
        <v>June</v>
      </c>
      <c r="E912">
        <f t="shared" si="115"/>
        <v>27</v>
      </c>
      <c r="F912">
        <f t="shared" si="116"/>
        <v>29</v>
      </c>
      <c r="G912" t="str">
        <f t="shared" si="117"/>
        <v>Monday</v>
      </c>
      <c r="H912" t="b">
        <f t="shared" si="118"/>
        <v>0</v>
      </c>
      <c r="I912">
        <f t="shared" si="119"/>
        <v>180</v>
      </c>
      <c r="J912" t="s">
        <v>28</v>
      </c>
      <c r="K912">
        <v>20260629</v>
      </c>
    </row>
    <row r="913" spans="1:11" x14ac:dyDescent="0.3">
      <c r="A913" s="4">
        <v>46203</v>
      </c>
      <c r="B913">
        <f t="shared" si="112"/>
        <v>2026</v>
      </c>
      <c r="C913">
        <f t="shared" si="113"/>
        <v>6</v>
      </c>
      <c r="D913" t="str">
        <f t="shared" si="114"/>
        <v>June</v>
      </c>
      <c r="E913">
        <f t="shared" si="115"/>
        <v>27</v>
      </c>
      <c r="F913">
        <f t="shared" si="116"/>
        <v>30</v>
      </c>
      <c r="G913" t="str">
        <f t="shared" si="117"/>
        <v>Tuesday</v>
      </c>
      <c r="H913" t="b">
        <f t="shared" si="118"/>
        <v>0</v>
      </c>
      <c r="I913">
        <f t="shared" si="119"/>
        <v>181</v>
      </c>
      <c r="J913" t="s">
        <v>28</v>
      </c>
      <c r="K913">
        <v>20260630</v>
      </c>
    </row>
    <row r="914" spans="1:11" x14ac:dyDescent="0.3">
      <c r="A914" s="4">
        <v>46204</v>
      </c>
      <c r="B914">
        <f t="shared" si="112"/>
        <v>2026</v>
      </c>
      <c r="C914">
        <f t="shared" si="113"/>
        <v>7</v>
      </c>
      <c r="D914" t="str">
        <f t="shared" si="114"/>
        <v>July</v>
      </c>
      <c r="E914">
        <f t="shared" si="115"/>
        <v>27</v>
      </c>
      <c r="F914">
        <f t="shared" si="116"/>
        <v>1</v>
      </c>
      <c r="G914" t="str">
        <f t="shared" si="117"/>
        <v>Wednesday</v>
      </c>
      <c r="H914" t="b">
        <f t="shared" si="118"/>
        <v>0</v>
      </c>
      <c r="I914">
        <f t="shared" si="119"/>
        <v>182</v>
      </c>
      <c r="J914" t="s">
        <v>28</v>
      </c>
      <c r="K914">
        <v>20260701</v>
      </c>
    </row>
    <row r="915" spans="1:11" x14ac:dyDescent="0.3">
      <c r="A915" s="4">
        <v>46205</v>
      </c>
      <c r="B915">
        <f t="shared" si="112"/>
        <v>2026</v>
      </c>
      <c r="C915">
        <f t="shared" si="113"/>
        <v>7</v>
      </c>
      <c r="D915" t="str">
        <f t="shared" si="114"/>
        <v>July</v>
      </c>
      <c r="E915">
        <f t="shared" si="115"/>
        <v>27</v>
      </c>
      <c r="F915">
        <f t="shared" si="116"/>
        <v>2</v>
      </c>
      <c r="G915" t="str">
        <f t="shared" si="117"/>
        <v>Thursday</v>
      </c>
      <c r="H915" t="b">
        <f t="shared" si="118"/>
        <v>0</v>
      </c>
      <c r="I915">
        <f t="shared" si="119"/>
        <v>183</v>
      </c>
      <c r="J915" t="s">
        <v>28</v>
      </c>
      <c r="K915">
        <v>20260702</v>
      </c>
    </row>
    <row r="916" spans="1:11" x14ac:dyDescent="0.3">
      <c r="A916" s="4">
        <v>46206</v>
      </c>
      <c r="B916">
        <f t="shared" si="112"/>
        <v>2026</v>
      </c>
      <c r="C916">
        <f t="shared" si="113"/>
        <v>7</v>
      </c>
      <c r="D916" t="str">
        <f t="shared" si="114"/>
        <v>July</v>
      </c>
      <c r="E916">
        <f t="shared" si="115"/>
        <v>27</v>
      </c>
      <c r="F916">
        <f t="shared" si="116"/>
        <v>3</v>
      </c>
      <c r="G916" t="str">
        <f t="shared" si="117"/>
        <v>Friday</v>
      </c>
      <c r="H916" t="b">
        <f t="shared" si="118"/>
        <v>0</v>
      </c>
      <c r="I916">
        <f t="shared" si="119"/>
        <v>184</v>
      </c>
      <c r="J916" t="s">
        <v>28</v>
      </c>
      <c r="K916">
        <v>20260703</v>
      </c>
    </row>
    <row r="917" spans="1:11" x14ac:dyDescent="0.3">
      <c r="A917" s="4">
        <v>46207</v>
      </c>
      <c r="B917">
        <f t="shared" si="112"/>
        <v>2026</v>
      </c>
      <c r="C917">
        <f t="shared" si="113"/>
        <v>7</v>
      </c>
      <c r="D917" t="str">
        <f t="shared" si="114"/>
        <v>July</v>
      </c>
      <c r="E917">
        <f t="shared" si="115"/>
        <v>27</v>
      </c>
      <c r="F917">
        <f t="shared" si="116"/>
        <v>4</v>
      </c>
      <c r="G917" t="str">
        <f t="shared" si="117"/>
        <v>Saturday</v>
      </c>
      <c r="H917" t="b">
        <f t="shared" si="118"/>
        <v>1</v>
      </c>
      <c r="I917">
        <f t="shared" si="119"/>
        <v>185</v>
      </c>
      <c r="J917" t="s">
        <v>28</v>
      </c>
      <c r="K917">
        <v>20260704</v>
      </c>
    </row>
    <row r="918" spans="1:11" x14ac:dyDescent="0.3">
      <c r="A918" s="4">
        <v>46208</v>
      </c>
      <c r="B918">
        <f t="shared" si="112"/>
        <v>2026</v>
      </c>
      <c r="C918">
        <f t="shared" si="113"/>
        <v>7</v>
      </c>
      <c r="D918" t="str">
        <f t="shared" si="114"/>
        <v>July</v>
      </c>
      <c r="E918">
        <f t="shared" si="115"/>
        <v>28</v>
      </c>
      <c r="F918">
        <f t="shared" si="116"/>
        <v>5</v>
      </c>
      <c r="G918" t="str">
        <f t="shared" si="117"/>
        <v>Sunday</v>
      </c>
      <c r="H918" t="b">
        <f t="shared" si="118"/>
        <v>1</v>
      </c>
      <c r="I918">
        <f t="shared" si="119"/>
        <v>186</v>
      </c>
      <c r="J918" t="s">
        <v>28</v>
      </c>
      <c r="K918">
        <v>20260705</v>
      </c>
    </row>
    <row r="919" spans="1:11" x14ac:dyDescent="0.3">
      <c r="A919" s="4">
        <v>46209</v>
      </c>
      <c r="B919">
        <f t="shared" si="112"/>
        <v>2026</v>
      </c>
      <c r="C919">
        <f t="shared" si="113"/>
        <v>7</v>
      </c>
      <c r="D919" t="str">
        <f t="shared" si="114"/>
        <v>July</v>
      </c>
      <c r="E919">
        <f t="shared" si="115"/>
        <v>28</v>
      </c>
      <c r="F919">
        <f t="shared" si="116"/>
        <v>6</v>
      </c>
      <c r="G919" t="str">
        <f t="shared" si="117"/>
        <v>Monday</v>
      </c>
      <c r="H919" t="b">
        <f t="shared" si="118"/>
        <v>0</v>
      </c>
      <c r="I919">
        <f t="shared" si="119"/>
        <v>187</v>
      </c>
      <c r="J919" t="s">
        <v>28</v>
      </c>
      <c r="K919">
        <v>20260706</v>
      </c>
    </row>
    <row r="920" spans="1:11" x14ac:dyDescent="0.3">
      <c r="A920" s="4">
        <v>46210</v>
      </c>
      <c r="B920">
        <f t="shared" si="112"/>
        <v>2026</v>
      </c>
      <c r="C920">
        <f t="shared" si="113"/>
        <v>7</v>
      </c>
      <c r="D920" t="str">
        <f t="shared" si="114"/>
        <v>July</v>
      </c>
      <c r="E920">
        <f t="shared" si="115"/>
        <v>28</v>
      </c>
      <c r="F920">
        <f t="shared" si="116"/>
        <v>7</v>
      </c>
      <c r="G920" t="str">
        <f t="shared" si="117"/>
        <v>Tuesday</v>
      </c>
      <c r="H920" t="b">
        <f t="shared" si="118"/>
        <v>0</v>
      </c>
      <c r="I920">
        <f t="shared" si="119"/>
        <v>188</v>
      </c>
      <c r="J920" t="s">
        <v>28</v>
      </c>
      <c r="K920">
        <v>20260707</v>
      </c>
    </row>
    <row r="921" spans="1:11" x14ac:dyDescent="0.3">
      <c r="A921" s="4">
        <v>46211</v>
      </c>
      <c r="B921">
        <f t="shared" si="112"/>
        <v>2026</v>
      </c>
      <c r="C921">
        <f t="shared" si="113"/>
        <v>7</v>
      </c>
      <c r="D921" t="str">
        <f t="shared" si="114"/>
        <v>July</v>
      </c>
      <c r="E921">
        <f t="shared" si="115"/>
        <v>28</v>
      </c>
      <c r="F921">
        <f t="shared" si="116"/>
        <v>8</v>
      </c>
      <c r="G921" t="str">
        <f t="shared" si="117"/>
        <v>Wednesday</v>
      </c>
      <c r="H921" t="b">
        <f t="shared" si="118"/>
        <v>0</v>
      </c>
      <c r="I921">
        <f t="shared" si="119"/>
        <v>189</v>
      </c>
      <c r="J921" t="s">
        <v>28</v>
      </c>
      <c r="K921">
        <v>20260708</v>
      </c>
    </row>
    <row r="922" spans="1:11" x14ac:dyDescent="0.3">
      <c r="A922" s="4">
        <v>46212</v>
      </c>
      <c r="B922">
        <f t="shared" si="112"/>
        <v>2026</v>
      </c>
      <c r="C922">
        <f t="shared" si="113"/>
        <v>7</v>
      </c>
      <c r="D922" t="str">
        <f t="shared" si="114"/>
        <v>July</v>
      </c>
      <c r="E922">
        <f t="shared" si="115"/>
        <v>28</v>
      </c>
      <c r="F922">
        <f t="shared" si="116"/>
        <v>9</v>
      </c>
      <c r="G922" t="str">
        <f t="shared" si="117"/>
        <v>Thursday</v>
      </c>
      <c r="H922" t="b">
        <f t="shared" si="118"/>
        <v>0</v>
      </c>
      <c r="I922">
        <f t="shared" si="119"/>
        <v>190</v>
      </c>
      <c r="J922" t="s">
        <v>28</v>
      </c>
      <c r="K922">
        <v>20260709</v>
      </c>
    </row>
    <row r="923" spans="1:11" x14ac:dyDescent="0.3">
      <c r="A923" s="4">
        <v>46213</v>
      </c>
      <c r="B923">
        <f t="shared" si="112"/>
        <v>2026</v>
      </c>
      <c r="C923">
        <f t="shared" si="113"/>
        <v>7</v>
      </c>
      <c r="D923" t="str">
        <f t="shared" si="114"/>
        <v>July</v>
      </c>
      <c r="E923">
        <f t="shared" si="115"/>
        <v>28</v>
      </c>
      <c r="F923">
        <f t="shared" si="116"/>
        <v>10</v>
      </c>
      <c r="G923" t="str">
        <f t="shared" si="117"/>
        <v>Friday</v>
      </c>
      <c r="H923" t="b">
        <f t="shared" si="118"/>
        <v>0</v>
      </c>
      <c r="I923">
        <f t="shared" si="119"/>
        <v>191</v>
      </c>
      <c r="J923" t="s">
        <v>28</v>
      </c>
      <c r="K923">
        <v>20260710</v>
      </c>
    </row>
    <row r="924" spans="1:11" x14ac:dyDescent="0.3">
      <c r="A924" s="4">
        <v>46214</v>
      </c>
      <c r="B924">
        <f t="shared" si="112"/>
        <v>2026</v>
      </c>
      <c r="C924">
        <f t="shared" si="113"/>
        <v>7</v>
      </c>
      <c r="D924" t="str">
        <f t="shared" si="114"/>
        <v>July</v>
      </c>
      <c r="E924">
        <f t="shared" si="115"/>
        <v>28</v>
      </c>
      <c r="F924">
        <f t="shared" si="116"/>
        <v>11</v>
      </c>
      <c r="G924" t="str">
        <f t="shared" si="117"/>
        <v>Saturday</v>
      </c>
      <c r="H924" t="b">
        <f t="shared" si="118"/>
        <v>1</v>
      </c>
      <c r="I924">
        <f t="shared" si="119"/>
        <v>192</v>
      </c>
      <c r="J924" t="s">
        <v>28</v>
      </c>
      <c r="K924">
        <v>20260711</v>
      </c>
    </row>
    <row r="925" spans="1:11" x14ac:dyDescent="0.3">
      <c r="A925" s="4">
        <v>46215</v>
      </c>
      <c r="B925">
        <f t="shared" si="112"/>
        <v>2026</v>
      </c>
      <c r="C925">
        <f t="shared" si="113"/>
        <v>7</v>
      </c>
      <c r="D925" t="str">
        <f t="shared" si="114"/>
        <v>July</v>
      </c>
      <c r="E925">
        <f t="shared" si="115"/>
        <v>29</v>
      </c>
      <c r="F925">
        <f t="shared" si="116"/>
        <v>12</v>
      </c>
      <c r="G925" t="str">
        <f t="shared" si="117"/>
        <v>Sunday</v>
      </c>
      <c r="H925" t="b">
        <f t="shared" si="118"/>
        <v>1</v>
      </c>
      <c r="I925">
        <f t="shared" si="119"/>
        <v>193</v>
      </c>
      <c r="J925" t="s">
        <v>28</v>
      </c>
      <c r="K925">
        <v>20260712</v>
      </c>
    </row>
    <row r="926" spans="1:11" x14ac:dyDescent="0.3">
      <c r="A926" s="4">
        <v>46216</v>
      </c>
      <c r="B926">
        <f t="shared" si="112"/>
        <v>2026</v>
      </c>
      <c r="C926">
        <f t="shared" si="113"/>
        <v>7</v>
      </c>
      <c r="D926" t="str">
        <f t="shared" si="114"/>
        <v>July</v>
      </c>
      <c r="E926">
        <f t="shared" si="115"/>
        <v>29</v>
      </c>
      <c r="F926">
        <f t="shared" si="116"/>
        <v>13</v>
      </c>
      <c r="G926" t="str">
        <f t="shared" si="117"/>
        <v>Monday</v>
      </c>
      <c r="H926" t="b">
        <f t="shared" si="118"/>
        <v>0</v>
      </c>
      <c r="I926">
        <f t="shared" si="119"/>
        <v>194</v>
      </c>
      <c r="J926" t="s">
        <v>28</v>
      </c>
      <c r="K926">
        <v>20260713</v>
      </c>
    </row>
    <row r="927" spans="1:11" x14ac:dyDescent="0.3">
      <c r="A927" s="4">
        <v>46217</v>
      </c>
      <c r="B927">
        <f t="shared" si="112"/>
        <v>2026</v>
      </c>
      <c r="C927">
        <f t="shared" si="113"/>
        <v>7</v>
      </c>
      <c r="D927" t="str">
        <f t="shared" si="114"/>
        <v>July</v>
      </c>
      <c r="E927">
        <f t="shared" si="115"/>
        <v>29</v>
      </c>
      <c r="F927">
        <f t="shared" si="116"/>
        <v>14</v>
      </c>
      <c r="G927" t="str">
        <f t="shared" si="117"/>
        <v>Tuesday</v>
      </c>
      <c r="H927" t="b">
        <f t="shared" si="118"/>
        <v>0</v>
      </c>
      <c r="I927">
        <f t="shared" si="119"/>
        <v>195</v>
      </c>
      <c r="J927" t="s">
        <v>28</v>
      </c>
      <c r="K927">
        <v>20260714</v>
      </c>
    </row>
    <row r="928" spans="1:11" x14ac:dyDescent="0.3">
      <c r="A928" s="4">
        <v>46218</v>
      </c>
      <c r="B928">
        <f t="shared" si="112"/>
        <v>2026</v>
      </c>
      <c r="C928">
        <f t="shared" si="113"/>
        <v>7</v>
      </c>
      <c r="D928" t="str">
        <f t="shared" si="114"/>
        <v>July</v>
      </c>
      <c r="E928">
        <f t="shared" si="115"/>
        <v>29</v>
      </c>
      <c r="F928">
        <f t="shared" si="116"/>
        <v>15</v>
      </c>
      <c r="G928" t="str">
        <f t="shared" si="117"/>
        <v>Wednesday</v>
      </c>
      <c r="H928" t="b">
        <f t="shared" si="118"/>
        <v>0</v>
      </c>
      <c r="I928">
        <f t="shared" si="119"/>
        <v>196</v>
      </c>
      <c r="J928" t="s">
        <v>28</v>
      </c>
      <c r="K928">
        <v>20260715</v>
      </c>
    </row>
    <row r="929" spans="1:11" x14ac:dyDescent="0.3">
      <c r="A929" s="4">
        <v>46219</v>
      </c>
      <c r="B929">
        <f t="shared" si="112"/>
        <v>2026</v>
      </c>
      <c r="C929">
        <f t="shared" si="113"/>
        <v>7</v>
      </c>
      <c r="D929" t="str">
        <f t="shared" si="114"/>
        <v>July</v>
      </c>
      <c r="E929">
        <f t="shared" si="115"/>
        <v>29</v>
      </c>
      <c r="F929">
        <f t="shared" si="116"/>
        <v>16</v>
      </c>
      <c r="G929" t="str">
        <f t="shared" si="117"/>
        <v>Thursday</v>
      </c>
      <c r="H929" t="b">
        <f t="shared" si="118"/>
        <v>0</v>
      </c>
      <c r="I929">
        <f t="shared" si="119"/>
        <v>197</v>
      </c>
      <c r="J929" t="s">
        <v>28</v>
      </c>
      <c r="K929">
        <v>20260716</v>
      </c>
    </row>
    <row r="930" spans="1:11" x14ac:dyDescent="0.3">
      <c r="A930" s="4">
        <v>46220</v>
      </c>
      <c r="B930">
        <f t="shared" si="112"/>
        <v>2026</v>
      </c>
      <c r="C930">
        <f t="shared" si="113"/>
        <v>7</v>
      </c>
      <c r="D930" t="str">
        <f t="shared" si="114"/>
        <v>July</v>
      </c>
      <c r="E930">
        <f t="shared" si="115"/>
        <v>29</v>
      </c>
      <c r="F930">
        <f t="shared" si="116"/>
        <v>17</v>
      </c>
      <c r="G930" t="str">
        <f t="shared" si="117"/>
        <v>Friday</v>
      </c>
      <c r="H930" t="b">
        <f t="shared" si="118"/>
        <v>0</v>
      </c>
      <c r="I930">
        <f t="shared" si="119"/>
        <v>198</v>
      </c>
      <c r="J930" t="s">
        <v>28</v>
      </c>
      <c r="K930">
        <v>20260717</v>
      </c>
    </row>
    <row r="931" spans="1:11" x14ac:dyDescent="0.3">
      <c r="A931" s="4">
        <v>46221</v>
      </c>
      <c r="B931">
        <f t="shared" si="112"/>
        <v>2026</v>
      </c>
      <c r="C931">
        <f t="shared" si="113"/>
        <v>7</v>
      </c>
      <c r="D931" t="str">
        <f t="shared" si="114"/>
        <v>July</v>
      </c>
      <c r="E931">
        <f t="shared" si="115"/>
        <v>29</v>
      </c>
      <c r="F931">
        <f t="shared" si="116"/>
        <v>18</v>
      </c>
      <c r="G931" t="str">
        <f t="shared" si="117"/>
        <v>Saturday</v>
      </c>
      <c r="H931" t="b">
        <f t="shared" si="118"/>
        <v>1</v>
      </c>
      <c r="I931">
        <f t="shared" si="119"/>
        <v>199</v>
      </c>
      <c r="J931" t="s">
        <v>28</v>
      </c>
      <c r="K931">
        <v>20260718</v>
      </c>
    </row>
    <row r="932" spans="1:11" x14ac:dyDescent="0.3">
      <c r="A932" s="4">
        <v>46222</v>
      </c>
      <c r="B932">
        <f t="shared" si="112"/>
        <v>2026</v>
      </c>
      <c r="C932">
        <f t="shared" si="113"/>
        <v>7</v>
      </c>
      <c r="D932" t="str">
        <f t="shared" si="114"/>
        <v>July</v>
      </c>
      <c r="E932">
        <f t="shared" si="115"/>
        <v>30</v>
      </c>
      <c r="F932">
        <f t="shared" si="116"/>
        <v>19</v>
      </c>
      <c r="G932" t="str">
        <f t="shared" si="117"/>
        <v>Sunday</v>
      </c>
      <c r="H932" t="b">
        <f t="shared" si="118"/>
        <v>1</v>
      </c>
      <c r="I932">
        <f t="shared" si="119"/>
        <v>200</v>
      </c>
      <c r="J932" t="s">
        <v>28</v>
      </c>
      <c r="K932">
        <v>20260719</v>
      </c>
    </row>
    <row r="933" spans="1:11" x14ac:dyDescent="0.3">
      <c r="A933" s="4">
        <v>46223</v>
      </c>
      <c r="B933">
        <f t="shared" si="112"/>
        <v>2026</v>
      </c>
      <c r="C933">
        <f t="shared" si="113"/>
        <v>7</v>
      </c>
      <c r="D933" t="str">
        <f t="shared" si="114"/>
        <v>July</v>
      </c>
      <c r="E933">
        <f t="shared" si="115"/>
        <v>30</v>
      </c>
      <c r="F933">
        <f t="shared" si="116"/>
        <v>20</v>
      </c>
      <c r="G933" t="str">
        <f t="shared" si="117"/>
        <v>Monday</v>
      </c>
      <c r="H933" t="b">
        <f t="shared" si="118"/>
        <v>0</v>
      </c>
      <c r="I933">
        <f t="shared" si="119"/>
        <v>201</v>
      </c>
      <c r="J933" t="s">
        <v>28</v>
      </c>
      <c r="K933">
        <v>20260720</v>
      </c>
    </row>
    <row r="934" spans="1:11" x14ac:dyDescent="0.3">
      <c r="A934" s="4">
        <v>46224</v>
      </c>
      <c r="B934">
        <f t="shared" si="112"/>
        <v>2026</v>
      </c>
      <c r="C934">
        <f t="shared" si="113"/>
        <v>7</v>
      </c>
      <c r="D934" t="str">
        <f t="shared" si="114"/>
        <v>July</v>
      </c>
      <c r="E934">
        <f t="shared" si="115"/>
        <v>30</v>
      </c>
      <c r="F934">
        <f t="shared" si="116"/>
        <v>21</v>
      </c>
      <c r="G934" t="str">
        <f t="shared" si="117"/>
        <v>Tuesday</v>
      </c>
      <c r="H934" t="b">
        <f t="shared" si="118"/>
        <v>0</v>
      </c>
      <c r="I934">
        <f t="shared" si="119"/>
        <v>202</v>
      </c>
      <c r="J934" t="s">
        <v>28</v>
      </c>
      <c r="K934">
        <v>20260721</v>
      </c>
    </row>
    <row r="935" spans="1:11" x14ac:dyDescent="0.3">
      <c r="A935" s="4">
        <v>46225</v>
      </c>
      <c r="B935">
        <f t="shared" si="112"/>
        <v>2026</v>
      </c>
      <c r="C935">
        <f t="shared" si="113"/>
        <v>7</v>
      </c>
      <c r="D935" t="str">
        <f t="shared" si="114"/>
        <v>July</v>
      </c>
      <c r="E935">
        <f t="shared" si="115"/>
        <v>30</v>
      </c>
      <c r="F935">
        <f t="shared" si="116"/>
        <v>22</v>
      </c>
      <c r="G935" t="str">
        <f t="shared" si="117"/>
        <v>Wednesday</v>
      </c>
      <c r="H935" t="b">
        <f t="shared" si="118"/>
        <v>0</v>
      </c>
      <c r="I935">
        <f t="shared" si="119"/>
        <v>203</v>
      </c>
      <c r="J935" t="s">
        <v>28</v>
      </c>
      <c r="K935">
        <v>20260722</v>
      </c>
    </row>
    <row r="936" spans="1:11" x14ac:dyDescent="0.3">
      <c r="A936" s="4">
        <v>46226</v>
      </c>
      <c r="B936">
        <f t="shared" si="112"/>
        <v>2026</v>
      </c>
      <c r="C936">
        <f t="shared" si="113"/>
        <v>7</v>
      </c>
      <c r="D936" t="str">
        <f t="shared" si="114"/>
        <v>July</v>
      </c>
      <c r="E936">
        <f t="shared" si="115"/>
        <v>30</v>
      </c>
      <c r="F936">
        <f t="shared" si="116"/>
        <v>23</v>
      </c>
      <c r="G936" t="str">
        <f t="shared" si="117"/>
        <v>Thursday</v>
      </c>
      <c r="H936" t="b">
        <f t="shared" si="118"/>
        <v>0</v>
      </c>
      <c r="I936">
        <f t="shared" si="119"/>
        <v>204</v>
      </c>
      <c r="J936" t="s">
        <v>28</v>
      </c>
      <c r="K936">
        <v>20260723</v>
      </c>
    </row>
    <row r="937" spans="1:11" x14ac:dyDescent="0.3">
      <c r="A937" s="4">
        <v>46227</v>
      </c>
      <c r="B937">
        <f t="shared" si="112"/>
        <v>2026</v>
      </c>
      <c r="C937">
        <f t="shared" si="113"/>
        <v>7</v>
      </c>
      <c r="D937" t="str">
        <f t="shared" si="114"/>
        <v>July</v>
      </c>
      <c r="E937">
        <f t="shared" si="115"/>
        <v>30</v>
      </c>
      <c r="F937">
        <f t="shared" si="116"/>
        <v>24</v>
      </c>
      <c r="G937" t="str">
        <f t="shared" si="117"/>
        <v>Friday</v>
      </c>
      <c r="H937" t="b">
        <f t="shared" si="118"/>
        <v>0</v>
      </c>
      <c r="I937">
        <f t="shared" si="119"/>
        <v>205</v>
      </c>
      <c r="J937" t="s">
        <v>28</v>
      </c>
      <c r="K937">
        <v>20260724</v>
      </c>
    </row>
    <row r="938" spans="1:11" x14ac:dyDescent="0.3">
      <c r="A938" s="4">
        <v>46228</v>
      </c>
      <c r="B938">
        <f t="shared" si="112"/>
        <v>2026</v>
      </c>
      <c r="C938">
        <f t="shared" si="113"/>
        <v>7</v>
      </c>
      <c r="D938" t="str">
        <f t="shared" si="114"/>
        <v>July</v>
      </c>
      <c r="E938">
        <f t="shared" si="115"/>
        <v>30</v>
      </c>
      <c r="F938">
        <f t="shared" si="116"/>
        <v>25</v>
      </c>
      <c r="G938" t="str">
        <f t="shared" si="117"/>
        <v>Saturday</v>
      </c>
      <c r="H938" t="b">
        <f t="shared" si="118"/>
        <v>1</v>
      </c>
      <c r="I938">
        <f t="shared" si="119"/>
        <v>206</v>
      </c>
      <c r="J938" t="s">
        <v>28</v>
      </c>
      <c r="K938">
        <v>20260725</v>
      </c>
    </row>
    <row r="939" spans="1:11" x14ac:dyDescent="0.3">
      <c r="A939" s="4">
        <v>46229</v>
      </c>
      <c r="B939">
        <f t="shared" si="112"/>
        <v>2026</v>
      </c>
      <c r="C939">
        <f t="shared" si="113"/>
        <v>7</v>
      </c>
      <c r="D939" t="str">
        <f t="shared" si="114"/>
        <v>July</v>
      </c>
      <c r="E939">
        <f t="shared" si="115"/>
        <v>31</v>
      </c>
      <c r="F939">
        <f t="shared" si="116"/>
        <v>26</v>
      </c>
      <c r="G939" t="str">
        <f t="shared" si="117"/>
        <v>Sunday</v>
      </c>
      <c r="H939" t="b">
        <f t="shared" si="118"/>
        <v>1</v>
      </c>
      <c r="I939">
        <f t="shared" si="119"/>
        <v>207</v>
      </c>
      <c r="J939" t="s">
        <v>28</v>
      </c>
      <c r="K939">
        <v>20260726</v>
      </c>
    </row>
    <row r="940" spans="1:11" x14ac:dyDescent="0.3">
      <c r="A940" s="4">
        <v>46230</v>
      </c>
      <c r="B940">
        <f t="shared" si="112"/>
        <v>2026</v>
      </c>
      <c r="C940">
        <f t="shared" si="113"/>
        <v>7</v>
      </c>
      <c r="D940" t="str">
        <f t="shared" si="114"/>
        <v>July</v>
      </c>
      <c r="E940">
        <f t="shared" si="115"/>
        <v>31</v>
      </c>
      <c r="F940">
        <f t="shared" si="116"/>
        <v>27</v>
      </c>
      <c r="G940" t="str">
        <f t="shared" si="117"/>
        <v>Monday</v>
      </c>
      <c r="H940" t="b">
        <f t="shared" si="118"/>
        <v>0</v>
      </c>
      <c r="I940">
        <f t="shared" si="119"/>
        <v>208</v>
      </c>
      <c r="J940" t="s">
        <v>28</v>
      </c>
      <c r="K940">
        <v>20260727</v>
      </c>
    </row>
    <row r="941" spans="1:11" x14ac:dyDescent="0.3">
      <c r="A941" s="4">
        <v>46231</v>
      </c>
      <c r="B941">
        <f t="shared" si="112"/>
        <v>2026</v>
      </c>
      <c r="C941">
        <f t="shared" si="113"/>
        <v>7</v>
      </c>
      <c r="D941" t="str">
        <f t="shared" si="114"/>
        <v>July</v>
      </c>
      <c r="E941">
        <f t="shared" si="115"/>
        <v>31</v>
      </c>
      <c r="F941">
        <f t="shared" si="116"/>
        <v>28</v>
      </c>
      <c r="G941" t="str">
        <f t="shared" si="117"/>
        <v>Tuesday</v>
      </c>
      <c r="H941" t="b">
        <f t="shared" si="118"/>
        <v>0</v>
      </c>
      <c r="I941">
        <f t="shared" si="119"/>
        <v>209</v>
      </c>
      <c r="J941" t="s">
        <v>28</v>
      </c>
      <c r="K941">
        <v>20260728</v>
      </c>
    </row>
    <row r="942" spans="1:11" x14ac:dyDescent="0.3">
      <c r="A942" s="4">
        <v>46232</v>
      </c>
      <c r="B942">
        <f t="shared" si="112"/>
        <v>2026</v>
      </c>
      <c r="C942">
        <f t="shared" si="113"/>
        <v>7</v>
      </c>
      <c r="D942" t="str">
        <f t="shared" si="114"/>
        <v>July</v>
      </c>
      <c r="E942">
        <f t="shared" si="115"/>
        <v>31</v>
      </c>
      <c r="F942">
        <f t="shared" si="116"/>
        <v>29</v>
      </c>
      <c r="G942" t="str">
        <f t="shared" si="117"/>
        <v>Wednesday</v>
      </c>
      <c r="H942" t="b">
        <f t="shared" si="118"/>
        <v>0</v>
      </c>
      <c r="I942">
        <f t="shared" si="119"/>
        <v>210</v>
      </c>
      <c r="J942" t="s">
        <v>28</v>
      </c>
      <c r="K942">
        <v>20260729</v>
      </c>
    </row>
    <row r="943" spans="1:11" x14ac:dyDescent="0.3">
      <c r="A943" s="4">
        <v>46233</v>
      </c>
      <c r="B943">
        <f t="shared" si="112"/>
        <v>2026</v>
      </c>
      <c r="C943">
        <f t="shared" si="113"/>
        <v>7</v>
      </c>
      <c r="D943" t="str">
        <f t="shared" si="114"/>
        <v>July</v>
      </c>
      <c r="E943">
        <f t="shared" si="115"/>
        <v>31</v>
      </c>
      <c r="F943">
        <f t="shared" si="116"/>
        <v>30</v>
      </c>
      <c r="G943" t="str">
        <f t="shared" si="117"/>
        <v>Thursday</v>
      </c>
      <c r="H943" t="b">
        <f t="shared" si="118"/>
        <v>0</v>
      </c>
      <c r="I943">
        <f t="shared" si="119"/>
        <v>211</v>
      </c>
      <c r="J943" t="s">
        <v>28</v>
      </c>
      <c r="K943">
        <v>20260730</v>
      </c>
    </row>
    <row r="944" spans="1:11" x14ac:dyDescent="0.3">
      <c r="A944" s="4">
        <v>46234</v>
      </c>
      <c r="B944">
        <f t="shared" si="112"/>
        <v>2026</v>
      </c>
      <c r="C944">
        <f t="shared" si="113"/>
        <v>7</v>
      </c>
      <c r="D944" t="str">
        <f t="shared" si="114"/>
        <v>July</v>
      </c>
      <c r="E944">
        <f t="shared" si="115"/>
        <v>31</v>
      </c>
      <c r="F944">
        <f t="shared" si="116"/>
        <v>31</v>
      </c>
      <c r="G944" t="str">
        <f t="shared" si="117"/>
        <v>Friday</v>
      </c>
      <c r="H944" t="b">
        <f t="shared" si="118"/>
        <v>0</v>
      </c>
      <c r="I944">
        <f t="shared" si="119"/>
        <v>212</v>
      </c>
      <c r="J944" t="s">
        <v>28</v>
      </c>
      <c r="K944">
        <v>20260731</v>
      </c>
    </row>
    <row r="945" spans="1:11" x14ac:dyDescent="0.3">
      <c r="A945" s="4">
        <v>46235</v>
      </c>
      <c r="B945">
        <f t="shared" si="112"/>
        <v>2026</v>
      </c>
      <c r="C945">
        <f t="shared" si="113"/>
        <v>8</v>
      </c>
      <c r="D945" t="str">
        <f t="shared" si="114"/>
        <v>August</v>
      </c>
      <c r="E945">
        <f t="shared" si="115"/>
        <v>31</v>
      </c>
      <c r="F945">
        <f t="shared" si="116"/>
        <v>1</v>
      </c>
      <c r="G945" t="str">
        <f t="shared" si="117"/>
        <v>Saturday</v>
      </c>
      <c r="H945" t="b">
        <f t="shared" si="118"/>
        <v>1</v>
      </c>
      <c r="I945">
        <f t="shared" si="119"/>
        <v>213</v>
      </c>
      <c r="J945" t="s">
        <v>28</v>
      </c>
      <c r="K945">
        <v>20260801</v>
      </c>
    </row>
    <row r="946" spans="1:11" x14ac:dyDescent="0.3">
      <c r="A946" s="4">
        <v>46236</v>
      </c>
      <c r="B946">
        <f t="shared" si="112"/>
        <v>2026</v>
      </c>
      <c r="C946">
        <f t="shared" si="113"/>
        <v>8</v>
      </c>
      <c r="D946" t="str">
        <f t="shared" si="114"/>
        <v>August</v>
      </c>
      <c r="E946">
        <f t="shared" si="115"/>
        <v>32</v>
      </c>
      <c r="F946">
        <f t="shared" si="116"/>
        <v>2</v>
      </c>
      <c r="G946" t="str">
        <f t="shared" si="117"/>
        <v>Sunday</v>
      </c>
      <c r="H946" t="b">
        <f t="shared" si="118"/>
        <v>1</v>
      </c>
      <c r="I946">
        <f t="shared" si="119"/>
        <v>214</v>
      </c>
      <c r="J946" t="s">
        <v>28</v>
      </c>
      <c r="K946">
        <v>20260802</v>
      </c>
    </row>
    <row r="947" spans="1:11" x14ac:dyDescent="0.3">
      <c r="A947" s="4">
        <v>46237</v>
      </c>
      <c r="B947">
        <f t="shared" si="112"/>
        <v>2026</v>
      </c>
      <c r="C947">
        <f t="shared" si="113"/>
        <v>8</v>
      </c>
      <c r="D947" t="str">
        <f t="shared" si="114"/>
        <v>August</v>
      </c>
      <c r="E947">
        <f t="shared" si="115"/>
        <v>32</v>
      </c>
      <c r="F947">
        <f t="shared" si="116"/>
        <v>3</v>
      </c>
      <c r="G947" t="str">
        <f t="shared" si="117"/>
        <v>Monday</v>
      </c>
      <c r="H947" t="b">
        <f t="shared" si="118"/>
        <v>0</v>
      </c>
      <c r="I947">
        <f t="shared" si="119"/>
        <v>215</v>
      </c>
      <c r="J947" t="s">
        <v>28</v>
      </c>
      <c r="K947">
        <v>20260803</v>
      </c>
    </row>
    <row r="948" spans="1:11" x14ac:dyDescent="0.3">
      <c r="A948" s="4">
        <v>46238</v>
      </c>
      <c r="B948">
        <f t="shared" si="112"/>
        <v>2026</v>
      </c>
      <c r="C948">
        <f t="shared" si="113"/>
        <v>8</v>
      </c>
      <c r="D948" t="str">
        <f t="shared" si="114"/>
        <v>August</v>
      </c>
      <c r="E948">
        <f t="shared" si="115"/>
        <v>32</v>
      </c>
      <c r="F948">
        <f t="shared" si="116"/>
        <v>4</v>
      </c>
      <c r="G948" t="str">
        <f t="shared" si="117"/>
        <v>Tuesday</v>
      </c>
      <c r="H948" t="b">
        <f t="shared" si="118"/>
        <v>0</v>
      </c>
      <c r="I948">
        <f t="shared" si="119"/>
        <v>216</v>
      </c>
      <c r="J948" t="s">
        <v>28</v>
      </c>
      <c r="K948">
        <v>20260804</v>
      </c>
    </row>
    <row r="949" spans="1:11" x14ac:dyDescent="0.3">
      <c r="A949" s="4">
        <v>46239</v>
      </c>
      <c r="B949">
        <f t="shared" si="112"/>
        <v>2026</v>
      </c>
      <c r="C949">
        <f t="shared" si="113"/>
        <v>8</v>
      </c>
      <c r="D949" t="str">
        <f t="shared" si="114"/>
        <v>August</v>
      </c>
      <c r="E949">
        <f t="shared" si="115"/>
        <v>32</v>
      </c>
      <c r="F949">
        <f t="shared" si="116"/>
        <v>5</v>
      </c>
      <c r="G949" t="str">
        <f t="shared" si="117"/>
        <v>Wednesday</v>
      </c>
      <c r="H949" t="b">
        <f t="shared" si="118"/>
        <v>0</v>
      </c>
      <c r="I949">
        <f t="shared" si="119"/>
        <v>217</v>
      </c>
      <c r="J949" t="s">
        <v>28</v>
      </c>
      <c r="K949">
        <v>20260805</v>
      </c>
    </row>
    <row r="950" spans="1:11" x14ac:dyDescent="0.3">
      <c r="A950" s="4">
        <v>46240</v>
      </c>
      <c r="B950">
        <f t="shared" si="112"/>
        <v>2026</v>
      </c>
      <c r="C950">
        <f t="shared" si="113"/>
        <v>8</v>
      </c>
      <c r="D950" t="str">
        <f t="shared" si="114"/>
        <v>August</v>
      </c>
      <c r="E950">
        <f t="shared" si="115"/>
        <v>32</v>
      </c>
      <c r="F950">
        <f t="shared" si="116"/>
        <v>6</v>
      </c>
      <c r="G950" t="str">
        <f t="shared" si="117"/>
        <v>Thursday</v>
      </c>
      <c r="H950" t="b">
        <f t="shared" si="118"/>
        <v>0</v>
      </c>
      <c r="I950">
        <f t="shared" si="119"/>
        <v>218</v>
      </c>
      <c r="J950" t="s">
        <v>28</v>
      </c>
      <c r="K950">
        <v>20260806</v>
      </c>
    </row>
    <row r="951" spans="1:11" x14ac:dyDescent="0.3">
      <c r="A951" s="4">
        <v>46241</v>
      </c>
      <c r="B951">
        <f t="shared" si="112"/>
        <v>2026</v>
      </c>
      <c r="C951">
        <f t="shared" si="113"/>
        <v>8</v>
      </c>
      <c r="D951" t="str">
        <f t="shared" si="114"/>
        <v>August</v>
      </c>
      <c r="E951">
        <f t="shared" si="115"/>
        <v>32</v>
      </c>
      <c r="F951">
        <f t="shared" si="116"/>
        <v>7</v>
      </c>
      <c r="G951" t="str">
        <f t="shared" si="117"/>
        <v>Friday</v>
      </c>
      <c r="H951" t="b">
        <f t="shared" si="118"/>
        <v>0</v>
      </c>
      <c r="I951">
        <f t="shared" si="119"/>
        <v>219</v>
      </c>
      <c r="J951" t="s">
        <v>28</v>
      </c>
      <c r="K951">
        <v>20260807</v>
      </c>
    </row>
    <row r="952" spans="1:11" x14ac:dyDescent="0.3">
      <c r="A952" s="4">
        <v>46242</v>
      </c>
      <c r="B952">
        <f t="shared" si="112"/>
        <v>2026</v>
      </c>
      <c r="C952">
        <f t="shared" si="113"/>
        <v>8</v>
      </c>
      <c r="D952" t="str">
        <f t="shared" si="114"/>
        <v>August</v>
      </c>
      <c r="E952">
        <f t="shared" si="115"/>
        <v>32</v>
      </c>
      <c r="F952">
        <f t="shared" si="116"/>
        <v>8</v>
      </c>
      <c r="G952" t="str">
        <f t="shared" si="117"/>
        <v>Saturday</v>
      </c>
      <c r="H952" t="b">
        <f t="shared" si="118"/>
        <v>1</v>
      </c>
      <c r="I952">
        <f t="shared" si="119"/>
        <v>220</v>
      </c>
      <c r="J952" t="s">
        <v>28</v>
      </c>
      <c r="K952">
        <v>20260808</v>
      </c>
    </row>
    <row r="953" spans="1:11" x14ac:dyDescent="0.3">
      <c r="A953" s="4">
        <v>46243</v>
      </c>
      <c r="B953">
        <f t="shared" si="112"/>
        <v>2026</v>
      </c>
      <c r="C953">
        <f t="shared" si="113"/>
        <v>8</v>
      </c>
      <c r="D953" t="str">
        <f t="shared" si="114"/>
        <v>August</v>
      </c>
      <c r="E953">
        <f t="shared" si="115"/>
        <v>33</v>
      </c>
      <c r="F953">
        <f t="shared" si="116"/>
        <v>9</v>
      </c>
      <c r="G953" t="str">
        <f t="shared" si="117"/>
        <v>Sunday</v>
      </c>
      <c r="H953" t="b">
        <f t="shared" si="118"/>
        <v>1</v>
      </c>
      <c r="I953">
        <f t="shared" si="119"/>
        <v>221</v>
      </c>
      <c r="J953" t="s">
        <v>28</v>
      </c>
      <c r="K953">
        <v>20260809</v>
      </c>
    </row>
    <row r="954" spans="1:11" x14ac:dyDescent="0.3">
      <c r="A954" s="4">
        <v>46244</v>
      </c>
      <c r="B954">
        <f t="shared" si="112"/>
        <v>2026</v>
      </c>
      <c r="C954">
        <f t="shared" si="113"/>
        <v>8</v>
      </c>
      <c r="D954" t="str">
        <f t="shared" si="114"/>
        <v>August</v>
      </c>
      <c r="E954">
        <f t="shared" si="115"/>
        <v>33</v>
      </c>
      <c r="F954">
        <f t="shared" si="116"/>
        <v>10</v>
      </c>
      <c r="G954" t="str">
        <f t="shared" si="117"/>
        <v>Monday</v>
      </c>
      <c r="H954" t="b">
        <f t="shared" si="118"/>
        <v>0</v>
      </c>
      <c r="I954">
        <f t="shared" si="119"/>
        <v>222</v>
      </c>
      <c r="J954" t="s">
        <v>28</v>
      </c>
      <c r="K954">
        <v>20260810</v>
      </c>
    </row>
    <row r="955" spans="1:11" x14ac:dyDescent="0.3">
      <c r="A955" s="4">
        <v>46245</v>
      </c>
      <c r="B955">
        <f t="shared" si="112"/>
        <v>2026</v>
      </c>
      <c r="C955">
        <f t="shared" si="113"/>
        <v>8</v>
      </c>
      <c r="D955" t="str">
        <f t="shared" si="114"/>
        <v>August</v>
      </c>
      <c r="E955">
        <f t="shared" si="115"/>
        <v>33</v>
      </c>
      <c r="F955">
        <f t="shared" si="116"/>
        <v>11</v>
      </c>
      <c r="G955" t="str">
        <f t="shared" si="117"/>
        <v>Tuesday</v>
      </c>
      <c r="H955" t="b">
        <f t="shared" si="118"/>
        <v>0</v>
      </c>
      <c r="I955">
        <f t="shared" si="119"/>
        <v>223</v>
      </c>
      <c r="J955" t="s">
        <v>28</v>
      </c>
      <c r="K955">
        <v>20260811</v>
      </c>
    </row>
    <row r="956" spans="1:11" x14ac:dyDescent="0.3">
      <c r="A956" s="4">
        <v>46246</v>
      </c>
      <c r="B956">
        <f t="shared" si="112"/>
        <v>2026</v>
      </c>
      <c r="C956">
        <f t="shared" si="113"/>
        <v>8</v>
      </c>
      <c r="D956" t="str">
        <f t="shared" si="114"/>
        <v>August</v>
      </c>
      <c r="E956">
        <f t="shared" si="115"/>
        <v>33</v>
      </c>
      <c r="F956">
        <f t="shared" si="116"/>
        <v>12</v>
      </c>
      <c r="G956" t="str">
        <f t="shared" si="117"/>
        <v>Wednesday</v>
      </c>
      <c r="H956" t="b">
        <f t="shared" si="118"/>
        <v>0</v>
      </c>
      <c r="I956">
        <f t="shared" si="119"/>
        <v>224</v>
      </c>
      <c r="J956" t="s">
        <v>28</v>
      </c>
      <c r="K956">
        <v>20260812</v>
      </c>
    </row>
    <row r="957" spans="1:11" x14ac:dyDescent="0.3">
      <c r="A957" s="4">
        <v>46247</v>
      </c>
      <c r="B957">
        <f t="shared" si="112"/>
        <v>2026</v>
      </c>
      <c r="C957">
        <f t="shared" si="113"/>
        <v>8</v>
      </c>
      <c r="D957" t="str">
        <f t="shared" si="114"/>
        <v>August</v>
      </c>
      <c r="E957">
        <f t="shared" si="115"/>
        <v>33</v>
      </c>
      <c r="F957">
        <f t="shared" si="116"/>
        <v>13</v>
      </c>
      <c r="G957" t="str">
        <f t="shared" si="117"/>
        <v>Thursday</v>
      </c>
      <c r="H957" t="b">
        <f t="shared" si="118"/>
        <v>0</v>
      </c>
      <c r="I957">
        <f t="shared" si="119"/>
        <v>225</v>
      </c>
      <c r="J957" t="s">
        <v>28</v>
      </c>
      <c r="K957">
        <v>20260813</v>
      </c>
    </row>
    <row r="958" spans="1:11" x14ac:dyDescent="0.3">
      <c r="A958" s="4">
        <v>46248</v>
      </c>
      <c r="B958">
        <f t="shared" si="112"/>
        <v>2026</v>
      </c>
      <c r="C958">
        <f t="shared" si="113"/>
        <v>8</v>
      </c>
      <c r="D958" t="str">
        <f t="shared" si="114"/>
        <v>August</v>
      </c>
      <c r="E958">
        <f t="shared" si="115"/>
        <v>33</v>
      </c>
      <c r="F958">
        <f t="shared" si="116"/>
        <v>14</v>
      </c>
      <c r="G958" t="str">
        <f t="shared" si="117"/>
        <v>Friday</v>
      </c>
      <c r="H958" t="b">
        <f t="shared" si="118"/>
        <v>0</v>
      </c>
      <c r="I958">
        <f t="shared" si="119"/>
        <v>226</v>
      </c>
      <c r="J958" t="s">
        <v>28</v>
      </c>
      <c r="K958">
        <v>20260814</v>
      </c>
    </row>
    <row r="959" spans="1:11" x14ac:dyDescent="0.3">
      <c r="A959" s="4">
        <v>46249</v>
      </c>
      <c r="B959">
        <f t="shared" si="112"/>
        <v>2026</v>
      </c>
      <c r="C959">
        <f t="shared" si="113"/>
        <v>8</v>
      </c>
      <c r="D959" t="str">
        <f t="shared" si="114"/>
        <v>August</v>
      </c>
      <c r="E959">
        <f t="shared" si="115"/>
        <v>33</v>
      </c>
      <c r="F959">
        <f t="shared" si="116"/>
        <v>15</v>
      </c>
      <c r="G959" t="str">
        <f t="shared" si="117"/>
        <v>Saturday</v>
      </c>
      <c r="H959" t="b">
        <f t="shared" si="118"/>
        <v>1</v>
      </c>
      <c r="I959">
        <f t="shared" si="119"/>
        <v>227</v>
      </c>
      <c r="J959" t="s">
        <v>28</v>
      </c>
      <c r="K959">
        <v>20260815</v>
      </c>
    </row>
    <row r="960" spans="1:11" x14ac:dyDescent="0.3">
      <c r="A960" s="4">
        <v>46250</v>
      </c>
      <c r="B960">
        <f t="shared" si="112"/>
        <v>2026</v>
      </c>
      <c r="C960">
        <f t="shared" si="113"/>
        <v>8</v>
      </c>
      <c r="D960" t="str">
        <f t="shared" si="114"/>
        <v>August</v>
      </c>
      <c r="E960">
        <f t="shared" si="115"/>
        <v>34</v>
      </c>
      <c r="F960">
        <f t="shared" si="116"/>
        <v>16</v>
      </c>
      <c r="G960" t="str">
        <f t="shared" si="117"/>
        <v>Sunday</v>
      </c>
      <c r="H960" t="b">
        <f t="shared" si="118"/>
        <v>1</v>
      </c>
      <c r="I960">
        <f t="shared" si="119"/>
        <v>228</v>
      </c>
      <c r="J960" t="s">
        <v>28</v>
      </c>
      <c r="K960">
        <v>20260816</v>
      </c>
    </row>
    <row r="961" spans="1:11" x14ac:dyDescent="0.3">
      <c r="A961" s="4">
        <v>46251</v>
      </c>
      <c r="B961">
        <f t="shared" si="112"/>
        <v>2026</v>
      </c>
      <c r="C961">
        <f t="shared" si="113"/>
        <v>8</v>
      </c>
      <c r="D961" t="str">
        <f t="shared" si="114"/>
        <v>August</v>
      </c>
      <c r="E961">
        <f t="shared" si="115"/>
        <v>34</v>
      </c>
      <c r="F961">
        <f t="shared" si="116"/>
        <v>17</v>
      </c>
      <c r="G961" t="str">
        <f t="shared" si="117"/>
        <v>Monday</v>
      </c>
      <c r="H961" t="b">
        <f t="shared" si="118"/>
        <v>0</v>
      </c>
      <c r="I961">
        <f t="shared" si="119"/>
        <v>229</v>
      </c>
      <c r="J961" t="s">
        <v>28</v>
      </c>
      <c r="K961">
        <v>20260817</v>
      </c>
    </row>
    <row r="962" spans="1:11" x14ac:dyDescent="0.3">
      <c r="A962" s="4">
        <v>46252</v>
      </c>
      <c r="B962">
        <f t="shared" si="112"/>
        <v>2026</v>
      </c>
      <c r="C962">
        <f t="shared" si="113"/>
        <v>8</v>
      </c>
      <c r="D962" t="str">
        <f t="shared" si="114"/>
        <v>August</v>
      </c>
      <c r="E962">
        <f t="shared" si="115"/>
        <v>34</v>
      </c>
      <c r="F962">
        <f t="shared" si="116"/>
        <v>18</v>
      </c>
      <c r="G962" t="str">
        <f t="shared" si="117"/>
        <v>Tuesday</v>
      </c>
      <c r="H962" t="b">
        <f t="shared" si="118"/>
        <v>0</v>
      </c>
      <c r="I962">
        <f t="shared" si="119"/>
        <v>230</v>
      </c>
      <c r="J962" t="s">
        <v>28</v>
      </c>
      <c r="K962">
        <v>20260818</v>
      </c>
    </row>
    <row r="963" spans="1:11" x14ac:dyDescent="0.3">
      <c r="A963" s="4">
        <v>46253</v>
      </c>
      <c r="B963">
        <f t="shared" ref="B963:B1026" si="120">YEAR(A963)</f>
        <v>2026</v>
      </c>
      <c r="C963">
        <f t="shared" ref="C963:C1026" si="121">MONTH(A963)</f>
        <v>8</v>
      </c>
      <c r="D963" t="str">
        <f t="shared" ref="D963:D1026" si="122">TEXT(A963,"mmmm")</f>
        <v>August</v>
      </c>
      <c r="E963">
        <f t="shared" ref="E963:E1026" si="123">WEEKNUM(A963)</f>
        <v>34</v>
      </c>
      <c r="F963">
        <f t="shared" ref="F963:F1026" si="124">DAY(A963)</f>
        <v>19</v>
      </c>
      <c r="G963" t="str">
        <f t="shared" ref="G963:G1026" si="125">TEXT((A963),"dddd")</f>
        <v>Wednesday</v>
      </c>
      <c r="H963" t="b">
        <f t="shared" ref="H963:H1026" si="126">IF(OR(G963="Saturday",G963="Sunday"),TRUE,FALSE)</f>
        <v>0</v>
      </c>
      <c r="I963">
        <f t="shared" ref="I963:I1026" si="127">A963-DATE(YEAR(A963),1,1)+1</f>
        <v>231</v>
      </c>
      <c r="J963" t="s">
        <v>28</v>
      </c>
      <c r="K963">
        <v>20260819</v>
      </c>
    </row>
    <row r="964" spans="1:11" x14ac:dyDescent="0.3">
      <c r="A964" s="4">
        <v>46254</v>
      </c>
      <c r="B964">
        <f t="shared" si="120"/>
        <v>2026</v>
      </c>
      <c r="C964">
        <f t="shared" si="121"/>
        <v>8</v>
      </c>
      <c r="D964" t="str">
        <f t="shared" si="122"/>
        <v>August</v>
      </c>
      <c r="E964">
        <f t="shared" si="123"/>
        <v>34</v>
      </c>
      <c r="F964">
        <f t="shared" si="124"/>
        <v>20</v>
      </c>
      <c r="G964" t="str">
        <f t="shared" si="125"/>
        <v>Thursday</v>
      </c>
      <c r="H964" t="b">
        <f t="shared" si="126"/>
        <v>0</v>
      </c>
      <c r="I964">
        <f t="shared" si="127"/>
        <v>232</v>
      </c>
      <c r="J964" t="s">
        <v>28</v>
      </c>
      <c r="K964">
        <v>20260820</v>
      </c>
    </row>
    <row r="965" spans="1:11" x14ac:dyDescent="0.3">
      <c r="A965" s="4">
        <v>46255</v>
      </c>
      <c r="B965">
        <f t="shared" si="120"/>
        <v>2026</v>
      </c>
      <c r="C965">
        <f t="shared" si="121"/>
        <v>8</v>
      </c>
      <c r="D965" t="str">
        <f t="shared" si="122"/>
        <v>August</v>
      </c>
      <c r="E965">
        <f t="shared" si="123"/>
        <v>34</v>
      </c>
      <c r="F965">
        <f t="shared" si="124"/>
        <v>21</v>
      </c>
      <c r="G965" t="str">
        <f t="shared" si="125"/>
        <v>Friday</v>
      </c>
      <c r="H965" t="b">
        <f t="shared" si="126"/>
        <v>0</v>
      </c>
      <c r="I965">
        <f t="shared" si="127"/>
        <v>233</v>
      </c>
      <c r="J965" t="s">
        <v>28</v>
      </c>
      <c r="K965">
        <v>20260821</v>
      </c>
    </row>
    <row r="966" spans="1:11" x14ac:dyDescent="0.3">
      <c r="A966" s="4">
        <v>46256</v>
      </c>
      <c r="B966">
        <f t="shared" si="120"/>
        <v>2026</v>
      </c>
      <c r="C966">
        <f t="shared" si="121"/>
        <v>8</v>
      </c>
      <c r="D966" t="str">
        <f t="shared" si="122"/>
        <v>August</v>
      </c>
      <c r="E966">
        <f t="shared" si="123"/>
        <v>34</v>
      </c>
      <c r="F966">
        <f t="shared" si="124"/>
        <v>22</v>
      </c>
      <c r="G966" t="str">
        <f t="shared" si="125"/>
        <v>Saturday</v>
      </c>
      <c r="H966" t="b">
        <f t="shared" si="126"/>
        <v>1</v>
      </c>
      <c r="I966">
        <f t="shared" si="127"/>
        <v>234</v>
      </c>
      <c r="J966" t="s">
        <v>28</v>
      </c>
      <c r="K966">
        <v>20260822</v>
      </c>
    </row>
    <row r="967" spans="1:11" x14ac:dyDescent="0.3">
      <c r="A967" s="4">
        <v>46257</v>
      </c>
      <c r="B967">
        <f t="shared" si="120"/>
        <v>2026</v>
      </c>
      <c r="C967">
        <f t="shared" si="121"/>
        <v>8</v>
      </c>
      <c r="D967" t="str">
        <f t="shared" si="122"/>
        <v>August</v>
      </c>
      <c r="E967">
        <f t="shared" si="123"/>
        <v>35</v>
      </c>
      <c r="F967">
        <f t="shared" si="124"/>
        <v>23</v>
      </c>
      <c r="G967" t="str">
        <f t="shared" si="125"/>
        <v>Sunday</v>
      </c>
      <c r="H967" t="b">
        <f t="shared" si="126"/>
        <v>1</v>
      </c>
      <c r="I967">
        <f t="shared" si="127"/>
        <v>235</v>
      </c>
      <c r="J967" t="s">
        <v>28</v>
      </c>
      <c r="K967">
        <v>20260823</v>
      </c>
    </row>
    <row r="968" spans="1:11" x14ac:dyDescent="0.3">
      <c r="A968" s="4">
        <v>46258</v>
      </c>
      <c r="B968">
        <f t="shared" si="120"/>
        <v>2026</v>
      </c>
      <c r="C968">
        <f t="shared" si="121"/>
        <v>8</v>
      </c>
      <c r="D968" t="str">
        <f t="shared" si="122"/>
        <v>August</v>
      </c>
      <c r="E968">
        <f t="shared" si="123"/>
        <v>35</v>
      </c>
      <c r="F968">
        <f t="shared" si="124"/>
        <v>24</v>
      </c>
      <c r="G968" t="str">
        <f t="shared" si="125"/>
        <v>Monday</v>
      </c>
      <c r="H968" t="b">
        <f t="shared" si="126"/>
        <v>0</v>
      </c>
      <c r="I968">
        <f t="shared" si="127"/>
        <v>236</v>
      </c>
      <c r="J968" t="s">
        <v>28</v>
      </c>
      <c r="K968">
        <v>20260824</v>
      </c>
    </row>
    <row r="969" spans="1:11" x14ac:dyDescent="0.3">
      <c r="A969" s="4">
        <v>46259</v>
      </c>
      <c r="B969">
        <f t="shared" si="120"/>
        <v>2026</v>
      </c>
      <c r="C969">
        <f t="shared" si="121"/>
        <v>8</v>
      </c>
      <c r="D969" t="str">
        <f t="shared" si="122"/>
        <v>August</v>
      </c>
      <c r="E969">
        <f t="shared" si="123"/>
        <v>35</v>
      </c>
      <c r="F969">
        <f t="shared" si="124"/>
        <v>25</v>
      </c>
      <c r="G969" t="str">
        <f t="shared" si="125"/>
        <v>Tuesday</v>
      </c>
      <c r="H969" t="b">
        <f t="shared" si="126"/>
        <v>0</v>
      </c>
      <c r="I969">
        <f t="shared" si="127"/>
        <v>237</v>
      </c>
      <c r="J969" t="s">
        <v>28</v>
      </c>
      <c r="K969">
        <v>20260825</v>
      </c>
    </row>
    <row r="970" spans="1:11" x14ac:dyDescent="0.3">
      <c r="A970" s="4">
        <v>46260</v>
      </c>
      <c r="B970">
        <f t="shared" si="120"/>
        <v>2026</v>
      </c>
      <c r="C970">
        <f t="shared" si="121"/>
        <v>8</v>
      </c>
      <c r="D970" t="str">
        <f t="shared" si="122"/>
        <v>August</v>
      </c>
      <c r="E970">
        <f t="shared" si="123"/>
        <v>35</v>
      </c>
      <c r="F970">
        <f t="shared" si="124"/>
        <v>26</v>
      </c>
      <c r="G970" t="str">
        <f t="shared" si="125"/>
        <v>Wednesday</v>
      </c>
      <c r="H970" t="b">
        <f t="shared" si="126"/>
        <v>0</v>
      </c>
      <c r="I970">
        <f t="shared" si="127"/>
        <v>238</v>
      </c>
      <c r="J970" t="s">
        <v>28</v>
      </c>
      <c r="K970">
        <v>20260826</v>
      </c>
    </row>
    <row r="971" spans="1:11" x14ac:dyDescent="0.3">
      <c r="A971" s="4">
        <v>46261</v>
      </c>
      <c r="B971">
        <f t="shared" si="120"/>
        <v>2026</v>
      </c>
      <c r="C971">
        <f t="shared" si="121"/>
        <v>8</v>
      </c>
      <c r="D971" t="str">
        <f t="shared" si="122"/>
        <v>August</v>
      </c>
      <c r="E971">
        <f t="shared" si="123"/>
        <v>35</v>
      </c>
      <c r="F971">
        <f t="shared" si="124"/>
        <v>27</v>
      </c>
      <c r="G971" t="str">
        <f t="shared" si="125"/>
        <v>Thursday</v>
      </c>
      <c r="H971" t="b">
        <f t="shared" si="126"/>
        <v>0</v>
      </c>
      <c r="I971">
        <f t="shared" si="127"/>
        <v>239</v>
      </c>
      <c r="J971" t="s">
        <v>28</v>
      </c>
      <c r="K971">
        <v>20260827</v>
      </c>
    </row>
    <row r="972" spans="1:11" x14ac:dyDescent="0.3">
      <c r="A972" s="4">
        <v>46262</v>
      </c>
      <c r="B972">
        <f t="shared" si="120"/>
        <v>2026</v>
      </c>
      <c r="C972">
        <f t="shared" si="121"/>
        <v>8</v>
      </c>
      <c r="D972" t="str">
        <f t="shared" si="122"/>
        <v>August</v>
      </c>
      <c r="E972">
        <f t="shared" si="123"/>
        <v>35</v>
      </c>
      <c r="F972">
        <f t="shared" si="124"/>
        <v>28</v>
      </c>
      <c r="G972" t="str">
        <f t="shared" si="125"/>
        <v>Friday</v>
      </c>
      <c r="H972" t="b">
        <f t="shared" si="126"/>
        <v>0</v>
      </c>
      <c r="I972">
        <f t="shared" si="127"/>
        <v>240</v>
      </c>
      <c r="J972" t="s">
        <v>28</v>
      </c>
      <c r="K972">
        <v>20260828</v>
      </c>
    </row>
    <row r="973" spans="1:11" x14ac:dyDescent="0.3">
      <c r="A973" s="4">
        <v>46263</v>
      </c>
      <c r="B973">
        <f t="shared" si="120"/>
        <v>2026</v>
      </c>
      <c r="C973">
        <f t="shared" si="121"/>
        <v>8</v>
      </c>
      <c r="D973" t="str">
        <f t="shared" si="122"/>
        <v>August</v>
      </c>
      <c r="E973">
        <f t="shared" si="123"/>
        <v>35</v>
      </c>
      <c r="F973">
        <f t="shared" si="124"/>
        <v>29</v>
      </c>
      <c r="G973" t="str">
        <f t="shared" si="125"/>
        <v>Saturday</v>
      </c>
      <c r="H973" t="b">
        <f t="shared" si="126"/>
        <v>1</v>
      </c>
      <c r="I973">
        <f t="shared" si="127"/>
        <v>241</v>
      </c>
      <c r="J973" t="s">
        <v>28</v>
      </c>
      <c r="K973">
        <v>20260829</v>
      </c>
    </row>
    <row r="974" spans="1:11" x14ac:dyDescent="0.3">
      <c r="A974" s="4">
        <v>46264</v>
      </c>
      <c r="B974">
        <f t="shared" si="120"/>
        <v>2026</v>
      </c>
      <c r="C974">
        <f t="shared" si="121"/>
        <v>8</v>
      </c>
      <c r="D974" t="str">
        <f t="shared" si="122"/>
        <v>August</v>
      </c>
      <c r="E974">
        <f t="shared" si="123"/>
        <v>36</v>
      </c>
      <c r="F974">
        <f t="shared" si="124"/>
        <v>30</v>
      </c>
      <c r="G974" t="str">
        <f t="shared" si="125"/>
        <v>Sunday</v>
      </c>
      <c r="H974" t="b">
        <f t="shared" si="126"/>
        <v>1</v>
      </c>
      <c r="I974">
        <f t="shared" si="127"/>
        <v>242</v>
      </c>
      <c r="J974" t="s">
        <v>28</v>
      </c>
      <c r="K974">
        <v>20260830</v>
      </c>
    </row>
    <row r="975" spans="1:11" x14ac:dyDescent="0.3">
      <c r="A975" s="4">
        <v>46265</v>
      </c>
      <c r="B975">
        <f t="shared" si="120"/>
        <v>2026</v>
      </c>
      <c r="C975">
        <f t="shared" si="121"/>
        <v>8</v>
      </c>
      <c r="D975" t="str">
        <f t="shared" si="122"/>
        <v>August</v>
      </c>
      <c r="E975">
        <f t="shared" si="123"/>
        <v>36</v>
      </c>
      <c r="F975">
        <f t="shared" si="124"/>
        <v>31</v>
      </c>
      <c r="G975" t="str">
        <f t="shared" si="125"/>
        <v>Monday</v>
      </c>
      <c r="H975" t="b">
        <f t="shared" si="126"/>
        <v>0</v>
      </c>
      <c r="I975">
        <f t="shared" si="127"/>
        <v>243</v>
      </c>
      <c r="J975" t="s">
        <v>28</v>
      </c>
      <c r="K975">
        <v>20260831</v>
      </c>
    </row>
    <row r="976" spans="1:11" x14ac:dyDescent="0.3">
      <c r="A976" s="4">
        <v>46266</v>
      </c>
      <c r="B976">
        <f t="shared" si="120"/>
        <v>2026</v>
      </c>
      <c r="C976">
        <f t="shared" si="121"/>
        <v>9</v>
      </c>
      <c r="D976" t="str">
        <f t="shared" si="122"/>
        <v>September</v>
      </c>
      <c r="E976">
        <f t="shared" si="123"/>
        <v>36</v>
      </c>
      <c r="F976">
        <f t="shared" si="124"/>
        <v>1</v>
      </c>
      <c r="G976" t="str">
        <f t="shared" si="125"/>
        <v>Tuesday</v>
      </c>
      <c r="H976" t="b">
        <f t="shared" si="126"/>
        <v>0</v>
      </c>
      <c r="I976">
        <f t="shared" si="127"/>
        <v>244</v>
      </c>
      <c r="J976" t="s">
        <v>25</v>
      </c>
      <c r="K976">
        <v>20260901</v>
      </c>
    </row>
    <row r="977" spans="1:11" x14ac:dyDescent="0.3">
      <c r="A977" s="4">
        <v>46267</v>
      </c>
      <c r="B977">
        <f t="shared" si="120"/>
        <v>2026</v>
      </c>
      <c r="C977">
        <f t="shared" si="121"/>
        <v>9</v>
      </c>
      <c r="D977" t="str">
        <f t="shared" si="122"/>
        <v>September</v>
      </c>
      <c r="E977">
        <f t="shared" si="123"/>
        <v>36</v>
      </c>
      <c r="F977">
        <f t="shared" si="124"/>
        <v>2</v>
      </c>
      <c r="G977" t="str">
        <f t="shared" si="125"/>
        <v>Wednesday</v>
      </c>
      <c r="H977" t="b">
        <f t="shared" si="126"/>
        <v>0</v>
      </c>
      <c r="I977">
        <f t="shared" si="127"/>
        <v>245</v>
      </c>
      <c r="J977" t="s">
        <v>25</v>
      </c>
      <c r="K977">
        <v>20260902</v>
      </c>
    </row>
    <row r="978" spans="1:11" x14ac:dyDescent="0.3">
      <c r="A978" s="4">
        <v>46268</v>
      </c>
      <c r="B978">
        <f t="shared" si="120"/>
        <v>2026</v>
      </c>
      <c r="C978">
        <f t="shared" si="121"/>
        <v>9</v>
      </c>
      <c r="D978" t="str">
        <f t="shared" si="122"/>
        <v>September</v>
      </c>
      <c r="E978">
        <f t="shared" si="123"/>
        <v>36</v>
      </c>
      <c r="F978">
        <f t="shared" si="124"/>
        <v>3</v>
      </c>
      <c r="G978" t="str">
        <f t="shared" si="125"/>
        <v>Thursday</v>
      </c>
      <c r="H978" t="b">
        <f t="shared" si="126"/>
        <v>0</v>
      </c>
      <c r="I978">
        <f t="shared" si="127"/>
        <v>246</v>
      </c>
      <c r="J978" t="s">
        <v>25</v>
      </c>
      <c r="K978">
        <v>20260903</v>
      </c>
    </row>
    <row r="979" spans="1:11" x14ac:dyDescent="0.3">
      <c r="A979" s="4">
        <v>46269</v>
      </c>
      <c r="B979">
        <f t="shared" si="120"/>
        <v>2026</v>
      </c>
      <c r="C979">
        <f t="shared" si="121"/>
        <v>9</v>
      </c>
      <c r="D979" t="str">
        <f t="shared" si="122"/>
        <v>September</v>
      </c>
      <c r="E979">
        <f t="shared" si="123"/>
        <v>36</v>
      </c>
      <c r="F979">
        <f t="shared" si="124"/>
        <v>4</v>
      </c>
      <c r="G979" t="str">
        <f t="shared" si="125"/>
        <v>Friday</v>
      </c>
      <c r="H979" t="b">
        <f t="shared" si="126"/>
        <v>0</v>
      </c>
      <c r="I979">
        <f t="shared" si="127"/>
        <v>247</v>
      </c>
      <c r="J979" t="s">
        <v>25</v>
      </c>
      <c r="K979">
        <v>20260904</v>
      </c>
    </row>
    <row r="980" spans="1:11" x14ac:dyDescent="0.3">
      <c r="A980" s="4">
        <v>46270</v>
      </c>
      <c r="B980">
        <f t="shared" si="120"/>
        <v>2026</v>
      </c>
      <c r="C980">
        <f t="shared" si="121"/>
        <v>9</v>
      </c>
      <c r="D980" t="str">
        <f t="shared" si="122"/>
        <v>September</v>
      </c>
      <c r="E980">
        <f t="shared" si="123"/>
        <v>36</v>
      </c>
      <c r="F980">
        <f t="shared" si="124"/>
        <v>5</v>
      </c>
      <c r="G980" t="str">
        <f t="shared" si="125"/>
        <v>Saturday</v>
      </c>
      <c r="H980" t="b">
        <f t="shared" si="126"/>
        <v>1</v>
      </c>
      <c r="I980">
        <f t="shared" si="127"/>
        <v>248</v>
      </c>
      <c r="J980" t="s">
        <v>25</v>
      </c>
      <c r="K980">
        <v>20260905</v>
      </c>
    </row>
    <row r="981" spans="1:11" x14ac:dyDescent="0.3">
      <c r="A981" s="4">
        <v>46271</v>
      </c>
      <c r="B981">
        <f t="shared" si="120"/>
        <v>2026</v>
      </c>
      <c r="C981">
        <f t="shared" si="121"/>
        <v>9</v>
      </c>
      <c r="D981" t="str">
        <f t="shared" si="122"/>
        <v>September</v>
      </c>
      <c r="E981">
        <f t="shared" si="123"/>
        <v>37</v>
      </c>
      <c r="F981">
        <f t="shared" si="124"/>
        <v>6</v>
      </c>
      <c r="G981" t="str">
        <f t="shared" si="125"/>
        <v>Sunday</v>
      </c>
      <c r="H981" t="b">
        <f t="shared" si="126"/>
        <v>1</v>
      </c>
      <c r="I981">
        <f t="shared" si="127"/>
        <v>249</v>
      </c>
      <c r="J981" t="s">
        <v>25</v>
      </c>
      <c r="K981">
        <v>20260906</v>
      </c>
    </row>
    <row r="982" spans="1:11" x14ac:dyDescent="0.3">
      <c r="A982" s="4">
        <v>46272</v>
      </c>
      <c r="B982">
        <f t="shared" si="120"/>
        <v>2026</v>
      </c>
      <c r="C982">
        <f t="shared" si="121"/>
        <v>9</v>
      </c>
      <c r="D982" t="str">
        <f t="shared" si="122"/>
        <v>September</v>
      </c>
      <c r="E982">
        <f t="shared" si="123"/>
        <v>37</v>
      </c>
      <c r="F982">
        <f t="shared" si="124"/>
        <v>7</v>
      </c>
      <c r="G982" t="str">
        <f t="shared" si="125"/>
        <v>Monday</v>
      </c>
      <c r="H982" t="b">
        <f t="shared" si="126"/>
        <v>0</v>
      </c>
      <c r="I982">
        <f t="shared" si="127"/>
        <v>250</v>
      </c>
      <c r="J982" t="s">
        <v>25</v>
      </c>
      <c r="K982">
        <v>20260907</v>
      </c>
    </row>
    <row r="983" spans="1:11" x14ac:dyDescent="0.3">
      <c r="A983" s="4">
        <v>46273</v>
      </c>
      <c r="B983">
        <f t="shared" si="120"/>
        <v>2026</v>
      </c>
      <c r="C983">
        <f t="shared" si="121"/>
        <v>9</v>
      </c>
      <c r="D983" t="str">
        <f t="shared" si="122"/>
        <v>September</v>
      </c>
      <c r="E983">
        <f t="shared" si="123"/>
        <v>37</v>
      </c>
      <c r="F983">
        <f t="shared" si="124"/>
        <v>8</v>
      </c>
      <c r="G983" t="str">
        <f t="shared" si="125"/>
        <v>Tuesday</v>
      </c>
      <c r="H983" t="b">
        <f t="shared" si="126"/>
        <v>0</v>
      </c>
      <c r="I983">
        <f t="shared" si="127"/>
        <v>251</v>
      </c>
      <c r="J983" t="s">
        <v>25</v>
      </c>
      <c r="K983">
        <v>20260908</v>
      </c>
    </row>
    <row r="984" spans="1:11" x14ac:dyDescent="0.3">
      <c r="A984" s="4">
        <v>46274</v>
      </c>
      <c r="B984">
        <f t="shared" si="120"/>
        <v>2026</v>
      </c>
      <c r="C984">
        <f t="shared" si="121"/>
        <v>9</v>
      </c>
      <c r="D984" t="str">
        <f t="shared" si="122"/>
        <v>September</v>
      </c>
      <c r="E984">
        <f t="shared" si="123"/>
        <v>37</v>
      </c>
      <c r="F984">
        <f t="shared" si="124"/>
        <v>9</v>
      </c>
      <c r="G984" t="str">
        <f t="shared" si="125"/>
        <v>Wednesday</v>
      </c>
      <c r="H984" t="b">
        <f t="shared" si="126"/>
        <v>0</v>
      </c>
      <c r="I984">
        <f t="shared" si="127"/>
        <v>252</v>
      </c>
      <c r="J984" t="s">
        <v>25</v>
      </c>
      <c r="K984">
        <v>20260909</v>
      </c>
    </row>
    <row r="985" spans="1:11" x14ac:dyDescent="0.3">
      <c r="A985" s="4">
        <v>46275</v>
      </c>
      <c r="B985">
        <f t="shared" si="120"/>
        <v>2026</v>
      </c>
      <c r="C985">
        <f t="shared" si="121"/>
        <v>9</v>
      </c>
      <c r="D985" t="str">
        <f t="shared" si="122"/>
        <v>September</v>
      </c>
      <c r="E985">
        <f t="shared" si="123"/>
        <v>37</v>
      </c>
      <c r="F985">
        <f t="shared" si="124"/>
        <v>10</v>
      </c>
      <c r="G985" t="str">
        <f t="shared" si="125"/>
        <v>Thursday</v>
      </c>
      <c r="H985" t="b">
        <f t="shared" si="126"/>
        <v>0</v>
      </c>
      <c r="I985">
        <f t="shared" si="127"/>
        <v>253</v>
      </c>
      <c r="J985" t="s">
        <v>25</v>
      </c>
      <c r="K985">
        <v>20260910</v>
      </c>
    </row>
    <row r="986" spans="1:11" x14ac:dyDescent="0.3">
      <c r="A986" s="4">
        <v>46276</v>
      </c>
      <c r="B986">
        <f t="shared" si="120"/>
        <v>2026</v>
      </c>
      <c r="C986">
        <f t="shared" si="121"/>
        <v>9</v>
      </c>
      <c r="D986" t="str">
        <f t="shared" si="122"/>
        <v>September</v>
      </c>
      <c r="E986">
        <f t="shared" si="123"/>
        <v>37</v>
      </c>
      <c r="F986">
        <f t="shared" si="124"/>
        <v>11</v>
      </c>
      <c r="G986" t="str">
        <f t="shared" si="125"/>
        <v>Friday</v>
      </c>
      <c r="H986" t="b">
        <f t="shared" si="126"/>
        <v>0</v>
      </c>
      <c r="I986">
        <f t="shared" si="127"/>
        <v>254</v>
      </c>
      <c r="J986" t="s">
        <v>25</v>
      </c>
      <c r="K986">
        <v>20260911</v>
      </c>
    </row>
    <row r="987" spans="1:11" x14ac:dyDescent="0.3">
      <c r="A987" s="4">
        <v>46277</v>
      </c>
      <c r="B987">
        <f t="shared" si="120"/>
        <v>2026</v>
      </c>
      <c r="C987">
        <f t="shared" si="121"/>
        <v>9</v>
      </c>
      <c r="D987" t="str">
        <f t="shared" si="122"/>
        <v>September</v>
      </c>
      <c r="E987">
        <f t="shared" si="123"/>
        <v>37</v>
      </c>
      <c r="F987">
        <f t="shared" si="124"/>
        <v>12</v>
      </c>
      <c r="G987" t="str">
        <f t="shared" si="125"/>
        <v>Saturday</v>
      </c>
      <c r="H987" t="b">
        <f t="shared" si="126"/>
        <v>1</v>
      </c>
      <c r="I987">
        <f t="shared" si="127"/>
        <v>255</v>
      </c>
      <c r="J987" t="s">
        <v>25</v>
      </c>
      <c r="K987">
        <v>20260912</v>
      </c>
    </row>
    <row r="988" spans="1:11" x14ac:dyDescent="0.3">
      <c r="A988" s="4">
        <v>46278</v>
      </c>
      <c r="B988">
        <f t="shared" si="120"/>
        <v>2026</v>
      </c>
      <c r="C988">
        <f t="shared" si="121"/>
        <v>9</v>
      </c>
      <c r="D988" t="str">
        <f t="shared" si="122"/>
        <v>September</v>
      </c>
      <c r="E988">
        <f t="shared" si="123"/>
        <v>38</v>
      </c>
      <c r="F988">
        <f t="shared" si="124"/>
        <v>13</v>
      </c>
      <c r="G988" t="str">
        <f t="shared" si="125"/>
        <v>Sunday</v>
      </c>
      <c r="H988" t="b">
        <f t="shared" si="126"/>
        <v>1</v>
      </c>
      <c r="I988">
        <f t="shared" si="127"/>
        <v>256</v>
      </c>
      <c r="J988" t="s">
        <v>25</v>
      </c>
      <c r="K988">
        <v>20260913</v>
      </c>
    </row>
    <row r="989" spans="1:11" x14ac:dyDescent="0.3">
      <c r="A989" s="4">
        <v>46279</v>
      </c>
      <c r="B989">
        <f t="shared" si="120"/>
        <v>2026</v>
      </c>
      <c r="C989">
        <f t="shared" si="121"/>
        <v>9</v>
      </c>
      <c r="D989" t="str">
        <f t="shared" si="122"/>
        <v>September</v>
      </c>
      <c r="E989">
        <f t="shared" si="123"/>
        <v>38</v>
      </c>
      <c r="F989">
        <f t="shared" si="124"/>
        <v>14</v>
      </c>
      <c r="G989" t="str">
        <f t="shared" si="125"/>
        <v>Monday</v>
      </c>
      <c r="H989" t="b">
        <f t="shared" si="126"/>
        <v>0</v>
      </c>
      <c r="I989">
        <f t="shared" si="127"/>
        <v>257</v>
      </c>
      <c r="J989" t="s">
        <v>25</v>
      </c>
      <c r="K989">
        <v>20260914</v>
      </c>
    </row>
    <row r="990" spans="1:11" x14ac:dyDescent="0.3">
      <c r="A990" s="4">
        <v>46280</v>
      </c>
      <c r="B990">
        <f t="shared" si="120"/>
        <v>2026</v>
      </c>
      <c r="C990">
        <f t="shared" si="121"/>
        <v>9</v>
      </c>
      <c r="D990" t="str">
        <f t="shared" si="122"/>
        <v>September</v>
      </c>
      <c r="E990">
        <f t="shared" si="123"/>
        <v>38</v>
      </c>
      <c r="F990">
        <f t="shared" si="124"/>
        <v>15</v>
      </c>
      <c r="G990" t="str">
        <f t="shared" si="125"/>
        <v>Tuesday</v>
      </c>
      <c r="H990" t="b">
        <f t="shared" si="126"/>
        <v>0</v>
      </c>
      <c r="I990">
        <f t="shared" si="127"/>
        <v>258</v>
      </c>
      <c r="J990" t="s">
        <v>25</v>
      </c>
      <c r="K990">
        <v>20260915</v>
      </c>
    </row>
    <row r="991" spans="1:11" x14ac:dyDescent="0.3">
      <c r="A991" s="4">
        <v>46281</v>
      </c>
      <c r="B991">
        <f t="shared" si="120"/>
        <v>2026</v>
      </c>
      <c r="C991">
        <f t="shared" si="121"/>
        <v>9</v>
      </c>
      <c r="D991" t="str">
        <f t="shared" si="122"/>
        <v>September</v>
      </c>
      <c r="E991">
        <f t="shared" si="123"/>
        <v>38</v>
      </c>
      <c r="F991">
        <f t="shared" si="124"/>
        <v>16</v>
      </c>
      <c r="G991" t="str">
        <f t="shared" si="125"/>
        <v>Wednesday</v>
      </c>
      <c r="H991" t="b">
        <f t="shared" si="126"/>
        <v>0</v>
      </c>
      <c r="I991">
        <f t="shared" si="127"/>
        <v>259</v>
      </c>
      <c r="J991" t="s">
        <v>25</v>
      </c>
      <c r="K991">
        <v>20260916</v>
      </c>
    </row>
    <row r="992" spans="1:11" x14ac:dyDescent="0.3">
      <c r="A992" s="4">
        <v>46282</v>
      </c>
      <c r="B992">
        <f t="shared" si="120"/>
        <v>2026</v>
      </c>
      <c r="C992">
        <f t="shared" si="121"/>
        <v>9</v>
      </c>
      <c r="D992" t="str">
        <f t="shared" si="122"/>
        <v>September</v>
      </c>
      <c r="E992">
        <f t="shared" si="123"/>
        <v>38</v>
      </c>
      <c r="F992">
        <f t="shared" si="124"/>
        <v>17</v>
      </c>
      <c r="G992" t="str">
        <f t="shared" si="125"/>
        <v>Thursday</v>
      </c>
      <c r="H992" t="b">
        <f t="shared" si="126"/>
        <v>0</v>
      </c>
      <c r="I992">
        <f t="shared" si="127"/>
        <v>260</v>
      </c>
      <c r="J992" t="s">
        <v>25</v>
      </c>
      <c r="K992">
        <v>20260917</v>
      </c>
    </row>
    <row r="993" spans="1:11" x14ac:dyDescent="0.3">
      <c r="A993" s="4">
        <v>46283</v>
      </c>
      <c r="B993">
        <f t="shared" si="120"/>
        <v>2026</v>
      </c>
      <c r="C993">
        <f t="shared" si="121"/>
        <v>9</v>
      </c>
      <c r="D993" t="str">
        <f t="shared" si="122"/>
        <v>September</v>
      </c>
      <c r="E993">
        <f t="shared" si="123"/>
        <v>38</v>
      </c>
      <c r="F993">
        <f t="shared" si="124"/>
        <v>18</v>
      </c>
      <c r="G993" t="str">
        <f t="shared" si="125"/>
        <v>Friday</v>
      </c>
      <c r="H993" t="b">
        <f t="shared" si="126"/>
        <v>0</v>
      </c>
      <c r="I993">
        <f t="shared" si="127"/>
        <v>261</v>
      </c>
      <c r="J993" t="s">
        <v>25</v>
      </c>
      <c r="K993">
        <v>20260918</v>
      </c>
    </row>
    <row r="994" spans="1:11" x14ac:dyDescent="0.3">
      <c r="A994" s="4">
        <v>46284</v>
      </c>
      <c r="B994">
        <f t="shared" si="120"/>
        <v>2026</v>
      </c>
      <c r="C994">
        <f t="shared" si="121"/>
        <v>9</v>
      </c>
      <c r="D994" t="str">
        <f t="shared" si="122"/>
        <v>September</v>
      </c>
      <c r="E994">
        <f t="shared" si="123"/>
        <v>38</v>
      </c>
      <c r="F994">
        <f t="shared" si="124"/>
        <v>19</v>
      </c>
      <c r="G994" t="str">
        <f t="shared" si="125"/>
        <v>Saturday</v>
      </c>
      <c r="H994" t="b">
        <f t="shared" si="126"/>
        <v>1</v>
      </c>
      <c r="I994">
        <f t="shared" si="127"/>
        <v>262</v>
      </c>
      <c r="J994" t="s">
        <v>25</v>
      </c>
      <c r="K994">
        <v>20260919</v>
      </c>
    </row>
    <row r="995" spans="1:11" x14ac:dyDescent="0.3">
      <c r="A995" s="4">
        <v>46285</v>
      </c>
      <c r="B995">
        <f t="shared" si="120"/>
        <v>2026</v>
      </c>
      <c r="C995">
        <f t="shared" si="121"/>
        <v>9</v>
      </c>
      <c r="D995" t="str">
        <f t="shared" si="122"/>
        <v>September</v>
      </c>
      <c r="E995">
        <f t="shared" si="123"/>
        <v>39</v>
      </c>
      <c r="F995">
        <f t="shared" si="124"/>
        <v>20</v>
      </c>
      <c r="G995" t="str">
        <f t="shared" si="125"/>
        <v>Sunday</v>
      </c>
      <c r="H995" t="b">
        <f t="shared" si="126"/>
        <v>1</v>
      </c>
      <c r="I995">
        <f t="shared" si="127"/>
        <v>263</v>
      </c>
      <c r="J995" t="s">
        <v>25</v>
      </c>
      <c r="K995">
        <v>20260920</v>
      </c>
    </row>
    <row r="996" spans="1:11" x14ac:dyDescent="0.3">
      <c r="A996" s="4">
        <v>46286</v>
      </c>
      <c r="B996">
        <f t="shared" si="120"/>
        <v>2026</v>
      </c>
      <c r="C996">
        <f t="shared" si="121"/>
        <v>9</v>
      </c>
      <c r="D996" t="str">
        <f t="shared" si="122"/>
        <v>September</v>
      </c>
      <c r="E996">
        <f t="shared" si="123"/>
        <v>39</v>
      </c>
      <c r="F996">
        <f t="shared" si="124"/>
        <v>21</v>
      </c>
      <c r="G996" t="str">
        <f t="shared" si="125"/>
        <v>Monday</v>
      </c>
      <c r="H996" t="b">
        <f t="shared" si="126"/>
        <v>0</v>
      </c>
      <c r="I996">
        <f t="shared" si="127"/>
        <v>264</v>
      </c>
      <c r="J996" t="s">
        <v>25</v>
      </c>
      <c r="K996">
        <v>20260921</v>
      </c>
    </row>
    <row r="997" spans="1:11" x14ac:dyDescent="0.3">
      <c r="A997" s="4">
        <v>46287</v>
      </c>
      <c r="B997">
        <f t="shared" si="120"/>
        <v>2026</v>
      </c>
      <c r="C997">
        <f t="shared" si="121"/>
        <v>9</v>
      </c>
      <c r="D997" t="str">
        <f t="shared" si="122"/>
        <v>September</v>
      </c>
      <c r="E997">
        <f t="shared" si="123"/>
        <v>39</v>
      </c>
      <c r="F997">
        <f t="shared" si="124"/>
        <v>22</v>
      </c>
      <c r="G997" t="str">
        <f t="shared" si="125"/>
        <v>Tuesday</v>
      </c>
      <c r="H997" t="b">
        <f t="shared" si="126"/>
        <v>0</v>
      </c>
      <c r="I997">
        <f t="shared" si="127"/>
        <v>265</v>
      </c>
      <c r="J997" t="s">
        <v>25</v>
      </c>
      <c r="K997">
        <v>20260922</v>
      </c>
    </row>
    <row r="998" spans="1:11" x14ac:dyDescent="0.3">
      <c r="A998" s="4">
        <v>46288</v>
      </c>
      <c r="B998">
        <f t="shared" si="120"/>
        <v>2026</v>
      </c>
      <c r="C998">
        <f t="shared" si="121"/>
        <v>9</v>
      </c>
      <c r="D998" t="str">
        <f t="shared" si="122"/>
        <v>September</v>
      </c>
      <c r="E998">
        <f t="shared" si="123"/>
        <v>39</v>
      </c>
      <c r="F998">
        <f t="shared" si="124"/>
        <v>23</v>
      </c>
      <c r="G998" t="str">
        <f t="shared" si="125"/>
        <v>Wednesday</v>
      </c>
      <c r="H998" t="b">
        <f t="shared" si="126"/>
        <v>0</v>
      </c>
      <c r="I998">
        <f t="shared" si="127"/>
        <v>266</v>
      </c>
      <c r="J998" t="s">
        <v>25</v>
      </c>
      <c r="K998">
        <v>20260923</v>
      </c>
    </row>
    <row r="999" spans="1:11" x14ac:dyDescent="0.3">
      <c r="A999" s="4">
        <v>46289</v>
      </c>
      <c r="B999">
        <f t="shared" si="120"/>
        <v>2026</v>
      </c>
      <c r="C999">
        <f t="shared" si="121"/>
        <v>9</v>
      </c>
      <c r="D999" t="str">
        <f t="shared" si="122"/>
        <v>September</v>
      </c>
      <c r="E999">
        <f t="shared" si="123"/>
        <v>39</v>
      </c>
      <c r="F999">
        <f t="shared" si="124"/>
        <v>24</v>
      </c>
      <c r="G999" t="str">
        <f t="shared" si="125"/>
        <v>Thursday</v>
      </c>
      <c r="H999" t="b">
        <f t="shared" si="126"/>
        <v>0</v>
      </c>
      <c r="I999">
        <f t="shared" si="127"/>
        <v>267</v>
      </c>
      <c r="J999" t="s">
        <v>25</v>
      </c>
      <c r="K999">
        <v>20260924</v>
      </c>
    </row>
    <row r="1000" spans="1:11" x14ac:dyDescent="0.3">
      <c r="A1000" s="4">
        <v>46290</v>
      </c>
      <c r="B1000">
        <f t="shared" si="120"/>
        <v>2026</v>
      </c>
      <c r="C1000">
        <f t="shared" si="121"/>
        <v>9</v>
      </c>
      <c r="D1000" t="str">
        <f t="shared" si="122"/>
        <v>September</v>
      </c>
      <c r="E1000">
        <f t="shared" si="123"/>
        <v>39</v>
      </c>
      <c r="F1000">
        <f t="shared" si="124"/>
        <v>25</v>
      </c>
      <c r="G1000" t="str">
        <f t="shared" si="125"/>
        <v>Friday</v>
      </c>
      <c r="H1000" t="b">
        <f t="shared" si="126"/>
        <v>0</v>
      </c>
      <c r="I1000">
        <f t="shared" si="127"/>
        <v>268</v>
      </c>
      <c r="J1000" t="s">
        <v>25</v>
      </c>
      <c r="K1000">
        <v>20260925</v>
      </c>
    </row>
    <row r="1001" spans="1:11" x14ac:dyDescent="0.3">
      <c r="A1001" s="4">
        <v>46291</v>
      </c>
      <c r="B1001">
        <f t="shared" si="120"/>
        <v>2026</v>
      </c>
      <c r="C1001">
        <f t="shared" si="121"/>
        <v>9</v>
      </c>
      <c r="D1001" t="str">
        <f t="shared" si="122"/>
        <v>September</v>
      </c>
      <c r="E1001">
        <f t="shared" si="123"/>
        <v>39</v>
      </c>
      <c r="F1001">
        <f t="shared" si="124"/>
        <v>26</v>
      </c>
      <c r="G1001" t="str">
        <f t="shared" si="125"/>
        <v>Saturday</v>
      </c>
      <c r="H1001" t="b">
        <f t="shared" si="126"/>
        <v>1</v>
      </c>
      <c r="I1001">
        <f t="shared" si="127"/>
        <v>269</v>
      </c>
      <c r="J1001" t="s">
        <v>25</v>
      </c>
      <c r="K1001">
        <v>20260926</v>
      </c>
    </row>
    <row r="1002" spans="1:11" x14ac:dyDescent="0.3">
      <c r="A1002" s="4">
        <v>46292</v>
      </c>
      <c r="B1002">
        <f t="shared" si="120"/>
        <v>2026</v>
      </c>
      <c r="C1002">
        <f t="shared" si="121"/>
        <v>9</v>
      </c>
      <c r="D1002" t="str">
        <f t="shared" si="122"/>
        <v>September</v>
      </c>
      <c r="E1002">
        <f t="shared" si="123"/>
        <v>40</v>
      </c>
      <c r="F1002">
        <f t="shared" si="124"/>
        <v>27</v>
      </c>
      <c r="G1002" t="str">
        <f t="shared" si="125"/>
        <v>Sunday</v>
      </c>
      <c r="H1002" t="b">
        <f t="shared" si="126"/>
        <v>1</v>
      </c>
      <c r="I1002">
        <f t="shared" si="127"/>
        <v>270</v>
      </c>
      <c r="J1002" t="s">
        <v>25</v>
      </c>
      <c r="K1002">
        <v>20260927</v>
      </c>
    </row>
    <row r="1003" spans="1:11" x14ac:dyDescent="0.3">
      <c r="A1003" s="4">
        <v>46293</v>
      </c>
      <c r="B1003">
        <f t="shared" si="120"/>
        <v>2026</v>
      </c>
      <c r="C1003">
        <f t="shared" si="121"/>
        <v>9</v>
      </c>
      <c r="D1003" t="str">
        <f t="shared" si="122"/>
        <v>September</v>
      </c>
      <c r="E1003">
        <f t="shared" si="123"/>
        <v>40</v>
      </c>
      <c r="F1003">
        <f t="shared" si="124"/>
        <v>28</v>
      </c>
      <c r="G1003" t="str">
        <f t="shared" si="125"/>
        <v>Monday</v>
      </c>
      <c r="H1003" t="b">
        <f t="shared" si="126"/>
        <v>0</v>
      </c>
      <c r="I1003">
        <f t="shared" si="127"/>
        <v>271</v>
      </c>
      <c r="J1003" t="s">
        <v>25</v>
      </c>
      <c r="K1003">
        <v>20260928</v>
      </c>
    </row>
    <row r="1004" spans="1:11" x14ac:dyDescent="0.3">
      <c r="A1004" s="4">
        <v>46294</v>
      </c>
      <c r="B1004">
        <f t="shared" si="120"/>
        <v>2026</v>
      </c>
      <c r="C1004">
        <f t="shared" si="121"/>
        <v>9</v>
      </c>
      <c r="D1004" t="str">
        <f t="shared" si="122"/>
        <v>September</v>
      </c>
      <c r="E1004">
        <f t="shared" si="123"/>
        <v>40</v>
      </c>
      <c r="F1004">
        <f t="shared" si="124"/>
        <v>29</v>
      </c>
      <c r="G1004" t="str">
        <f t="shared" si="125"/>
        <v>Tuesday</v>
      </c>
      <c r="H1004" t="b">
        <f t="shared" si="126"/>
        <v>0</v>
      </c>
      <c r="I1004">
        <f t="shared" si="127"/>
        <v>272</v>
      </c>
      <c r="J1004" t="s">
        <v>25</v>
      </c>
      <c r="K1004">
        <v>20260929</v>
      </c>
    </row>
    <row r="1005" spans="1:11" x14ac:dyDescent="0.3">
      <c r="A1005" s="4">
        <v>46295</v>
      </c>
      <c r="B1005">
        <f t="shared" si="120"/>
        <v>2026</v>
      </c>
      <c r="C1005">
        <f t="shared" si="121"/>
        <v>9</v>
      </c>
      <c r="D1005" t="str">
        <f t="shared" si="122"/>
        <v>September</v>
      </c>
      <c r="E1005">
        <f t="shared" si="123"/>
        <v>40</v>
      </c>
      <c r="F1005">
        <f t="shared" si="124"/>
        <v>30</v>
      </c>
      <c r="G1005" t="str">
        <f t="shared" si="125"/>
        <v>Wednesday</v>
      </c>
      <c r="H1005" t="b">
        <f t="shared" si="126"/>
        <v>0</v>
      </c>
      <c r="I1005">
        <f t="shared" si="127"/>
        <v>273</v>
      </c>
      <c r="J1005" t="s">
        <v>25</v>
      </c>
      <c r="K1005">
        <v>20260930</v>
      </c>
    </row>
    <row r="1006" spans="1:11" x14ac:dyDescent="0.3">
      <c r="A1006" s="4">
        <v>46296</v>
      </c>
      <c r="B1006">
        <f t="shared" si="120"/>
        <v>2026</v>
      </c>
      <c r="C1006">
        <f t="shared" si="121"/>
        <v>10</v>
      </c>
      <c r="D1006" t="str">
        <f t="shared" si="122"/>
        <v>October</v>
      </c>
      <c r="E1006">
        <f t="shared" si="123"/>
        <v>40</v>
      </c>
      <c r="F1006">
        <f t="shared" si="124"/>
        <v>1</v>
      </c>
      <c r="G1006" t="str">
        <f t="shared" si="125"/>
        <v>Thursday</v>
      </c>
      <c r="H1006" t="b">
        <f t="shared" si="126"/>
        <v>0</v>
      </c>
      <c r="I1006">
        <f t="shared" si="127"/>
        <v>274</v>
      </c>
      <c r="J1006" t="s">
        <v>25</v>
      </c>
      <c r="K1006">
        <v>20261001</v>
      </c>
    </row>
    <row r="1007" spans="1:11" x14ac:dyDescent="0.3">
      <c r="A1007" s="4">
        <v>46297</v>
      </c>
      <c r="B1007">
        <f t="shared" si="120"/>
        <v>2026</v>
      </c>
      <c r="C1007">
        <f t="shared" si="121"/>
        <v>10</v>
      </c>
      <c r="D1007" t="str">
        <f t="shared" si="122"/>
        <v>October</v>
      </c>
      <c r="E1007">
        <f t="shared" si="123"/>
        <v>40</v>
      </c>
      <c r="F1007">
        <f t="shared" si="124"/>
        <v>2</v>
      </c>
      <c r="G1007" t="str">
        <f t="shared" si="125"/>
        <v>Friday</v>
      </c>
      <c r="H1007" t="b">
        <f t="shared" si="126"/>
        <v>0</v>
      </c>
      <c r="I1007">
        <f t="shared" si="127"/>
        <v>275</v>
      </c>
      <c r="J1007" t="s">
        <v>25</v>
      </c>
      <c r="K1007">
        <v>20261002</v>
      </c>
    </row>
    <row r="1008" spans="1:11" x14ac:dyDescent="0.3">
      <c r="A1008" s="4">
        <v>46298</v>
      </c>
      <c r="B1008">
        <f t="shared" si="120"/>
        <v>2026</v>
      </c>
      <c r="C1008">
        <f t="shared" si="121"/>
        <v>10</v>
      </c>
      <c r="D1008" t="str">
        <f t="shared" si="122"/>
        <v>October</v>
      </c>
      <c r="E1008">
        <f t="shared" si="123"/>
        <v>40</v>
      </c>
      <c r="F1008">
        <f t="shared" si="124"/>
        <v>3</v>
      </c>
      <c r="G1008" t="str">
        <f t="shared" si="125"/>
        <v>Saturday</v>
      </c>
      <c r="H1008" t="b">
        <f t="shared" si="126"/>
        <v>1</v>
      </c>
      <c r="I1008">
        <f t="shared" si="127"/>
        <v>276</v>
      </c>
      <c r="J1008" t="s">
        <v>25</v>
      </c>
      <c r="K1008">
        <v>20261003</v>
      </c>
    </row>
    <row r="1009" spans="1:11" x14ac:dyDescent="0.3">
      <c r="A1009" s="4">
        <v>46299</v>
      </c>
      <c r="B1009">
        <f t="shared" si="120"/>
        <v>2026</v>
      </c>
      <c r="C1009">
        <f t="shared" si="121"/>
        <v>10</v>
      </c>
      <c r="D1009" t="str">
        <f t="shared" si="122"/>
        <v>October</v>
      </c>
      <c r="E1009">
        <f t="shared" si="123"/>
        <v>41</v>
      </c>
      <c r="F1009">
        <f t="shared" si="124"/>
        <v>4</v>
      </c>
      <c r="G1009" t="str">
        <f t="shared" si="125"/>
        <v>Sunday</v>
      </c>
      <c r="H1009" t="b">
        <f t="shared" si="126"/>
        <v>1</v>
      </c>
      <c r="I1009">
        <f t="shared" si="127"/>
        <v>277</v>
      </c>
      <c r="J1009" t="s">
        <v>25</v>
      </c>
      <c r="K1009">
        <v>20261004</v>
      </c>
    </row>
    <row r="1010" spans="1:11" x14ac:dyDescent="0.3">
      <c r="A1010" s="4">
        <v>46300</v>
      </c>
      <c r="B1010">
        <f t="shared" si="120"/>
        <v>2026</v>
      </c>
      <c r="C1010">
        <f t="shared" si="121"/>
        <v>10</v>
      </c>
      <c r="D1010" t="str">
        <f t="shared" si="122"/>
        <v>October</v>
      </c>
      <c r="E1010">
        <f t="shared" si="123"/>
        <v>41</v>
      </c>
      <c r="F1010">
        <f t="shared" si="124"/>
        <v>5</v>
      </c>
      <c r="G1010" t="str">
        <f t="shared" si="125"/>
        <v>Monday</v>
      </c>
      <c r="H1010" t="b">
        <f t="shared" si="126"/>
        <v>0</v>
      </c>
      <c r="I1010">
        <f t="shared" si="127"/>
        <v>278</v>
      </c>
      <c r="J1010" t="s">
        <v>25</v>
      </c>
      <c r="K1010">
        <v>20261005</v>
      </c>
    </row>
    <row r="1011" spans="1:11" x14ac:dyDescent="0.3">
      <c r="A1011" s="4">
        <v>46301</v>
      </c>
      <c r="B1011">
        <f t="shared" si="120"/>
        <v>2026</v>
      </c>
      <c r="C1011">
        <f t="shared" si="121"/>
        <v>10</v>
      </c>
      <c r="D1011" t="str">
        <f t="shared" si="122"/>
        <v>October</v>
      </c>
      <c r="E1011">
        <f t="shared" si="123"/>
        <v>41</v>
      </c>
      <c r="F1011">
        <f t="shared" si="124"/>
        <v>6</v>
      </c>
      <c r="G1011" t="str">
        <f t="shared" si="125"/>
        <v>Tuesday</v>
      </c>
      <c r="H1011" t="b">
        <f t="shared" si="126"/>
        <v>0</v>
      </c>
      <c r="I1011">
        <f t="shared" si="127"/>
        <v>279</v>
      </c>
      <c r="J1011" t="s">
        <v>25</v>
      </c>
      <c r="K1011">
        <v>20261006</v>
      </c>
    </row>
    <row r="1012" spans="1:11" x14ac:dyDescent="0.3">
      <c r="A1012" s="4">
        <v>46302</v>
      </c>
      <c r="B1012">
        <f t="shared" si="120"/>
        <v>2026</v>
      </c>
      <c r="C1012">
        <f t="shared" si="121"/>
        <v>10</v>
      </c>
      <c r="D1012" t="str">
        <f t="shared" si="122"/>
        <v>October</v>
      </c>
      <c r="E1012">
        <f t="shared" si="123"/>
        <v>41</v>
      </c>
      <c r="F1012">
        <f t="shared" si="124"/>
        <v>7</v>
      </c>
      <c r="G1012" t="str">
        <f t="shared" si="125"/>
        <v>Wednesday</v>
      </c>
      <c r="H1012" t="b">
        <f t="shared" si="126"/>
        <v>0</v>
      </c>
      <c r="I1012">
        <f t="shared" si="127"/>
        <v>280</v>
      </c>
      <c r="J1012" t="s">
        <v>25</v>
      </c>
      <c r="K1012">
        <v>20261007</v>
      </c>
    </row>
    <row r="1013" spans="1:11" x14ac:dyDescent="0.3">
      <c r="A1013" s="4">
        <v>46303</v>
      </c>
      <c r="B1013">
        <f t="shared" si="120"/>
        <v>2026</v>
      </c>
      <c r="C1013">
        <f t="shared" si="121"/>
        <v>10</v>
      </c>
      <c r="D1013" t="str">
        <f t="shared" si="122"/>
        <v>October</v>
      </c>
      <c r="E1013">
        <f t="shared" si="123"/>
        <v>41</v>
      </c>
      <c r="F1013">
        <f t="shared" si="124"/>
        <v>8</v>
      </c>
      <c r="G1013" t="str">
        <f t="shared" si="125"/>
        <v>Thursday</v>
      </c>
      <c r="H1013" t="b">
        <f t="shared" si="126"/>
        <v>0</v>
      </c>
      <c r="I1013">
        <f t="shared" si="127"/>
        <v>281</v>
      </c>
      <c r="J1013" t="s">
        <v>25</v>
      </c>
      <c r="K1013">
        <v>20261008</v>
      </c>
    </row>
    <row r="1014" spans="1:11" x14ac:dyDescent="0.3">
      <c r="A1014" s="4">
        <v>46304</v>
      </c>
      <c r="B1014">
        <f t="shared" si="120"/>
        <v>2026</v>
      </c>
      <c r="C1014">
        <f t="shared" si="121"/>
        <v>10</v>
      </c>
      <c r="D1014" t="str">
        <f t="shared" si="122"/>
        <v>October</v>
      </c>
      <c r="E1014">
        <f t="shared" si="123"/>
        <v>41</v>
      </c>
      <c r="F1014">
        <f t="shared" si="124"/>
        <v>9</v>
      </c>
      <c r="G1014" t="str">
        <f t="shared" si="125"/>
        <v>Friday</v>
      </c>
      <c r="H1014" t="b">
        <f t="shared" si="126"/>
        <v>0</v>
      </c>
      <c r="I1014">
        <f t="shared" si="127"/>
        <v>282</v>
      </c>
      <c r="J1014" t="s">
        <v>25</v>
      </c>
      <c r="K1014">
        <v>20261009</v>
      </c>
    </row>
    <row r="1015" spans="1:11" x14ac:dyDescent="0.3">
      <c r="A1015" s="4">
        <v>46305</v>
      </c>
      <c r="B1015">
        <f t="shared" si="120"/>
        <v>2026</v>
      </c>
      <c r="C1015">
        <f t="shared" si="121"/>
        <v>10</v>
      </c>
      <c r="D1015" t="str">
        <f t="shared" si="122"/>
        <v>October</v>
      </c>
      <c r="E1015">
        <f t="shared" si="123"/>
        <v>41</v>
      </c>
      <c r="F1015">
        <f t="shared" si="124"/>
        <v>10</v>
      </c>
      <c r="G1015" t="str">
        <f t="shared" si="125"/>
        <v>Saturday</v>
      </c>
      <c r="H1015" t="b">
        <f t="shared" si="126"/>
        <v>1</v>
      </c>
      <c r="I1015">
        <f t="shared" si="127"/>
        <v>283</v>
      </c>
      <c r="J1015" t="s">
        <v>25</v>
      </c>
      <c r="K1015">
        <v>20261010</v>
      </c>
    </row>
    <row r="1016" spans="1:11" x14ac:dyDescent="0.3">
      <c r="A1016" s="4">
        <v>46306</v>
      </c>
      <c r="B1016">
        <f t="shared" si="120"/>
        <v>2026</v>
      </c>
      <c r="C1016">
        <f t="shared" si="121"/>
        <v>10</v>
      </c>
      <c r="D1016" t="str">
        <f t="shared" si="122"/>
        <v>October</v>
      </c>
      <c r="E1016">
        <f t="shared" si="123"/>
        <v>42</v>
      </c>
      <c r="F1016">
        <f t="shared" si="124"/>
        <v>11</v>
      </c>
      <c r="G1016" t="str">
        <f t="shared" si="125"/>
        <v>Sunday</v>
      </c>
      <c r="H1016" t="b">
        <f t="shared" si="126"/>
        <v>1</v>
      </c>
      <c r="I1016">
        <f t="shared" si="127"/>
        <v>284</v>
      </c>
      <c r="J1016" t="s">
        <v>25</v>
      </c>
      <c r="K1016">
        <v>20261011</v>
      </c>
    </row>
    <row r="1017" spans="1:11" x14ac:dyDescent="0.3">
      <c r="A1017" s="4">
        <v>46307</v>
      </c>
      <c r="B1017">
        <f t="shared" si="120"/>
        <v>2026</v>
      </c>
      <c r="C1017">
        <f t="shared" si="121"/>
        <v>10</v>
      </c>
      <c r="D1017" t="str">
        <f t="shared" si="122"/>
        <v>October</v>
      </c>
      <c r="E1017">
        <f t="shared" si="123"/>
        <v>42</v>
      </c>
      <c r="F1017">
        <f t="shared" si="124"/>
        <v>12</v>
      </c>
      <c r="G1017" t="str">
        <f t="shared" si="125"/>
        <v>Monday</v>
      </c>
      <c r="H1017" t="b">
        <f t="shared" si="126"/>
        <v>0</v>
      </c>
      <c r="I1017">
        <f t="shared" si="127"/>
        <v>285</v>
      </c>
      <c r="J1017" t="s">
        <v>25</v>
      </c>
      <c r="K1017">
        <v>20261012</v>
      </c>
    </row>
    <row r="1018" spans="1:11" x14ac:dyDescent="0.3">
      <c r="A1018" s="4">
        <v>46308</v>
      </c>
      <c r="B1018">
        <f t="shared" si="120"/>
        <v>2026</v>
      </c>
      <c r="C1018">
        <f t="shared" si="121"/>
        <v>10</v>
      </c>
      <c r="D1018" t="str">
        <f t="shared" si="122"/>
        <v>October</v>
      </c>
      <c r="E1018">
        <f t="shared" si="123"/>
        <v>42</v>
      </c>
      <c r="F1018">
        <f t="shared" si="124"/>
        <v>13</v>
      </c>
      <c r="G1018" t="str">
        <f t="shared" si="125"/>
        <v>Tuesday</v>
      </c>
      <c r="H1018" t="b">
        <f t="shared" si="126"/>
        <v>0</v>
      </c>
      <c r="I1018">
        <f t="shared" si="127"/>
        <v>286</v>
      </c>
      <c r="J1018" t="s">
        <v>25</v>
      </c>
      <c r="K1018">
        <v>20261013</v>
      </c>
    </row>
    <row r="1019" spans="1:11" x14ac:dyDescent="0.3">
      <c r="A1019" s="4">
        <v>46309</v>
      </c>
      <c r="B1019">
        <f t="shared" si="120"/>
        <v>2026</v>
      </c>
      <c r="C1019">
        <f t="shared" si="121"/>
        <v>10</v>
      </c>
      <c r="D1019" t="str">
        <f t="shared" si="122"/>
        <v>October</v>
      </c>
      <c r="E1019">
        <f t="shared" si="123"/>
        <v>42</v>
      </c>
      <c r="F1019">
        <f t="shared" si="124"/>
        <v>14</v>
      </c>
      <c r="G1019" t="str">
        <f t="shared" si="125"/>
        <v>Wednesday</v>
      </c>
      <c r="H1019" t="b">
        <f t="shared" si="126"/>
        <v>0</v>
      </c>
      <c r="I1019">
        <f t="shared" si="127"/>
        <v>287</v>
      </c>
      <c r="J1019" t="s">
        <v>25</v>
      </c>
      <c r="K1019">
        <v>20261014</v>
      </c>
    </row>
    <row r="1020" spans="1:11" x14ac:dyDescent="0.3">
      <c r="A1020" s="4">
        <v>46310</v>
      </c>
      <c r="B1020">
        <f t="shared" si="120"/>
        <v>2026</v>
      </c>
      <c r="C1020">
        <f t="shared" si="121"/>
        <v>10</v>
      </c>
      <c r="D1020" t="str">
        <f t="shared" si="122"/>
        <v>October</v>
      </c>
      <c r="E1020">
        <f t="shared" si="123"/>
        <v>42</v>
      </c>
      <c r="F1020">
        <f t="shared" si="124"/>
        <v>15</v>
      </c>
      <c r="G1020" t="str">
        <f t="shared" si="125"/>
        <v>Thursday</v>
      </c>
      <c r="H1020" t="b">
        <f t="shared" si="126"/>
        <v>0</v>
      </c>
      <c r="I1020">
        <f t="shared" si="127"/>
        <v>288</v>
      </c>
      <c r="J1020" t="s">
        <v>25</v>
      </c>
      <c r="K1020">
        <v>20261015</v>
      </c>
    </row>
    <row r="1021" spans="1:11" x14ac:dyDescent="0.3">
      <c r="A1021" s="4">
        <v>46311</v>
      </c>
      <c r="B1021">
        <f t="shared" si="120"/>
        <v>2026</v>
      </c>
      <c r="C1021">
        <f t="shared" si="121"/>
        <v>10</v>
      </c>
      <c r="D1021" t="str">
        <f t="shared" si="122"/>
        <v>October</v>
      </c>
      <c r="E1021">
        <f t="shared" si="123"/>
        <v>42</v>
      </c>
      <c r="F1021">
        <f t="shared" si="124"/>
        <v>16</v>
      </c>
      <c r="G1021" t="str">
        <f t="shared" si="125"/>
        <v>Friday</v>
      </c>
      <c r="H1021" t="b">
        <f t="shared" si="126"/>
        <v>0</v>
      </c>
      <c r="I1021">
        <f t="shared" si="127"/>
        <v>289</v>
      </c>
      <c r="J1021" t="s">
        <v>25</v>
      </c>
      <c r="K1021">
        <v>20261016</v>
      </c>
    </row>
    <row r="1022" spans="1:11" x14ac:dyDescent="0.3">
      <c r="A1022" s="4">
        <v>46312</v>
      </c>
      <c r="B1022">
        <f t="shared" si="120"/>
        <v>2026</v>
      </c>
      <c r="C1022">
        <f t="shared" si="121"/>
        <v>10</v>
      </c>
      <c r="D1022" t="str">
        <f t="shared" si="122"/>
        <v>October</v>
      </c>
      <c r="E1022">
        <f t="shared" si="123"/>
        <v>42</v>
      </c>
      <c r="F1022">
        <f t="shared" si="124"/>
        <v>17</v>
      </c>
      <c r="G1022" t="str">
        <f t="shared" si="125"/>
        <v>Saturday</v>
      </c>
      <c r="H1022" t="b">
        <f t="shared" si="126"/>
        <v>1</v>
      </c>
      <c r="I1022">
        <f t="shared" si="127"/>
        <v>290</v>
      </c>
      <c r="J1022" t="s">
        <v>25</v>
      </c>
      <c r="K1022">
        <v>20261017</v>
      </c>
    </row>
    <row r="1023" spans="1:11" x14ac:dyDescent="0.3">
      <c r="A1023" s="4">
        <v>46313</v>
      </c>
      <c r="B1023">
        <f t="shared" si="120"/>
        <v>2026</v>
      </c>
      <c r="C1023">
        <f t="shared" si="121"/>
        <v>10</v>
      </c>
      <c r="D1023" t="str">
        <f t="shared" si="122"/>
        <v>October</v>
      </c>
      <c r="E1023">
        <f t="shared" si="123"/>
        <v>43</v>
      </c>
      <c r="F1023">
        <f t="shared" si="124"/>
        <v>18</v>
      </c>
      <c r="G1023" t="str">
        <f t="shared" si="125"/>
        <v>Sunday</v>
      </c>
      <c r="H1023" t="b">
        <f t="shared" si="126"/>
        <v>1</v>
      </c>
      <c r="I1023">
        <f t="shared" si="127"/>
        <v>291</v>
      </c>
      <c r="J1023" t="s">
        <v>25</v>
      </c>
      <c r="K1023">
        <v>20261018</v>
      </c>
    </row>
    <row r="1024" spans="1:11" x14ac:dyDescent="0.3">
      <c r="A1024" s="4">
        <v>46314</v>
      </c>
      <c r="B1024">
        <f t="shared" si="120"/>
        <v>2026</v>
      </c>
      <c r="C1024">
        <f t="shared" si="121"/>
        <v>10</v>
      </c>
      <c r="D1024" t="str">
        <f t="shared" si="122"/>
        <v>October</v>
      </c>
      <c r="E1024">
        <f t="shared" si="123"/>
        <v>43</v>
      </c>
      <c r="F1024">
        <f t="shared" si="124"/>
        <v>19</v>
      </c>
      <c r="G1024" t="str">
        <f t="shared" si="125"/>
        <v>Monday</v>
      </c>
      <c r="H1024" t="b">
        <f t="shared" si="126"/>
        <v>0</v>
      </c>
      <c r="I1024">
        <f t="shared" si="127"/>
        <v>292</v>
      </c>
      <c r="J1024" t="s">
        <v>25</v>
      </c>
      <c r="K1024">
        <v>20261019</v>
      </c>
    </row>
    <row r="1025" spans="1:11" x14ac:dyDescent="0.3">
      <c r="A1025" s="4">
        <v>46315</v>
      </c>
      <c r="B1025">
        <f t="shared" si="120"/>
        <v>2026</v>
      </c>
      <c r="C1025">
        <f t="shared" si="121"/>
        <v>10</v>
      </c>
      <c r="D1025" t="str">
        <f t="shared" si="122"/>
        <v>October</v>
      </c>
      <c r="E1025">
        <f t="shared" si="123"/>
        <v>43</v>
      </c>
      <c r="F1025">
        <f t="shared" si="124"/>
        <v>20</v>
      </c>
      <c r="G1025" t="str">
        <f t="shared" si="125"/>
        <v>Tuesday</v>
      </c>
      <c r="H1025" t="b">
        <f t="shared" si="126"/>
        <v>0</v>
      </c>
      <c r="I1025">
        <f t="shared" si="127"/>
        <v>293</v>
      </c>
      <c r="J1025" t="s">
        <v>25</v>
      </c>
      <c r="K1025">
        <v>20261020</v>
      </c>
    </row>
    <row r="1026" spans="1:11" x14ac:dyDescent="0.3">
      <c r="A1026" s="4">
        <v>46316</v>
      </c>
      <c r="B1026">
        <f t="shared" si="120"/>
        <v>2026</v>
      </c>
      <c r="C1026">
        <f t="shared" si="121"/>
        <v>10</v>
      </c>
      <c r="D1026" t="str">
        <f t="shared" si="122"/>
        <v>October</v>
      </c>
      <c r="E1026">
        <f t="shared" si="123"/>
        <v>43</v>
      </c>
      <c r="F1026">
        <f t="shared" si="124"/>
        <v>21</v>
      </c>
      <c r="G1026" t="str">
        <f t="shared" si="125"/>
        <v>Wednesday</v>
      </c>
      <c r="H1026" t="b">
        <f t="shared" si="126"/>
        <v>0</v>
      </c>
      <c r="I1026">
        <f t="shared" si="127"/>
        <v>294</v>
      </c>
      <c r="J1026" t="s">
        <v>25</v>
      </c>
      <c r="K1026">
        <v>20261021</v>
      </c>
    </row>
    <row r="1027" spans="1:11" x14ac:dyDescent="0.3">
      <c r="A1027" s="4">
        <v>46317</v>
      </c>
      <c r="B1027">
        <f t="shared" ref="B1027:B1090" si="128">YEAR(A1027)</f>
        <v>2026</v>
      </c>
      <c r="C1027">
        <f t="shared" ref="C1027:C1090" si="129">MONTH(A1027)</f>
        <v>10</v>
      </c>
      <c r="D1027" t="str">
        <f t="shared" ref="D1027:D1090" si="130">TEXT(A1027,"mmmm")</f>
        <v>October</v>
      </c>
      <c r="E1027">
        <f t="shared" ref="E1027:E1090" si="131">WEEKNUM(A1027)</f>
        <v>43</v>
      </c>
      <c r="F1027">
        <f t="shared" ref="F1027:F1090" si="132">DAY(A1027)</f>
        <v>22</v>
      </c>
      <c r="G1027" t="str">
        <f t="shared" ref="G1027:G1090" si="133">TEXT((A1027),"dddd")</f>
        <v>Thursday</v>
      </c>
      <c r="H1027" t="b">
        <f t="shared" ref="H1027:H1090" si="134">IF(OR(G1027="Saturday",G1027="Sunday"),TRUE,FALSE)</f>
        <v>0</v>
      </c>
      <c r="I1027">
        <f t="shared" ref="I1027:I1090" si="135">A1027-DATE(YEAR(A1027),1,1)+1</f>
        <v>295</v>
      </c>
      <c r="J1027" t="s">
        <v>25</v>
      </c>
      <c r="K1027">
        <v>20261022</v>
      </c>
    </row>
    <row r="1028" spans="1:11" x14ac:dyDescent="0.3">
      <c r="A1028" s="4">
        <v>46318</v>
      </c>
      <c r="B1028">
        <f t="shared" si="128"/>
        <v>2026</v>
      </c>
      <c r="C1028">
        <f t="shared" si="129"/>
        <v>10</v>
      </c>
      <c r="D1028" t="str">
        <f t="shared" si="130"/>
        <v>October</v>
      </c>
      <c r="E1028">
        <f t="shared" si="131"/>
        <v>43</v>
      </c>
      <c r="F1028">
        <f t="shared" si="132"/>
        <v>23</v>
      </c>
      <c r="G1028" t="str">
        <f t="shared" si="133"/>
        <v>Friday</v>
      </c>
      <c r="H1028" t="b">
        <f t="shared" si="134"/>
        <v>0</v>
      </c>
      <c r="I1028">
        <f t="shared" si="135"/>
        <v>296</v>
      </c>
      <c r="J1028" t="s">
        <v>25</v>
      </c>
      <c r="K1028">
        <v>20261023</v>
      </c>
    </row>
    <row r="1029" spans="1:11" x14ac:dyDescent="0.3">
      <c r="A1029" s="4">
        <v>46319</v>
      </c>
      <c r="B1029">
        <f t="shared" si="128"/>
        <v>2026</v>
      </c>
      <c r="C1029">
        <f t="shared" si="129"/>
        <v>10</v>
      </c>
      <c r="D1029" t="str">
        <f t="shared" si="130"/>
        <v>October</v>
      </c>
      <c r="E1029">
        <f t="shared" si="131"/>
        <v>43</v>
      </c>
      <c r="F1029">
        <f t="shared" si="132"/>
        <v>24</v>
      </c>
      <c r="G1029" t="str">
        <f t="shared" si="133"/>
        <v>Saturday</v>
      </c>
      <c r="H1029" t="b">
        <f t="shared" si="134"/>
        <v>1</v>
      </c>
      <c r="I1029">
        <f t="shared" si="135"/>
        <v>297</v>
      </c>
      <c r="J1029" t="s">
        <v>25</v>
      </c>
      <c r="K1029">
        <v>20261024</v>
      </c>
    </row>
    <row r="1030" spans="1:11" x14ac:dyDescent="0.3">
      <c r="A1030" s="4">
        <v>46320</v>
      </c>
      <c r="B1030">
        <f t="shared" si="128"/>
        <v>2026</v>
      </c>
      <c r="C1030">
        <f t="shared" si="129"/>
        <v>10</v>
      </c>
      <c r="D1030" t="str">
        <f t="shared" si="130"/>
        <v>October</v>
      </c>
      <c r="E1030">
        <f t="shared" si="131"/>
        <v>44</v>
      </c>
      <c r="F1030">
        <f t="shared" si="132"/>
        <v>25</v>
      </c>
      <c r="G1030" t="str">
        <f t="shared" si="133"/>
        <v>Sunday</v>
      </c>
      <c r="H1030" t="b">
        <f t="shared" si="134"/>
        <v>1</v>
      </c>
      <c r="I1030">
        <f t="shared" si="135"/>
        <v>298</v>
      </c>
      <c r="J1030" t="s">
        <v>25</v>
      </c>
      <c r="K1030">
        <v>20261025</v>
      </c>
    </row>
    <row r="1031" spans="1:11" x14ac:dyDescent="0.3">
      <c r="A1031" s="4">
        <v>46321</v>
      </c>
      <c r="B1031">
        <f t="shared" si="128"/>
        <v>2026</v>
      </c>
      <c r="C1031">
        <f t="shared" si="129"/>
        <v>10</v>
      </c>
      <c r="D1031" t="str">
        <f t="shared" si="130"/>
        <v>October</v>
      </c>
      <c r="E1031">
        <f t="shared" si="131"/>
        <v>44</v>
      </c>
      <c r="F1031">
        <f t="shared" si="132"/>
        <v>26</v>
      </c>
      <c r="G1031" t="str">
        <f t="shared" si="133"/>
        <v>Monday</v>
      </c>
      <c r="H1031" t="b">
        <f t="shared" si="134"/>
        <v>0</v>
      </c>
      <c r="I1031">
        <f t="shared" si="135"/>
        <v>299</v>
      </c>
      <c r="J1031" t="s">
        <v>25</v>
      </c>
      <c r="K1031">
        <v>20261026</v>
      </c>
    </row>
    <row r="1032" spans="1:11" x14ac:dyDescent="0.3">
      <c r="A1032" s="4">
        <v>46322</v>
      </c>
      <c r="B1032">
        <f t="shared" si="128"/>
        <v>2026</v>
      </c>
      <c r="C1032">
        <f t="shared" si="129"/>
        <v>10</v>
      </c>
      <c r="D1032" t="str">
        <f t="shared" si="130"/>
        <v>October</v>
      </c>
      <c r="E1032">
        <f t="shared" si="131"/>
        <v>44</v>
      </c>
      <c r="F1032">
        <f t="shared" si="132"/>
        <v>27</v>
      </c>
      <c r="G1032" t="str">
        <f t="shared" si="133"/>
        <v>Tuesday</v>
      </c>
      <c r="H1032" t="b">
        <f t="shared" si="134"/>
        <v>0</v>
      </c>
      <c r="I1032">
        <f t="shared" si="135"/>
        <v>300</v>
      </c>
      <c r="J1032" t="s">
        <v>25</v>
      </c>
      <c r="K1032">
        <v>20261027</v>
      </c>
    </row>
    <row r="1033" spans="1:11" x14ac:dyDescent="0.3">
      <c r="A1033" s="4">
        <v>46323</v>
      </c>
      <c r="B1033">
        <f t="shared" si="128"/>
        <v>2026</v>
      </c>
      <c r="C1033">
        <f t="shared" si="129"/>
        <v>10</v>
      </c>
      <c r="D1033" t="str">
        <f t="shared" si="130"/>
        <v>October</v>
      </c>
      <c r="E1033">
        <f t="shared" si="131"/>
        <v>44</v>
      </c>
      <c r="F1033">
        <f t="shared" si="132"/>
        <v>28</v>
      </c>
      <c r="G1033" t="str">
        <f t="shared" si="133"/>
        <v>Wednesday</v>
      </c>
      <c r="H1033" t="b">
        <f t="shared" si="134"/>
        <v>0</v>
      </c>
      <c r="I1033">
        <f t="shared" si="135"/>
        <v>301</v>
      </c>
      <c r="J1033" t="s">
        <v>25</v>
      </c>
      <c r="K1033">
        <v>20261028</v>
      </c>
    </row>
    <row r="1034" spans="1:11" x14ac:dyDescent="0.3">
      <c r="A1034" s="4">
        <v>46324</v>
      </c>
      <c r="B1034">
        <f t="shared" si="128"/>
        <v>2026</v>
      </c>
      <c r="C1034">
        <f t="shared" si="129"/>
        <v>10</v>
      </c>
      <c r="D1034" t="str">
        <f t="shared" si="130"/>
        <v>October</v>
      </c>
      <c r="E1034">
        <f t="shared" si="131"/>
        <v>44</v>
      </c>
      <c r="F1034">
        <f t="shared" si="132"/>
        <v>29</v>
      </c>
      <c r="G1034" t="str">
        <f t="shared" si="133"/>
        <v>Thursday</v>
      </c>
      <c r="H1034" t="b">
        <f t="shared" si="134"/>
        <v>0</v>
      </c>
      <c r="I1034">
        <f t="shared" si="135"/>
        <v>302</v>
      </c>
      <c r="J1034" t="s">
        <v>25</v>
      </c>
      <c r="K1034">
        <v>20261029</v>
      </c>
    </row>
    <row r="1035" spans="1:11" x14ac:dyDescent="0.3">
      <c r="A1035" s="4">
        <v>46325</v>
      </c>
      <c r="B1035">
        <f t="shared" si="128"/>
        <v>2026</v>
      </c>
      <c r="C1035">
        <f t="shared" si="129"/>
        <v>10</v>
      </c>
      <c r="D1035" t="str">
        <f t="shared" si="130"/>
        <v>October</v>
      </c>
      <c r="E1035">
        <f t="shared" si="131"/>
        <v>44</v>
      </c>
      <c r="F1035">
        <f t="shared" si="132"/>
        <v>30</v>
      </c>
      <c r="G1035" t="str">
        <f t="shared" si="133"/>
        <v>Friday</v>
      </c>
      <c r="H1035" t="b">
        <f t="shared" si="134"/>
        <v>0</v>
      </c>
      <c r="I1035">
        <f t="shared" si="135"/>
        <v>303</v>
      </c>
      <c r="J1035" t="s">
        <v>25</v>
      </c>
      <c r="K1035">
        <v>20261030</v>
      </c>
    </row>
    <row r="1036" spans="1:11" x14ac:dyDescent="0.3">
      <c r="A1036" s="4">
        <v>46326</v>
      </c>
      <c r="B1036">
        <f t="shared" si="128"/>
        <v>2026</v>
      </c>
      <c r="C1036">
        <f t="shared" si="129"/>
        <v>10</v>
      </c>
      <c r="D1036" t="str">
        <f t="shared" si="130"/>
        <v>October</v>
      </c>
      <c r="E1036">
        <f t="shared" si="131"/>
        <v>44</v>
      </c>
      <c r="F1036">
        <f t="shared" si="132"/>
        <v>31</v>
      </c>
      <c r="G1036" t="str">
        <f t="shared" si="133"/>
        <v>Saturday</v>
      </c>
      <c r="H1036" t="b">
        <f t="shared" si="134"/>
        <v>1</v>
      </c>
      <c r="I1036">
        <f t="shared" si="135"/>
        <v>304</v>
      </c>
      <c r="J1036" t="s">
        <v>25</v>
      </c>
      <c r="K1036">
        <v>20261031</v>
      </c>
    </row>
    <row r="1037" spans="1:11" x14ac:dyDescent="0.3">
      <c r="A1037" s="4">
        <v>46327</v>
      </c>
      <c r="B1037">
        <f t="shared" si="128"/>
        <v>2026</v>
      </c>
      <c r="C1037">
        <f t="shared" si="129"/>
        <v>11</v>
      </c>
      <c r="D1037" t="str">
        <f t="shared" si="130"/>
        <v>November</v>
      </c>
      <c r="E1037">
        <f t="shared" si="131"/>
        <v>45</v>
      </c>
      <c r="F1037">
        <f t="shared" si="132"/>
        <v>1</v>
      </c>
      <c r="G1037" t="str">
        <f t="shared" si="133"/>
        <v>Sunday</v>
      </c>
      <c r="H1037" t="b">
        <f t="shared" si="134"/>
        <v>1</v>
      </c>
      <c r="I1037">
        <f t="shared" si="135"/>
        <v>305</v>
      </c>
      <c r="J1037" t="s">
        <v>22</v>
      </c>
      <c r="K1037">
        <v>20261101</v>
      </c>
    </row>
    <row r="1038" spans="1:11" x14ac:dyDescent="0.3">
      <c r="A1038" s="4">
        <v>46328</v>
      </c>
      <c r="B1038">
        <f t="shared" si="128"/>
        <v>2026</v>
      </c>
      <c r="C1038">
        <f t="shared" si="129"/>
        <v>11</v>
      </c>
      <c r="D1038" t="str">
        <f t="shared" si="130"/>
        <v>November</v>
      </c>
      <c r="E1038">
        <f t="shared" si="131"/>
        <v>45</v>
      </c>
      <c r="F1038">
        <f t="shared" si="132"/>
        <v>2</v>
      </c>
      <c r="G1038" t="str">
        <f t="shared" si="133"/>
        <v>Monday</v>
      </c>
      <c r="H1038" t="b">
        <f t="shared" si="134"/>
        <v>0</v>
      </c>
      <c r="I1038">
        <f t="shared" si="135"/>
        <v>306</v>
      </c>
      <c r="J1038" t="s">
        <v>22</v>
      </c>
      <c r="K1038">
        <v>20261102</v>
      </c>
    </row>
    <row r="1039" spans="1:11" x14ac:dyDescent="0.3">
      <c r="A1039" s="4">
        <v>46329</v>
      </c>
      <c r="B1039">
        <f t="shared" si="128"/>
        <v>2026</v>
      </c>
      <c r="C1039">
        <f t="shared" si="129"/>
        <v>11</v>
      </c>
      <c r="D1039" t="str">
        <f t="shared" si="130"/>
        <v>November</v>
      </c>
      <c r="E1039">
        <f t="shared" si="131"/>
        <v>45</v>
      </c>
      <c r="F1039">
        <f t="shared" si="132"/>
        <v>3</v>
      </c>
      <c r="G1039" t="str">
        <f t="shared" si="133"/>
        <v>Tuesday</v>
      </c>
      <c r="H1039" t="b">
        <f t="shared" si="134"/>
        <v>0</v>
      </c>
      <c r="I1039">
        <f t="shared" si="135"/>
        <v>307</v>
      </c>
      <c r="J1039" t="s">
        <v>22</v>
      </c>
      <c r="K1039">
        <v>20261103</v>
      </c>
    </row>
    <row r="1040" spans="1:11" x14ac:dyDescent="0.3">
      <c r="A1040" s="4">
        <v>46330</v>
      </c>
      <c r="B1040">
        <f t="shared" si="128"/>
        <v>2026</v>
      </c>
      <c r="C1040">
        <f t="shared" si="129"/>
        <v>11</v>
      </c>
      <c r="D1040" t="str">
        <f t="shared" si="130"/>
        <v>November</v>
      </c>
      <c r="E1040">
        <f t="shared" si="131"/>
        <v>45</v>
      </c>
      <c r="F1040">
        <f t="shared" si="132"/>
        <v>4</v>
      </c>
      <c r="G1040" t="str">
        <f t="shared" si="133"/>
        <v>Wednesday</v>
      </c>
      <c r="H1040" t="b">
        <f t="shared" si="134"/>
        <v>0</v>
      </c>
      <c r="I1040">
        <f t="shared" si="135"/>
        <v>308</v>
      </c>
      <c r="J1040" t="s">
        <v>22</v>
      </c>
      <c r="K1040">
        <v>20261104</v>
      </c>
    </row>
    <row r="1041" spans="1:11" x14ac:dyDescent="0.3">
      <c r="A1041" s="4">
        <v>46331</v>
      </c>
      <c r="B1041">
        <f t="shared" si="128"/>
        <v>2026</v>
      </c>
      <c r="C1041">
        <f t="shared" si="129"/>
        <v>11</v>
      </c>
      <c r="D1041" t="str">
        <f t="shared" si="130"/>
        <v>November</v>
      </c>
      <c r="E1041">
        <f t="shared" si="131"/>
        <v>45</v>
      </c>
      <c r="F1041">
        <f t="shared" si="132"/>
        <v>5</v>
      </c>
      <c r="G1041" t="str">
        <f t="shared" si="133"/>
        <v>Thursday</v>
      </c>
      <c r="H1041" t="b">
        <f t="shared" si="134"/>
        <v>0</v>
      </c>
      <c r="I1041">
        <f t="shared" si="135"/>
        <v>309</v>
      </c>
      <c r="J1041" t="s">
        <v>22</v>
      </c>
      <c r="K1041">
        <v>20261105</v>
      </c>
    </row>
    <row r="1042" spans="1:11" x14ac:dyDescent="0.3">
      <c r="A1042" s="4">
        <v>46332</v>
      </c>
      <c r="B1042">
        <f t="shared" si="128"/>
        <v>2026</v>
      </c>
      <c r="C1042">
        <f t="shared" si="129"/>
        <v>11</v>
      </c>
      <c r="D1042" t="str">
        <f t="shared" si="130"/>
        <v>November</v>
      </c>
      <c r="E1042">
        <f t="shared" si="131"/>
        <v>45</v>
      </c>
      <c r="F1042">
        <f t="shared" si="132"/>
        <v>6</v>
      </c>
      <c r="G1042" t="str">
        <f t="shared" si="133"/>
        <v>Friday</v>
      </c>
      <c r="H1042" t="b">
        <f t="shared" si="134"/>
        <v>0</v>
      </c>
      <c r="I1042">
        <f t="shared" si="135"/>
        <v>310</v>
      </c>
      <c r="J1042" t="s">
        <v>22</v>
      </c>
      <c r="K1042">
        <v>20261106</v>
      </c>
    </row>
    <row r="1043" spans="1:11" x14ac:dyDescent="0.3">
      <c r="A1043" s="4">
        <v>46333</v>
      </c>
      <c r="B1043">
        <f t="shared" si="128"/>
        <v>2026</v>
      </c>
      <c r="C1043">
        <f t="shared" si="129"/>
        <v>11</v>
      </c>
      <c r="D1043" t="str">
        <f t="shared" si="130"/>
        <v>November</v>
      </c>
      <c r="E1043">
        <f t="shared" si="131"/>
        <v>45</v>
      </c>
      <c r="F1043">
        <f t="shared" si="132"/>
        <v>7</v>
      </c>
      <c r="G1043" t="str">
        <f t="shared" si="133"/>
        <v>Saturday</v>
      </c>
      <c r="H1043" t="b">
        <f t="shared" si="134"/>
        <v>1</v>
      </c>
      <c r="I1043">
        <f t="shared" si="135"/>
        <v>311</v>
      </c>
      <c r="J1043" t="s">
        <v>22</v>
      </c>
      <c r="K1043">
        <v>20261107</v>
      </c>
    </row>
    <row r="1044" spans="1:11" x14ac:dyDescent="0.3">
      <c r="A1044" s="4">
        <v>46334</v>
      </c>
      <c r="B1044">
        <f t="shared" si="128"/>
        <v>2026</v>
      </c>
      <c r="C1044">
        <f t="shared" si="129"/>
        <v>11</v>
      </c>
      <c r="D1044" t="str">
        <f t="shared" si="130"/>
        <v>November</v>
      </c>
      <c r="E1044">
        <f t="shared" si="131"/>
        <v>46</v>
      </c>
      <c r="F1044">
        <f t="shared" si="132"/>
        <v>8</v>
      </c>
      <c r="G1044" t="str">
        <f t="shared" si="133"/>
        <v>Sunday</v>
      </c>
      <c r="H1044" t="b">
        <f t="shared" si="134"/>
        <v>1</v>
      </c>
      <c r="I1044">
        <f t="shared" si="135"/>
        <v>312</v>
      </c>
      <c r="J1044" t="s">
        <v>22</v>
      </c>
      <c r="K1044">
        <v>20261108</v>
      </c>
    </row>
    <row r="1045" spans="1:11" x14ac:dyDescent="0.3">
      <c r="A1045" s="4">
        <v>46335</v>
      </c>
      <c r="B1045">
        <f t="shared" si="128"/>
        <v>2026</v>
      </c>
      <c r="C1045">
        <f t="shared" si="129"/>
        <v>11</v>
      </c>
      <c r="D1045" t="str">
        <f t="shared" si="130"/>
        <v>November</v>
      </c>
      <c r="E1045">
        <f t="shared" si="131"/>
        <v>46</v>
      </c>
      <c r="F1045">
        <f t="shared" si="132"/>
        <v>9</v>
      </c>
      <c r="G1045" t="str">
        <f t="shared" si="133"/>
        <v>Monday</v>
      </c>
      <c r="H1045" t="b">
        <f t="shared" si="134"/>
        <v>0</v>
      </c>
      <c r="I1045">
        <f t="shared" si="135"/>
        <v>313</v>
      </c>
      <c r="J1045" t="s">
        <v>22</v>
      </c>
      <c r="K1045">
        <v>20261109</v>
      </c>
    </row>
    <row r="1046" spans="1:11" x14ac:dyDescent="0.3">
      <c r="A1046" s="4">
        <v>46336</v>
      </c>
      <c r="B1046">
        <f t="shared" si="128"/>
        <v>2026</v>
      </c>
      <c r="C1046">
        <f t="shared" si="129"/>
        <v>11</v>
      </c>
      <c r="D1046" t="str">
        <f t="shared" si="130"/>
        <v>November</v>
      </c>
      <c r="E1046">
        <f t="shared" si="131"/>
        <v>46</v>
      </c>
      <c r="F1046">
        <f t="shared" si="132"/>
        <v>10</v>
      </c>
      <c r="G1046" t="str">
        <f t="shared" si="133"/>
        <v>Tuesday</v>
      </c>
      <c r="H1046" t="b">
        <f t="shared" si="134"/>
        <v>0</v>
      </c>
      <c r="I1046">
        <f t="shared" si="135"/>
        <v>314</v>
      </c>
      <c r="J1046" t="s">
        <v>22</v>
      </c>
      <c r="K1046">
        <v>20261110</v>
      </c>
    </row>
    <row r="1047" spans="1:11" x14ac:dyDescent="0.3">
      <c r="A1047" s="4">
        <v>46337</v>
      </c>
      <c r="B1047">
        <f t="shared" si="128"/>
        <v>2026</v>
      </c>
      <c r="C1047">
        <f t="shared" si="129"/>
        <v>11</v>
      </c>
      <c r="D1047" t="str">
        <f t="shared" si="130"/>
        <v>November</v>
      </c>
      <c r="E1047">
        <f t="shared" si="131"/>
        <v>46</v>
      </c>
      <c r="F1047">
        <f t="shared" si="132"/>
        <v>11</v>
      </c>
      <c r="G1047" t="str">
        <f t="shared" si="133"/>
        <v>Wednesday</v>
      </c>
      <c r="H1047" t="b">
        <f t="shared" si="134"/>
        <v>0</v>
      </c>
      <c r="I1047">
        <f t="shared" si="135"/>
        <v>315</v>
      </c>
      <c r="J1047" t="s">
        <v>22</v>
      </c>
      <c r="K1047">
        <v>20261111</v>
      </c>
    </row>
    <row r="1048" spans="1:11" x14ac:dyDescent="0.3">
      <c r="A1048" s="4">
        <v>46338</v>
      </c>
      <c r="B1048">
        <f t="shared" si="128"/>
        <v>2026</v>
      </c>
      <c r="C1048">
        <f t="shared" si="129"/>
        <v>11</v>
      </c>
      <c r="D1048" t="str">
        <f t="shared" si="130"/>
        <v>November</v>
      </c>
      <c r="E1048">
        <f t="shared" si="131"/>
        <v>46</v>
      </c>
      <c r="F1048">
        <f t="shared" si="132"/>
        <v>12</v>
      </c>
      <c r="G1048" t="str">
        <f t="shared" si="133"/>
        <v>Thursday</v>
      </c>
      <c r="H1048" t="b">
        <f t="shared" si="134"/>
        <v>0</v>
      </c>
      <c r="I1048">
        <f t="shared" si="135"/>
        <v>316</v>
      </c>
      <c r="J1048" t="s">
        <v>22</v>
      </c>
      <c r="K1048">
        <v>20261112</v>
      </c>
    </row>
    <row r="1049" spans="1:11" x14ac:dyDescent="0.3">
      <c r="A1049" s="4">
        <v>46339</v>
      </c>
      <c r="B1049">
        <f t="shared" si="128"/>
        <v>2026</v>
      </c>
      <c r="C1049">
        <f t="shared" si="129"/>
        <v>11</v>
      </c>
      <c r="D1049" t="str">
        <f t="shared" si="130"/>
        <v>November</v>
      </c>
      <c r="E1049">
        <f t="shared" si="131"/>
        <v>46</v>
      </c>
      <c r="F1049">
        <f t="shared" si="132"/>
        <v>13</v>
      </c>
      <c r="G1049" t="str">
        <f t="shared" si="133"/>
        <v>Friday</v>
      </c>
      <c r="H1049" t="b">
        <f t="shared" si="134"/>
        <v>0</v>
      </c>
      <c r="I1049">
        <f t="shared" si="135"/>
        <v>317</v>
      </c>
      <c r="J1049" t="s">
        <v>22</v>
      </c>
      <c r="K1049">
        <v>20261113</v>
      </c>
    </row>
    <row r="1050" spans="1:11" x14ac:dyDescent="0.3">
      <c r="A1050" s="4">
        <v>46340</v>
      </c>
      <c r="B1050">
        <f t="shared" si="128"/>
        <v>2026</v>
      </c>
      <c r="C1050">
        <f t="shared" si="129"/>
        <v>11</v>
      </c>
      <c r="D1050" t="str">
        <f t="shared" si="130"/>
        <v>November</v>
      </c>
      <c r="E1050">
        <f t="shared" si="131"/>
        <v>46</v>
      </c>
      <c r="F1050">
        <f t="shared" si="132"/>
        <v>14</v>
      </c>
      <c r="G1050" t="str">
        <f t="shared" si="133"/>
        <v>Saturday</v>
      </c>
      <c r="H1050" t="b">
        <f t="shared" si="134"/>
        <v>1</v>
      </c>
      <c r="I1050">
        <f t="shared" si="135"/>
        <v>318</v>
      </c>
      <c r="J1050" t="s">
        <v>22</v>
      </c>
      <c r="K1050">
        <v>20261114</v>
      </c>
    </row>
    <row r="1051" spans="1:11" x14ac:dyDescent="0.3">
      <c r="A1051" s="4">
        <v>46341</v>
      </c>
      <c r="B1051">
        <f t="shared" si="128"/>
        <v>2026</v>
      </c>
      <c r="C1051">
        <f t="shared" si="129"/>
        <v>11</v>
      </c>
      <c r="D1051" t="str">
        <f t="shared" si="130"/>
        <v>November</v>
      </c>
      <c r="E1051">
        <f t="shared" si="131"/>
        <v>47</v>
      </c>
      <c r="F1051">
        <f t="shared" si="132"/>
        <v>15</v>
      </c>
      <c r="G1051" t="str">
        <f t="shared" si="133"/>
        <v>Sunday</v>
      </c>
      <c r="H1051" t="b">
        <f t="shared" si="134"/>
        <v>1</v>
      </c>
      <c r="I1051">
        <f t="shared" si="135"/>
        <v>319</v>
      </c>
      <c r="J1051" t="s">
        <v>22</v>
      </c>
      <c r="K1051">
        <v>20261115</v>
      </c>
    </row>
    <row r="1052" spans="1:11" x14ac:dyDescent="0.3">
      <c r="A1052" s="4">
        <v>46342</v>
      </c>
      <c r="B1052">
        <f t="shared" si="128"/>
        <v>2026</v>
      </c>
      <c r="C1052">
        <f t="shared" si="129"/>
        <v>11</v>
      </c>
      <c r="D1052" t="str">
        <f t="shared" si="130"/>
        <v>November</v>
      </c>
      <c r="E1052">
        <f t="shared" si="131"/>
        <v>47</v>
      </c>
      <c r="F1052">
        <f t="shared" si="132"/>
        <v>16</v>
      </c>
      <c r="G1052" t="str">
        <f t="shared" si="133"/>
        <v>Monday</v>
      </c>
      <c r="H1052" t="b">
        <f t="shared" si="134"/>
        <v>0</v>
      </c>
      <c r="I1052">
        <f t="shared" si="135"/>
        <v>320</v>
      </c>
      <c r="J1052" t="s">
        <v>22</v>
      </c>
      <c r="K1052">
        <v>20261116</v>
      </c>
    </row>
    <row r="1053" spans="1:11" x14ac:dyDescent="0.3">
      <c r="A1053" s="4">
        <v>46343</v>
      </c>
      <c r="B1053">
        <f t="shared" si="128"/>
        <v>2026</v>
      </c>
      <c r="C1053">
        <f t="shared" si="129"/>
        <v>11</v>
      </c>
      <c r="D1053" t="str">
        <f t="shared" si="130"/>
        <v>November</v>
      </c>
      <c r="E1053">
        <f t="shared" si="131"/>
        <v>47</v>
      </c>
      <c r="F1053">
        <f t="shared" si="132"/>
        <v>17</v>
      </c>
      <c r="G1053" t="str">
        <f t="shared" si="133"/>
        <v>Tuesday</v>
      </c>
      <c r="H1053" t="b">
        <f t="shared" si="134"/>
        <v>0</v>
      </c>
      <c r="I1053">
        <f t="shared" si="135"/>
        <v>321</v>
      </c>
      <c r="J1053" t="s">
        <v>22</v>
      </c>
      <c r="K1053">
        <v>20261117</v>
      </c>
    </row>
    <row r="1054" spans="1:11" x14ac:dyDescent="0.3">
      <c r="A1054" s="4">
        <v>46344</v>
      </c>
      <c r="B1054">
        <f t="shared" si="128"/>
        <v>2026</v>
      </c>
      <c r="C1054">
        <f t="shared" si="129"/>
        <v>11</v>
      </c>
      <c r="D1054" t="str">
        <f t="shared" si="130"/>
        <v>November</v>
      </c>
      <c r="E1054">
        <f t="shared" si="131"/>
        <v>47</v>
      </c>
      <c r="F1054">
        <f t="shared" si="132"/>
        <v>18</v>
      </c>
      <c r="G1054" t="str">
        <f t="shared" si="133"/>
        <v>Wednesday</v>
      </c>
      <c r="H1054" t="b">
        <f t="shared" si="134"/>
        <v>0</v>
      </c>
      <c r="I1054">
        <f t="shared" si="135"/>
        <v>322</v>
      </c>
      <c r="J1054" t="s">
        <v>22</v>
      </c>
      <c r="K1054">
        <v>20261118</v>
      </c>
    </row>
    <row r="1055" spans="1:11" x14ac:dyDescent="0.3">
      <c r="A1055" s="4">
        <v>46345</v>
      </c>
      <c r="B1055">
        <f t="shared" si="128"/>
        <v>2026</v>
      </c>
      <c r="C1055">
        <f t="shared" si="129"/>
        <v>11</v>
      </c>
      <c r="D1055" t="str">
        <f t="shared" si="130"/>
        <v>November</v>
      </c>
      <c r="E1055">
        <f t="shared" si="131"/>
        <v>47</v>
      </c>
      <c r="F1055">
        <f t="shared" si="132"/>
        <v>19</v>
      </c>
      <c r="G1055" t="str">
        <f t="shared" si="133"/>
        <v>Thursday</v>
      </c>
      <c r="H1055" t="b">
        <f t="shared" si="134"/>
        <v>0</v>
      </c>
      <c r="I1055">
        <f t="shared" si="135"/>
        <v>323</v>
      </c>
      <c r="J1055" t="s">
        <v>22</v>
      </c>
      <c r="K1055">
        <v>20261119</v>
      </c>
    </row>
    <row r="1056" spans="1:11" x14ac:dyDescent="0.3">
      <c r="A1056" s="4">
        <v>46346</v>
      </c>
      <c r="B1056">
        <f t="shared" si="128"/>
        <v>2026</v>
      </c>
      <c r="C1056">
        <f t="shared" si="129"/>
        <v>11</v>
      </c>
      <c r="D1056" t="str">
        <f t="shared" si="130"/>
        <v>November</v>
      </c>
      <c r="E1056">
        <f t="shared" si="131"/>
        <v>47</v>
      </c>
      <c r="F1056">
        <f t="shared" si="132"/>
        <v>20</v>
      </c>
      <c r="G1056" t="str">
        <f t="shared" si="133"/>
        <v>Friday</v>
      </c>
      <c r="H1056" t="b">
        <f t="shared" si="134"/>
        <v>0</v>
      </c>
      <c r="I1056">
        <f t="shared" si="135"/>
        <v>324</v>
      </c>
      <c r="J1056" t="s">
        <v>22</v>
      </c>
      <c r="K1056">
        <v>20261120</v>
      </c>
    </row>
    <row r="1057" spans="1:11" x14ac:dyDescent="0.3">
      <c r="A1057" s="4">
        <v>46347</v>
      </c>
      <c r="B1057">
        <f t="shared" si="128"/>
        <v>2026</v>
      </c>
      <c r="C1057">
        <f t="shared" si="129"/>
        <v>11</v>
      </c>
      <c r="D1057" t="str">
        <f t="shared" si="130"/>
        <v>November</v>
      </c>
      <c r="E1057">
        <f t="shared" si="131"/>
        <v>47</v>
      </c>
      <c r="F1057">
        <f t="shared" si="132"/>
        <v>21</v>
      </c>
      <c r="G1057" t="str">
        <f t="shared" si="133"/>
        <v>Saturday</v>
      </c>
      <c r="H1057" t="b">
        <f t="shared" si="134"/>
        <v>1</v>
      </c>
      <c r="I1057">
        <f t="shared" si="135"/>
        <v>325</v>
      </c>
      <c r="J1057" t="s">
        <v>22</v>
      </c>
      <c r="K1057">
        <v>20261121</v>
      </c>
    </row>
    <row r="1058" spans="1:11" x14ac:dyDescent="0.3">
      <c r="A1058" s="4">
        <v>46348</v>
      </c>
      <c r="B1058">
        <f t="shared" si="128"/>
        <v>2026</v>
      </c>
      <c r="C1058">
        <f t="shared" si="129"/>
        <v>11</v>
      </c>
      <c r="D1058" t="str">
        <f t="shared" si="130"/>
        <v>November</v>
      </c>
      <c r="E1058">
        <f t="shared" si="131"/>
        <v>48</v>
      </c>
      <c r="F1058">
        <f t="shared" si="132"/>
        <v>22</v>
      </c>
      <c r="G1058" t="str">
        <f t="shared" si="133"/>
        <v>Sunday</v>
      </c>
      <c r="H1058" t="b">
        <f t="shared" si="134"/>
        <v>1</v>
      </c>
      <c r="I1058">
        <f t="shared" si="135"/>
        <v>326</v>
      </c>
      <c r="J1058" t="s">
        <v>22</v>
      </c>
      <c r="K1058">
        <v>20261122</v>
      </c>
    </row>
    <row r="1059" spans="1:11" x14ac:dyDescent="0.3">
      <c r="A1059" s="4">
        <v>46349</v>
      </c>
      <c r="B1059">
        <f t="shared" si="128"/>
        <v>2026</v>
      </c>
      <c r="C1059">
        <f t="shared" si="129"/>
        <v>11</v>
      </c>
      <c r="D1059" t="str">
        <f t="shared" si="130"/>
        <v>November</v>
      </c>
      <c r="E1059">
        <f t="shared" si="131"/>
        <v>48</v>
      </c>
      <c r="F1059">
        <f t="shared" si="132"/>
        <v>23</v>
      </c>
      <c r="G1059" t="str">
        <f t="shared" si="133"/>
        <v>Monday</v>
      </c>
      <c r="H1059" t="b">
        <f t="shared" si="134"/>
        <v>0</v>
      </c>
      <c r="I1059">
        <f t="shared" si="135"/>
        <v>327</v>
      </c>
      <c r="J1059" t="s">
        <v>22</v>
      </c>
      <c r="K1059">
        <v>20261123</v>
      </c>
    </row>
    <row r="1060" spans="1:11" x14ac:dyDescent="0.3">
      <c r="A1060" s="4">
        <v>46350</v>
      </c>
      <c r="B1060">
        <f t="shared" si="128"/>
        <v>2026</v>
      </c>
      <c r="C1060">
        <f t="shared" si="129"/>
        <v>11</v>
      </c>
      <c r="D1060" t="str">
        <f t="shared" si="130"/>
        <v>November</v>
      </c>
      <c r="E1060">
        <f t="shared" si="131"/>
        <v>48</v>
      </c>
      <c r="F1060">
        <f t="shared" si="132"/>
        <v>24</v>
      </c>
      <c r="G1060" t="str">
        <f t="shared" si="133"/>
        <v>Tuesday</v>
      </c>
      <c r="H1060" t="b">
        <f t="shared" si="134"/>
        <v>0</v>
      </c>
      <c r="I1060">
        <f t="shared" si="135"/>
        <v>328</v>
      </c>
      <c r="J1060" t="s">
        <v>22</v>
      </c>
      <c r="K1060">
        <v>20261124</v>
      </c>
    </row>
    <row r="1061" spans="1:11" x14ac:dyDescent="0.3">
      <c r="A1061" s="4">
        <v>46351</v>
      </c>
      <c r="B1061">
        <f t="shared" si="128"/>
        <v>2026</v>
      </c>
      <c r="C1061">
        <f t="shared" si="129"/>
        <v>11</v>
      </c>
      <c r="D1061" t="str">
        <f t="shared" si="130"/>
        <v>November</v>
      </c>
      <c r="E1061">
        <f t="shared" si="131"/>
        <v>48</v>
      </c>
      <c r="F1061">
        <f t="shared" si="132"/>
        <v>25</v>
      </c>
      <c r="G1061" t="str">
        <f t="shared" si="133"/>
        <v>Wednesday</v>
      </c>
      <c r="H1061" t="b">
        <f t="shared" si="134"/>
        <v>0</v>
      </c>
      <c r="I1061">
        <f t="shared" si="135"/>
        <v>329</v>
      </c>
      <c r="J1061" t="s">
        <v>22</v>
      </c>
      <c r="K1061">
        <v>20261125</v>
      </c>
    </row>
    <row r="1062" spans="1:11" x14ac:dyDescent="0.3">
      <c r="A1062" s="4">
        <v>46352</v>
      </c>
      <c r="B1062">
        <f t="shared" si="128"/>
        <v>2026</v>
      </c>
      <c r="C1062">
        <f t="shared" si="129"/>
        <v>11</v>
      </c>
      <c r="D1062" t="str">
        <f t="shared" si="130"/>
        <v>November</v>
      </c>
      <c r="E1062">
        <f t="shared" si="131"/>
        <v>48</v>
      </c>
      <c r="F1062">
        <f t="shared" si="132"/>
        <v>26</v>
      </c>
      <c r="G1062" t="str">
        <f t="shared" si="133"/>
        <v>Thursday</v>
      </c>
      <c r="H1062" t="b">
        <f t="shared" si="134"/>
        <v>0</v>
      </c>
      <c r="I1062">
        <f t="shared" si="135"/>
        <v>330</v>
      </c>
      <c r="J1062" t="s">
        <v>22</v>
      </c>
      <c r="K1062">
        <v>20261126</v>
      </c>
    </row>
    <row r="1063" spans="1:11" x14ac:dyDescent="0.3">
      <c r="A1063" s="4">
        <v>46353</v>
      </c>
      <c r="B1063">
        <f t="shared" si="128"/>
        <v>2026</v>
      </c>
      <c r="C1063">
        <f t="shared" si="129"/>
        <v>11</v>
      </c>
      <c r="D1063" t="str">
        <f t="shared" si="130"/>
        <v>November</v>
      </c>
      <c r="E1063">
        <f t="shared" si="131"/>
        <v>48</v>
      </c>
      <c r="F1063">
        <f t="shared" si="132"/>
        <v>27</v>
      </c>
      <c r="G1063" t="str">
        <f t="shared" si="133"/>
        <v>Friday</v>
      </c>
      <c r="H1063" t="b">
        <f t="shared" si="134"/>
        <v>0</v>
      </c>
      <c r="I1063">
        <f t="shared" si="135"/>
        <v>331</v>
      </c>
      <c r="J1063" t="s">
        <v>22</v>
      </c>
      <c r="K1063">
        <v>20261127</v>
      </c>
    </row>
    <row r="1064" spans="1:11" x14ac:dyDescent="0.3">
      <c r="A1064" s="4">
        <v>46354</v>
      </c>
      <c r="B1064">
        <f t="shared" si="128"/>
        <v>2026</v>
      </c>
      <c r="C1064">
        <f t="shared" si="129"/>
        <v>11</v>
      </c>
      <c r="D1064" t="str">
        <f t="shared" si="130"/>
        <v>November</v>
      </c>
      <c r="E1064">
        <f t="shared" si="131"/>
        <v>48</v>
      </c>
      <c r="F1064">
        <f t="shared" si="132"/>
        <v>28</v>
      </c>
      <c r="G1064" t="str">
        <f t="shared" si="133"/>
        <v>Saturday</v>
      </c>
      <c r="H1064" t="b">
        <f t="shared" si="134"/>
        <v>1</v>
      </c>
      <c r="I1064">
        <f t="shared" si="135"/>
        <v>332</v>
      </c>
      <c r="J1064" t="s">
        <v>22</v>
      </c>
      <c r="K1064">
        <v>20261128</v>
      </c>
    </row>
    <row r="1065" spans="1:11" x14ac:dyDescent="0.3">
      <c r="A1065" s="4">
        <v>46355</v>
      </c>
      <c r="B1065">
        <f t="shared" si="128"/>
        <v>2026</v>
      </c>
      <c r="C1065">
        <f t="shared" si="129"/>
        <v>11</v>
      </c>
      <c r="D1065" t="str">
        <f t="shared" si="130"/>
        <v>November</v>
      </c>
      <c r="E1065">
        <f t="shared" si="131"/>
        <v>49</v>
      </c>
      <c r="F1065">
        <f t="shared" si="132"/>
        <v>29</v>
      </c>
      <c r="G1065" t="str">
        <f t="shared" si="133"/>
        <v>Sunday</v>
      </c>
      <c r="H1065" t="b">
        <f t="shared" si="134"/>
        <v>1</v>
      </c>
      <c r="I1065">
        <f t="shared" si="135"/>
        <v>333</v>
      </c>
      <c r="J1065" t="s">
        <v>22</v>
      </c>
      <c r="K1065">
        <v>20261129</v>
      </c>
    </row>
    <row r="1066" spans="1:11" x14ac:dyDescent="0.3">
      <c r="A1066" s="4">
        <v>46356</v>
      </c>
      <c r="B1066">
        <f t="shared" si="128"/>
        <v>2026</v>
      </c>
      <c r="C1066">
        <f t="shared" si="129"/>
        <v>11</v>
      </c>
      <c r="D1066" t="str">
        <f t="shared" si="130"/>
        <v>November</v>
      </c>
      <c r="E1066">
        <f t="shared" si="131"/>
        <v>49</v>
      </c>
      <c r="F1066">
        <f t="shared" si="132"/>
        <v>30</v>
      </c>
      <c r="G1066" t="str">
        <f t="shared" si="133"/>
        <v>Monday</v>
      </c>
      <c r="H1066" t="b">
        <f t="shared" si="134"/>
        <v>0</v>
      </c>
      <c r="I1066">
        <f t="shared" si="135"/>
        <v>334</v>
      </c>
      <c r="J1066" t="s">
        <v>22</v>
      </c>
      <c r="K1066">
        <v>20261130</v>
      </c>
    </row>
    <row r="1067" spans="1:11" x14ac:dyDescent="0.3">
      <c r="A1067" s="4">
        <v>46357</v>
      </c>
      <c r="B1067">
        <f t="shared" si="128"/>
        <v>2026</v>
      </c>
      <c r="C1067">
        <f t="shared" si="129"/>
        <v>12</v>
      </c>
      <c r="D1067" t="str">
        <f t="shared" si="130"/>
        <v>December</v>
      </c>
      <c r="E1067">
        <f t="shared" si="131"/>
        <v>49</v>
      </c>
      <c r="F1067">
        <f t="shared" si="132"/>
        <v>1</v>
      </c>
      <c r="G1067" t="str">
        <f t="shared" si="133"/>
        <v>Tuesday</v>
      </c>
      <c r="H1067" t="b">
        <f t="shared" si="134"/>
        <v>0</v>
      </c>
      <c r="I1067">
        <f t="shared" si="135"/>
        <v>335</v>
      </c>
      <c r="J1067" t="s">
        <v>22</v>
      </c>
      <c r="K1067">
        <v>20261201</v>
      </c>
    </row>
    <row r="1068" spans="1:11" x14ac:dyDescent="0.3">
      <c r="A1068" s="4">
        <v>46358</v>
      </c>
      <c r="B1068">
        <f t="shared" si="128"/>
        <v>2026</v>
      </c>
      <c r="C1068">
        <f t="shared" si="129"/>
        <v>12</v>
      </c>
      <c r="D1068" t="str">
        <f t="shared" si="130"/>
        <v>December</v>
      </c>
      <c r="E1068">
        <f t="shared" si="131"/>
        <v>49</v>
      </c>
      <c r="F1068">
        <f t="shared" si="132"/>
        <v>2</v>
      </c>
      <c r="G1068" t="str">
        <f t="shared" si="133"/>
        <v>Wednesday</v>
      </c>
      <c r="H1068" t="b">
        <f t="shared" si="134"/>
        <v>0</v>
      </c>
      <c r="I1068">
        <f t="shared" si="135"/>
        <v>336</v>
      </c>
      <c r="J1068" t="s">
        <v>22</v>
      </c>
      <c r="K1068">
        <v>20261202</v>
      </c>
    </row>
    <row r="1069" spans="1:11" x14ac:dyDescent="0.3">
      <c r="A1069" s="4">
        <v>46359</v>
      </c>
      <c r="B1069">
        <f t="shared" si="128"/>
        <v>2026</v>
      </c>
      <c r="C1069">
        <f t="shared" si="129"/>
        <v>12</v>
      </c>
      <c r="D1069" t="str">
        <f t="shared" si="130"/>
        <v>December</v>
      </c>
      <c r="E1069">
        <f t="shared" si="131"/>
        <v>49</v>
      </c>
      <c r="F1069">
        <f t="shared" si="132"/>
        <v>3</v>
      </c>
      <c r="G1069" t="str">
        <f t="shared" si="133"/>
        <v>Thursday</v>
      </c>
      <c r="H1069" t="b">
        <f t="shared" si="134"/>
        <v>0</v>
      </c>
      <c r="I1069">
        <f t="shared" si="135"/>
        <v>337</v>
      </c>
      <c r="J1069" t="s">
        <v>22</v>
      </c>
      <c r="K1069">
        <v>20261203</v>
      </c>
    </row>
    <row r="1070" spans="1:11" x14ac:dyDescent="0.3">
      <c r="A1070" s="4">
        <v>46360</v>
      </c>
      <c r="B1070">
        <f t="shared" si="128"/>
        <v>2026</v>
      </c>
      <c r="C1070">
        <f t="shared" si="129"/>
        <v>12</v>
      </c>
      <c r="D1070" t="str">
        <f t="shared" si="130"/>
        <v>December</v>
      </c>
      <c r="E1070">
        <f t="shared" si="131"/>
        <v>49</v>
      </c>
      <c r="F1070">
        <f t="shared" si="132"/>
        <v>4</v>
      </c>
      <c r="G1070" t="str">
        <f t="shared" si="133"/>
        <v>Friday</v>
      </c>
      <c r="H1070" t="b">
        <f t="shared" si="134"/>
        <v>0</v>
      </c>
      <c r="I1070">
        <f t="shared" si="135"/>
        <v>338</v>
      </c>
      <c r="J1070" t="s">
        <v>22</v>
      </c>
      <c r="K1070">
        <v>20261204</v>
      </c>
    </row>
    <row r="1071" spans="1:11" x14ac:dyDescent="0.3">
      <c r="A1071" s="4">
        <v>46361</v>
      </c>
      <c r="B1071">
        <f t="shared" si="128"/>
        <v>2026</v>
      </c>
      <c r="C1071">
        <f t="shared" si="129"/>
        <v>12</v>
      </c>
      <c r="D1071" t="str">
        <f t="shared" si="130"/>
        <v>December</v>
      </c>
      <c r="E1071">
        <f t="shared" si="131"/>
        <v>49</v>
      </c>
      <c r="F1071">
        <f t="shared" si="132"/>
        <v>5</v>
      </c>
      <c r="G1071" t="str">
        <f t="shared" si="133"/>
        <v>Saturday</v>
      </c>
      <c r="H1071" t="b">
        <f t="shared" si="134"/>
        <v>1</v>
      </c>
      <c r="I1071">
        <f t="shared" si="135"/>
        <v>339</v>
      </c>
      <c r="J1071" t="s">
        <v>22</v>
      </c>
      <c r="K1071">
        <v>20261205</v>
      </c>
    </row>
    <row r="1072" spans="1:11" x14ac:dyDescent="0.3">
      <c r="A1072" s="4">
        <v>46362</v>
      </c>
      <c r="B1072">
        <f t="shared" si="128"/>
        <v>2026</v>
      </c>
      <c r="C1072">
        <f t="shared" si="129"/>
        <v>12</v>
      </c>
      <c r="D1072" t="str">
        <f t="shared" si="130"/>
        <v>December</v>
      </c>
      <c r="E1072">
        <f t="shared" si="131"/>
        <v>50</v>
      </c>
      <c r="F1072">
        <f t="shared" si="132"/>
        <v>6</v>
      </c>
      <c r="G1072" t="str">
        <f t="shared" si="133"/>
        <v>Sunday</v>
      </c>
      <c r="H1072" t="b">
        <f t="shared" si="134"/>
        <v>1</v>
      </c>
      <c r="I1072">
        <f t="shared" si="135"/>
        <v>340</v>
      </c>
      <c r="J1072" t="s">
        <v>22</v>
      </c>
      <c r="K1072">
        <v>20261206</v>
      </c>
    </row>
    <row r="1073" spans="1:11" x14ac:dyDescent="0.3">
      <c r="A1073" s="4">
        <v>46363</v>
      </c>
      <c r="B1073">
        <f t="shared" si="128"/>
        <v>2026</v>
      </c>
      <c r="C1073">
        <f t="shared" si="129"/>
        <v>12</v>
      </c>
      <c r="D1073" t="str">
        <f t="shared" si="130"/>
        <v>December</v>
      </c>
      <c r="E1073">
        <f t="shared" si="131"/>
        <v>50</v>
      </c>
      <c r="F1073">
        <f t="shared" si="132"/>
        <v>7</v>
      </c>
      <c r="G1073" t="str">
        <f t="shared" si="133"/>
        <v>Monday</v>
      </c>
      <c r="H1073" t="b">
        <f t="shared" si="134"/>
        <v>0</v>
      </c>
      <c r="I1073">
        <f t="shared" si="135"/>
        <v>341</v>
      </c>
      <c r="J1073" t="s">
        <v>22</v>
      </c>
      <c r="K1073">
        <v>20261207</v>
      </c>
    </row>
    <row r="1074" spans="1:11" x14ac:dyDescent="0.3">
      <c r="A1074" s="4">
        <v>46364</v>
      </c>
      <c r="B1074">
        <f t="shared" si="128"/>
        <v>2026</v>
      </c>
      <c r="C1074">
        <f t="shared" si="129"/>
        <v>12</v>
      </c>
      <c r="D1074" t="str">
        <f t="shared" si="130"/>
        <v>December</v>
      </c>
      <c r="E1074">
        <f t="shared" si="131"/>
        <v>50</v>
      </c>
      <c r="F1074">
        <f t="shared" si="132"/>
        <v>8</v>
      </c>
      <c r="G1074" t="str">
        <f t="shared" si="133"/>
        <v>Tuesday</v>
      </c>
      <c r="H1074" t="b">
        <f t="shared" si="134"/>
        <v>0</v>
      </c>
      <c r="I1074">
        <f t="shared" si="135"/>
        <v>342</v>
      </c>
      <c r="J1074" t="s">
        <v>22</v>
      </c>
      <c r="K1074">
        <v>20261208</v>
      </c>
    </row>
    <row r="1075" spans="1:11" x14ac:dyDescent="0.3">
      <c r="A1075" s="4">
        <v>46365</v>
      </c>
      <c r="B1075">
        <f t="shared" si="128"/>
        <v>2026</v>
      </c>
      <c r="C1075">
        <f t="shared" si="129"/>
        <v>12</v>
      </c>
      <c r="D1075" t="str">
        <f t="shared" si="130"/>
        <v>December</v>
      </c>
      <c r="E1075">
        <f t="shared" si="131"/>
        <v>50</v>
      </c>
      <c r="F1075">
        <f t="shared" si="132"/>
        <v>9</v>
      </c>
      <c r="G1075" t="str">
        <f t="shared" si="133"/>
        <v>Wednesday</v>
      </c>
      <c r="H1075" t="b">
        <f t="shared" si="134"/>
        <v>0</v>
      </c>
      <c r="I1075">
        <f t="shared" si="135"/>
        <v>343</v>
      </c>
      <c r="J1075" t="s">
        <v>22</v>
      </c>
      <c r="K1075">
        <v>20261209</v>
      </c>
    </row>
    <row r="1076" spans="1:11" x14ac:dyDescent="0.3">
      <c r="A1076" s="4">
        <v>46366</v>
      </c>
      <c r="B1076">
        <f t="shared" si="128"/>
        <v>2026</v>
      </c>
      <c r="C1076">
        <f t="shared" si="129"/>
        <v>12</v>
      </c>
      <c r="D1076" t="str">
        <f t="shared" si="130"/>
        <v>December</v>
      </c>
      <c r="E1076">
        <f t="shared" si="131"/>
        <v>50</v>
      </c>
      <c r="F1076">
        <f t="shared" si="132"/>
        <v>10</v>
      </c>
      <c r="G1076" t="str">
        <f t="shared" si="133"/>
        <v>Thursday</v>
      </c>
      <c r="H1076" t="b">
        <f t="shared" si="134"/>
        <v>0</v>
      </c>
      <c r="I1076">
        <f t="shared" si="135"/>
        <v>344</v>
      </c>
      <c r="J1076" t="s">
        <v>22</v>
      </c>
      <c r="K1076">
        <v>20261210</v>
      </c>
    </row>
    <row r="1077" spans="1:11" x14ac:dyDescent="0.3">
      <c r="A1077" s="4">
        <v>46367</v>
      </c>
      <c r="B1077">
        <f t="shared" si="128"/>
        <v>2026</v>
      </c>
      <c r="C1077">
        <f t="shared" si="129"/>
        <v>12</v>
      </c>
      <c r="D1077" t="str">
        <f t="shared" si="130"/>
        <v>December</v>
      </c>
      <c r="E1077">
        <f t="shared" si="131"/>
        <v>50</v>
      </c>
      <c r="F1077">
        <f t="shared" si="132"/>
        <v>11</v>
      </c>
      <c r="G1077" t="str">
        <f t="shared" si="133"/>
        <v>Friday</v>
      </c>
      <c r="H1077" t="b">
        <f t="shared" si="134"/>
        <v>0</v>
      </c>
      <c r="I1077">
        <f t="shared" si="135"/>
        <v>345</v>
      </c>
      <c r="J1077" t="s">
        <v>22</v>
      </c>
      <c r="K1077">
        <v>20261211</v>
      </c>
    </row>
    <row r="1078" spans="1:11" x14ac:dyDescent="0.3">
      <c r="A1078" s="4">
        <v>46368</v>
      </c>
      <c r="B1078">
        <f t="shared" si="128"/>
        <v>2026</v>
      </c>
      <c r="C1078">
        <f t="shared" si="129"/>
        <v>12</v>
      </c>
      <c r="D1078" t="str">
        <f t="shared" si="130"/>
        <v>December</v>
      </c>
      <c r="E1078">
        <f t="shared" si="131"/>
        <v>50</v>
      </c>
      <c r="F1078">
        <f t="shared" si="132"/>
        <v>12</v>
      </c>
      <c r="G1078" t="str">
        <f t="shared" si="133"/>
        <v>Saturday</v>
      </c>
      <c r="H1078" t="b">
        <f t="shared" si="134"/>
        <v>1</v>
      </c>
      <c r="I1078">
        <f t="shared" si="135"/>
        <v>346</v>
      </c>
      <c r="J1078" t="s">
        <v>22</v>
      </c>
      <c r="K1078">
        <v>20261212</v>
      </c>
    </row>
    <row r="1079" spans="1:11" x14ac:dyDescent="0.3">
      <c r="A1079" s="4">
        <v>46369</v>
      </c>
      <c r="B1079">
        <f t="shared" si="128"/>
        <v>2026</v>
      </c>
      <c r="C1079">
        <f t="shared" si="129"/>
        <v>12</v>
      </c>
      <c r="D1079" t="str">
        <f t="shared" si="130"/>
        <v>December</v>
      </c>
      <c r="E1079">
        <f t="shared" si="131"/>
        <v>51</v>
      </c>
      <c r="F1079">
        <f t="shared" si="132"/>
        <v>13</v>
      </c>
      <c r="G1079" t="str">
        <f t="shared" si="133"/>
        <v>Sunday</v>
      </c>
      <c r="H1079" t="b">
        <f t="shared" si="134"/>
        <v>1</v>
      </c>
      <c r="I1079">
        <f t="shared" si="135"/>
        <v>347</v>
      </c>
      <c r="J1079" t="s">
        <v>22</v>
      </c>
      <c r="K1079">
        <v>20261213</v>
      </c>
    </row>
    <row r="1080" spans="1:11" x14ac:dyDescent="0.3">
      <c r="A1080" s="4">
        <v>46370</v>
      </c>
      <c r="B1080">
        <f t="shared" si="128"/>
        <v>2026</v>
      </c>
      <c r="C1080">
        <f t="shared" si="129"/>
        <v>12</v>
      </c>
      <c r="D1080" t="str">
        <f t="shared" si="130"/>
        <v>December</v>
      </c>
      <c r="E1080">
        <f t="shared" si="131"/>
        <v>51</v>
      </c>
      <c r="F1080">
        <f t="shared" si="132"/>
        <v>14</v>
      </c>
      <c r="G1080" t="str">
        <f t="shared" si="133"/>
        <v>Monday</v>
      </c>
      <c r="H1080" t="b">
        <f t="shared" si="134"/>
        <v>0</v>
      </c>
      <c r="I1080">
        <f t="shared" si="135"/>
        <v>348</v>
      </c>
      <c r="J1080" t="s">
        <v>22</v>
      </c>
      <c r="K1080">
        <v>20261214</v>
      </c>
    </row>
    <row r="1081" spans="1:11" x14ac:dyDescent="0.3">
      <c r="A1081" s="4">
        <v>46371</v>
      </c>
      <c r="B1081">
        <f t="shared" si="128"/>
        <v>2026</v>
      </c>
      <c r="C1081">
        <f t="shared" si="129"/>
        <v>12</v>
      </c>
      <c r="D1081" t="str">
        <f t="shared" si="130"/>
        <v>December</v>
      </c>
      <c r="E1081">
        <f t="shared" si="131"/>
        <v>51</v>
      </c>
      <c r="F1081">
        <f t="shared" si="132"/>
        <v>15</v>
      </c>
      <c r="G1081" t="str">
        <f t="shared" si="133"/>
        <v>Tuesday</v>
      </c>
      <c r="H1081" t="b">
        <f t="shared" si="134"/>
        <v>0</v>
      </c>
      <c r="I1081">
        <f t="shared" si="135"/>
        <v>349</v>
      </c>
      <c r="J1081" t="s">
        <v>22</v>
      </c>
      <c r="K1081">
        <v>20261215</v>
      </c>
    </row>
    <row r="1082" spans="1:11" x14ac:dyDescent="0.3">
      <c r="A1082" s="4">
        <v>46372</v>
      </c>
      <c r="B1082">
        <f t="shared" si="128"/>
        <v>2026</v>
      </c>
      <c r="C1082">
        <f t="shared" si="129"/>
        <v>12</v>
      </c>
      <c r="D1082" t="str">
        <f t="shared" si="130"/>
        <v>December</v>
      </c>
      <c r="E1082">
        <f t="shared" si="131"/>
        <v>51</v>
      </c>
      <c r="F1082">
        <f t="shared" si="132"/>
        <v>16</v>
      </c>
      <c r="G1082" t="str">
        <f t="shared" si="133"/>
        <v>Wednesday</v>
      </c>
      <c r="H1082" t="b">
        <f t="shared" si="134"/>
        <v>0</v>
      </c>
      <c r="I1082">
        <f t="shared" si="135"/>
        <v>350</v>
      </c>
      <c r="J1082" t="s">
        <v>22</v>
      </c>
      <c r="K1082">
        <v>20261216</v>
      </c>
    </row>
    <row r="1083" spans="1:11" x14ac:dyDescent="0.3">
      <c r="A1083" s="4">
        <v>46373</v>
      </c>
      <c r="B1083">
        <f t="shared" si="128"/>
        <v>2026</v>
      </c>
      <c r="C1083">
        <f t="shared" si="129"/>
        <v>12</v>
      </c>
      <c r="D1083" t="str">
        <f t="shared" si="130"/>
        <v>December</v>
      </c>
      <c r="E1083">
        <f t="shared" si="131"/>
        <v>51</v>
      </c>
      <c r="F1083">
        <f t="shared" si="132"/>
        <v>17</v>
      </c>
      <c r="G1083" t="str">
        <f t="shared" si="133"/>
        <v>Thursday</v>
      </c>
      <c r="H1083" t="b">
        <f t="shared" si="134"/>
        <v>0</v>
      </c>
      <c r="I1083">
        <f t="shared" si="135"/>
        <v>351</v>
      </c>
      <c r="J1083" t="s">
        <v>22</v>
      </c>
      <c r="K1083">
        <v>20261217</v>
      </c>
    </row>
    <row r="1084" spans="1:11" x14ac:dyDescent="0.3">
      <c r="A1084" s="4">
        <v>46374</v>
      </c>
      <c r="B1084">
        <f t="shared" si="128"/>
        <v>2026</v>
      </c>
      <c r="C1084">
        <f t="shared" si="129"/>
        <v>12</v>
      </c>
      <c r="D1084" t="str">
        <f t="shared" si="130"/>
        <v>December</v>
      </c>
      <c r="E1084">
        <f t="shared" si="131"/>
        <v>51</v>
      </c>
      <c r="F1084">
        <f t="shared" si="132"/>
        <v>18</v>
      </c>
      <c r="G1084" t="str">
        <f t="shared" si="133"/>
        <v>Friday</v>
      </c>
      <c r="H1084" t="b">
        <f t="shared" si="134"/>
        <v>0</v>
      </c>
      <c r="I1084">
        <f t="shared" si="135"/>
        <v>352</v>
      </c>
      <c r="J1084" t="s">
        <v>22</v>
      </c>
      <c r="K1084">
        <v>20261218</v>
      </c>
    </row>
    <row r="1085" spans="1:11" x14ac:dyDescent="0.3">
      <c r="A1085" s="4">
        <v>46375</v>
      </c>
      <c r="B1085">
        <f t="shared" si="128"/>
        <v>2026</v>
      </c>
      <c r="C1085">
        <f t="shared" si="129"/>
        <v>12</v>
      </c>
      <c r="D1085" t="str">
        <f t="shared" si="130"/>
        <v>December</v>
      </c>
      <c r="E1085">
        <f t="shared" si="131"/>
        <v>51</v>
      </c>
      <c r="F1085">
        <f t="shared" si="132"/>
        <v>19</v>
      </c>
      <c r="G1085" t="str">
        <f t="shared" si="133"/>
        <v>Saturday</v>
      </c>
      <c r="H1085" t="b">
        <f t="shared" si="134"/>
        <v>1</v>
      </c>
      <c r="I1085">
        <f t="shared" si="135"/>
        <v>353</v>
      </c>
      <c r="J1085" t="s">
        <v>22</v>
      </c>
      <c r="K1085">
        <v>20261219</v>
      </c>
    </row>
    <row r="1086" spans="1:11" x14ac:dyDescent="0.3">
      <c r="A1086" s="4">
        <v>46376</v>
      </c>
      <c r="B1086">
        <f t="shared" si="128"/>
        <v>2026</v>
      </c>
      <c r="C1086">
        <f t="shared" si="129"/>
        <v>12</v>
      </c>
      <c r="D1086" t="str">
        <f t="shared" si="130"/>
        <v>December</v>
      </c>
      <c r="E1086">
        <f t="shared" si="131"/>
        <v>52</v>
      </c>
      <c r="F1086">
        <f t="shared" si="132"/>
        <v>20</v>
      </c>
      <c r="G1086" t="str">
        <f t="shared" si="133"/>
        <v>Sunday</v>
      </c>
      <c r="H1086" t="b">
        <f t="shared" si="134"/>
        <v>1</v>
      </c>
      <c r="I1086">
        <f t="shared" si="135"/>
        <v>354</v>
      </c>
      <c r="J1086" t="s">
        <v>22</v>
      </c>
      <c r="K1086">
        <v>20261220</v>
      </c>
    </row>
    <row r="1087" spans="1:11" x14ac:dyDescent="0.3">
      <c r="A1087" s="4">
        <v>46377</v>
      </c>
      <c r="B1087">
        <f t="shared" si="128"/>
        <v>2026</v>
      </c>
      <c r="C1087">
        <f t="shared" si="129"/>
        <v>12</v>
      </c>
      <c r="D1087" t="str">
        <f t="shared" si="130"/>
        <v>December</v>
      </c>
      <c r="E1087">
        <f t="shared" si="131"/>
        <v>52</v>
      </c>
      <c r="F1087">
        <f t="shared" si="132"/>
        <v>21</v>
      </c>
      <c r="G1087" t="str">
        <f t="shared" si="133"/>
        <v>Monday</v>
      </c>
      <c r="H1087" t="b">
        <f t="shared" si="134"/>
        <v>0</v>
      </c>
      <c r="I1087">
        <f t="shared" si="135"/>
        <v>355</v>
      </c>
      <c r="J1087" t="s">
        <v>22</v>
      </c>
      <c r="K1087">
        <v>20261221</v>
      </c>
    </row>
    <row r="1088" spans="1:11" x14ac:dyDescent="0.3">
      <c r="A1088" s="4">
        <v>46378</v>
      </c>
      <c r="B1088">
        <f t="shared" si="128"/>
        <v>2026</v>
      </c>
      <c r="C1088">
        <f t="shared" si="129"/>
        <v>12</v>
      </c>
      <c r="D1088" t="str">
        <f t="shared" si="130"/>
        <v>December</v>
      </c>
      <c r="E1088">
        <f t="shared" si="131"/>
        <v>52</v>
      </c>
      <c r="F1088">
        <f t="shared" si="132"/>
        <v>22</v>
      </c>
      <c r="G1088" t="str">
        <f t="shared" si="133"/>
        <v>Tuesday</v>
      </c>
      <c r="H1088" t="b">
        <f t="shared" si="134"/>
        <v>0</v>
      </c>
      <c r="I1088">
        <f t="shared" si="135"/>
        <v>356</v>
      </c>
      <c r="J1088" t="s">
        <v>22</v>
      </c>
      <c r="K1088">
        <v>20261222</v>
      </c>
    </row>
    <row r="1089" spans="1:11" x14ac:dyDescent="0.3">
      <c r="A1089" s="4">
        <v>46379</v>
      </c>
      <c r="B1089">
        <f t="shared" si="128"/>
        <v>2026</v>
      </c>
      <c r="C1089">
        <f t="shared" si="129"/>
        <v>12</v>
      </c>
      <c r="D1089" t="str">
        <f t="shared" si="130"/>
        <v>December</v>
      </c>
      <c r="E1089">
        <f t="shared" si="131"/>
        <v>52</v>
      </c>
      <c r="F1089">
        <f t="shared" si="132"/>
        <v>23</v>
      </c>
      <c r="G1089" t="str">
        <f t="shared" si="133"/>
        <v>Wednesday</v>
      </c>
      <c r="H1089" t="b">
        <f t="shared" si="134"/>
        <v>0</v>
      </c>
      <c r="I1089">
        <f t="shared" si="135"/>
        <v>357</v>
      </c>
      <c r="J1089" t="s">
        <v>22</v>
      </c>
      <c r="K1089">
        <v>20261223</v>
      </c>
    </row>
    <row r="1090" spans="1:11" x14ac:dyDescent="0.3">
      <c r="A1090" s="4">
        <v>46380</v>
      </c>
      <c r="B1090">
        <f t="shared" si="128"/>
        <v>2026</v>
      </c>
      <c r="C1090">
        <f t="shared" si="129"/>
        <v>12</v>
      </c>
      <c r="D1090" t="str">
        <f t="shared" si="130"/>
        <v>December</v>
      </c>
      <c r="E1090">
        <f t="shared" si="131"/>
        <v>52</v>
      </c>
      <c r="F1090">
        <f t="shared" si="132"/>
        <v>24</v>
      </c>
      <c r="G1090" t="str">
        <f t="shared" si="133"/>
        <v>Thursday</v>
      </c>
      <c r="H1090" t="b">
        <f t="shared" si="134"/>
        <v>0</v>
      </c>
      <c r="I1090">
        <f t="shared" si="135"/>
        <v>358</v>
      </c>
      <c r="J1090" t="s">
        <v>22</v>
      </c>
      <c r="K1090">
        <v>20261224</v>
      </c>
    </row>
    <row r="1091" spans="1:11" x14ac:dyDescent="0.3">
      <c r="A1091" s="4">
        <v>46381</v>
      </c>
      <c r="B1091">
        <f t="shared" ref="B1091:B1154" si="136">YEAR(A1091)</f>
        <v>2026</v>
      </c>
      <c r="C1091">
        <f t="shared" ref="C1091:C1097" si="137">MONTH(A1091)</f>
        <v>12</v>
      </c>
      <c r="D1091" t="str">
        <f t="shared" ref="D1091:D1154" si="138">TEXT(A1091,"mmmm")</f>
        <v>December</v>
      </c>
      <c r="E1091">
        <f t="shared" ref="E1091:E1097" si="139">WEEKNUM(A1091)</f>
        <v>52</v>
      </c>
      <c r="F1091">
        <f t="shared" ref="F1091:F1097" si="140">DAY(A1091)</f>
        <v>25</v>
      </c>
      <c r="G1091" t="str">
        <f t="shared" ref="G1091:G1154" si="141">TEXT((A1091),"dddd")</f>
        <v>Friday</v>
      </c>
      <c r="H1091" t="b">
        <f t="shared" ref="H1091:H1154" si="142">IF(OR(G1091="Saturday",G1091="Sunday"),TRUE,FALSE)</f>
        <v>0</v>
      </c>
      <c r="I1091">
        <f t="shared" ref="I1091:I1154" si="143">A1091-DATE(YEAR(A1091),1,1)+1</f>
        <v>359</v>
      </c>
      <c r="J1091" t="s">
        <v>22</v>
      </c>
      <c r="K1091">
        <v>20261225</v>
      </c>
    </row>
    <row r="1092" spans="1:11" x14ac:dyDescent="0.3">
      <c r="A1092" s="4">
        <v>46382</v>
      </c>
      <c r="B1092">
        <f t="shared" si="136"/>
        <v>2026</v>
      </c>
      <c r="C1092">
        <f t="shared" si="137"/>
        <v>12</v>
      </c>
      <c r="D1092" t="str">
        <f t="shared" si="138"/>
        <v>December</v>
      </c>
      <c r="E1092">
        <f t="shared" si="139"/>
        <v>52</v>
      </c>
      <c r="F1092">
        <f t="shared" si="140"/>
        <v>26</v>
      </c>
      <c r="G1092" t="str">
        <f t="shared" si="141"/>
        <v>Saturday</v>
      </c>
      <c r="H1092" t="b">
        <f t="shared" si="142"/>
        <v>1</v>
      </c>
      <c r="I1092">
        <f t="shared" si="143"/>
        <v>360</v>
      </c>
      <c r="J1092" t="s">
        <v>22</v>
      </c>
      <c r="K1092">
        <v>20261226</v>
      </c>
    </row>
    <row r="1093" spans="1:11" x14ac:dyDescent="0.3">
      <c r="A1093" s="4">
        <v>46383</v>
      </c>
      <c r="B1093">
        <f t="shared" si="136"/>
        <v>2026</v>
      </c>
      <c r="C1093">
        <f t="shared" si="137"/>
        <v>12</v>
      </c>
      <c r="D1093" t="str">
        <f t="shared" si="138"/>
        <v>December</v>
      </c>
      <c r="E1093">
        <f t="shared" si="139"/>
        <v>53</v>
      </c>
      <c r="F1093">
        <f t="shared" si="140"/>
        <v>27</v>
      </c>
      <c r="G1093" t="str">
        <f t="shared" si="141"/>
        <v>Sunday</v>
      </c>
      <c r="H1093" t="b">
        <f t="shared" si="142"/>
        <v>1</v>
      </c>
      <c r="I1093">
        <f t="shared" si="143"/>
        <v>361</v>
      </c>
      <c r="J1093" t="s">
        <v>22</v>
      </c>
      <c r="K1093">
        <v>20261227</v>
      </c>
    </row>
    <row r="1094" spans="1:11" x14ac:dyDescent="0.3">
      <c r="A1094" s="4">
        <v>46384</v>
      </c>
      <c r="B1094">
        <f t="shared" si="136"/>
        <v>2026</v>
      </c>
      <c r="C1094">
        <f t="shared" si="137"/>
        <v>12</v>
      </c>
      <c r="D1094" t="str">
        <f t="shared" si="138"/>
        <v>December</v>
      </c>
      <c r="E1094">
        <f t="shared" si="139"/>
        <v>53</v>
      </c>
      <c r="F1094">
        <f t="shared" si="140"/>
        <v>28</v>
      </c>
      <c r="G1094" t="str">
        <f t="shared" si="141"/>
        <v>Monday</v>
      </c>
      <c r="H1094" t="b">
        <f t="shared" si="142"/>
        <v>0</v>
      </c>
      <c r="I1094">
        <f t="shared" si="143"/>
        <v>362</v>
      </c>
      <c r="J1094" t="s">
        <v>22</v>
      </c>
      <c r="K1094">
        <v>20261228</v>
      </c>
    </row>
    <row r="1095" spans="1:11" x14ac:dyDescent="0.3">
      <c r="A1095" s="4">
        <v>46385</v>
      </c>
      <c r="B1095">
        <f t="shared" si="136"/>
        <v>2026</v>
      </c>
      <c r="C1095">
        <f t="shared" si="137"/>
        <v>12</v>
      </c>
      <c r="D1095" t="str">
        <f t="shared" si="138"/>
        <v>December</v>
      </c>
      <c r="E1095">
        <f t="shared" si="139"/>
        <v>53</v>
      </c>
      <c r="F1095">
        <f t="shared" si="140"/>
        <v>29</v>
      </c>
      <c r="G1095" t="str">
        <f t="shared" si="141"/>
        <v>Tuesday</v>
      </c>
      <c r="H1095" t="b">
        <f t="shared" si="142"/>
        <v>0</v>
      </c>
      <c r="I1095">
        <f t="shared" si="143"/>
        <v>363</v>
      </c>
      <c r="J1095" t="s">
        <v>22</v>
      </c>
      <c r="K1095">
        <v>20261229</v>
      </c>
    </row>
    <row r="1096" spans="1:11" x14ac:dyDescent="0.3">
      <c r="A1096" s="4">
        <v>46386</v>
      </c>
      <c r="B1096">
        <f t="shared" si="136"/>
        <v>2026</v>
      </c>
      <c r="C1096">
        <f t="shared" si="137"/>
        <v>12</v>
      </c>
      <c r="D1096" t="str">
        <f t="shared" si="138"/>
        <v>December</v>
      </c>
      <c r="E1096">
        <f t="shared" si="139"/>
        <v>53</v>
      </c>
      <c r="F1096">
        <f t="shared" si="140"/>
        <v>30</v>
      </c>
      <c r="G1096" t="str">
        <f t="shared" si="141"/>
        <v>Wednesday</v>
      </c>
      <c r="H1096" t="b">
        <f t="shared" si="142"/>
        <v>0</v>
      </c>
      <c r="I1096">
        <f t="shared" si="143"/>
        <v>364</v>
      </c>
      <c r="J1096" t="s">
        <v>22</v>
      </c>
      <c r="K1096">
        <v>20261230</v>
      </c>
    </row>
    <row r="1097" spans="1:11" x14ac:dyDescent="0.3">
      <c r="A1097" s="4">
        <v>46387</v>
      </c>
      <c r="B1097">
        <f t="shared" si="136"/>
        <v>2026</v>
      </c>
      <c r="C1097">
        <f t="shared" si="137"/>
        <v>12</v>
      </c>
      <c r="D1097" t="str">
        <f t="shared" si="138"/>
        <v>December</v>
      </c>
      <c r="E1097">
        <f t="shared" si="139"/>
        <v>53</v>
      </c>
      <c r="F1097">
        <f t="shared" si="140"/>
        <v>31</v>
      </c>
      <c r="G1097" t="str">
        <f t="shared" si="141"/>
        <v>Thursday</v>
      </c>
      <c r="H1097" t="b">
        <f t="shared" si="142"/>
        <v>0</v>
      </c>
      <c r="I1097">
        <f t="shared" si="143"/>
        <v>365</v>
      </c>
      <c r="J1097" t="s">
        <v>22</v>
      </c>
      <c r="K1097">
        <v>20261231</v>
      </c>
    </row>
    <row r="1098" spans="1:11" x14ac:dyDescent="0.3">
      <c r="A1098" s="4">
        <v>46388</v>
      </c>
      <c r="B1098">
        <f t="shared" si="136"/>
        <v>2027</v>
      </c>
      <c r="C1098">
        <f t="shared" ref="C1098:C1161" si="144">MONTH(A1098)</f>
        <v>1</v>
      </c>
      <c r="D1098" t="str">
        <f t="shared" si="138"/>
        <v>January</v>
      </c>
      <c r="E1098">
        <f t="shared" ref="E1098:E1161" si="145">WEEKNUM(A1098)</f>
        <v>1</v>
      </c>
      <c r="F1098">
        <f t="shared" ref="F1098:F1161" si="146">DAY(A1098)</f>
        <v>1</v>
      </c>
      <c r="G1098" t="str">
        <f t="shared" si="141"/>
        <v>Friday</v>
      </c>
      <c r="H1098" t="b">
        <f t="shared" si="142"/>
        <v>0</v>
      </c>
      <c r="I1098">
        <f t="shared" si="143"/>
        <v>1</v>
      </c>
      <c r="J1098" t="s">
        <v>22</v>
      </c>
      <c r="K1098">
        <v>20270101</v>
      </c>
    </row>
    <row r="1099" spans="1:11" x14ac:dyDescent="0.3">
      <c r="A1099" s="4">
        <v>46389</v>
      </c>
      <c r="B1099">
        <f t="shared" si="136"/>
        <v>2027</v>
      </c>
      <c r="C1099">
        <f t="shared" si="144"/>
        <v>1</v>
      </c>
      <c r="D1099" t="str">
        <f t="shared" si="138"/>
        <v>January</v>
      </c>
      <c r="E1099">
        <f t="shared" si="145"/>
        <v>1</v>
      </c>
      <c r="F1099">
        <f t="shared" si="146"/>
        <v>2</v>
      </c>
      <c r="G1099" t="str">
        <f t="shared" si="141"/>
        <v>Saturday</v>
      </c>
      <c r="H1099" t="b">
        <f t="shared" si="142"/>
        <v>1</v>
      </c>
      <c r="I1099">
        <f t="shared" si="143"/>
        <v>2</v>
      </c>
      <c r="J1099" t="s">
        <v>22</v>
      </c>
      <c r="K1099">
        <v>20270102</v>
      </c>
    </row>
    <row r="1100" spans="1:11" x14ac:dyDescent="0.3">
      <c r="A1100" s="4">
        <v>46390</v>
      </c>
      <c r="B1100">
        <f t="shared" si="136"/>
        <v>2027</v>
      </c>
      <c r="C1100">
        <f t="shared" si="144"/>
        <v>1</v>
      </c>
      <c r="D1100" t="str">
        <f t="shared" si="138"/>
        <v>January</v>
      </c>
      <c r="E1100">
        <f t="shared" si="145"/>
        <v>2</v>
      </c>
      <c r="F1100">
        <f t="shared" si="146"/>
        <v>3</v>
      </c>
      <c r="G1100" t="str">
        <f t="shared" si="141"/>
        <v>Sunday</v>
      </c>
      <c r="H1100" t="b">
        <f t="shared" si="142"/>
        <v>1</v>
      </c>
      <c r="I1100">
        <f t="shared" si="143"/>
        <v>3</v>
      </c>
      <c r="J1100" t="s">
        <v>22</v>
      </c>
      <c r="K1100">
        <v>20270103</v>
      </c>
    </row>
    <row r="1101" spans="1:11" x14ac:dyDescent="0.3">
      <c r="A1101" s="4">
        <v>46391</v>
      </c>
      <c r="B1101">
        <f t="shared" si="136"/>
        <v>2027</v>
      </c>
      <c r="C1101">
        <f t="shared" si="144"/>
        <v>1</v>
      </c>
      <c r="D1101" t="str">
        <f t="shared" si="138"/>
        <v>January</v>
      </c>
      <c r="E1101">
        <f t="shared" si="145"/>
        <v>2</v>
      </c>
      <c r="F1101">
        <f t="shared" si="146"/>
        <v>4</v>
      </c>
      <c r="G1101" t="str">
        <f t="shared" si="141"/>
        <v>Monday</v>
      </c>
      <c r="H1101" t="b">
        <f t="shared" si="142"/>
        <v>0</v>
      </c>
      <c r="I1101">
        <f t="shared" si="143"/>
        <v>4</v>
      </c>
      <c r="J1101" t="s">
        <v>22</v>
      </c>
      <c r="K1101">
        <v>20270104</v>
      </c>
    </row>
    <row r="1102" spans="1:11" x14ac:dyDescent="0.3">
      <c r="A1102" s="4">
        <v>46392</v>
      </c>
      <c r="B1102">
        <f t="shared" si="136"/>
        <v>2027</v>
      </c>
      <c r="C1102">
        <f t="shared" si="144"/>
        <v>1</v>
      </c>
      <c r="D1102" t="str">
        <f t="shared" si="138"/>
        <v>January</v>
      </c>
      <c r="E1102">
        <f t="shared" si="145"/>
        <v>2</v>
      </c>
      <c r="F1102">
        <f t="shared" si="146"/>
        <v>5</v>
      </c>
      <c r="G1102" t="str">
        <f t="shared" si="141"/>
        <v>Tuesday</v>
      </c>
      <c r="H1102" t="b">
        <f t="shared" si="142"/>
        <v>0</v>
      </c>
      <c r="I1102">
        <f t="shared" si="143"/>
        <v>5</v>
      </c>
      <c r="J1102" t="s">
        <v>22</v>
      </c>
      <c r="K1102">
        <v>20270105</v>
      </c>
    </row>
    <row r="1103" spans="1:11" x14ac:dyDescent="0.3">
      <c r="A1103" s="4">
        <v>46393</v>
      </c>
      <c r="B1103">
        <f t="shared" si="136"/>
        <v>2027</v>
      </c>
      <c r="C1103">
        <f t="shared" si="144"/>
        <v>1</v>
      </c>
      <c r="D1103" t="str">
        <f t="shared" si="138"/>
        <v>January</v>
      </c>
      <c r="E1103">
        <f t="shared" si="145"/>
        <v>2</v>
      </c>
      <c r="F1103">
        <f t="shared" si="146"/>
        <v>6</v>
      </c>
      <c r="G1103" t="str">
        <f t="shared" si="141"/>
        <v>Wednesday</v>
      </c>
      <c r="H1103" t="b">
        <f t="shared" si="142"/>
        <v>0</v>
      </c>
      <c r="I1103">
        <f t="shared" si="143"/>
        <v>6</v>
      </c>
      <c r="J1103" t="s">
        <v>22</v>
      </c>
      <c r="K1103">
        <v>20270106</v>
      </c>
    </row>
    <row r="1104" spans="1:11" x14ac:dyDescent="0.3">
      <c r="A1104" s="4">
        <v>46394</v>
      </c>
      <c r="B1104">
        <f t="shared" si="136"/>
        <v>2027</v>
      </c>
      <c r="C1104">
        <f t="shared" si="144"/>
        <v>1</v>
      </c>
      <c r="D1104" t="str">
        <f t="shared" si="138"/>
        <v>January</v>
      </c>
      <c r="E1104">
        <f t="shared" si="145"/>
        <v>2</v>
      </c>
      <c r="F1104">
        <f t="shared" si="146"/>
        <v>7</v>
      </c>
      <c r="G1104" t="str">
        <f t="shared" si="141"/>
        <v>Thursday</v>
      </c>
      <c r="H1104" t="b">
        <f t="shared" si="142"/>
        <v>0</v>
      </c>
      <c r="I1104">
        <f t="shared" si="143"/>
        <v>7</v>
      </c>
      <c r="J1104" t="s">
        <v>22</v>
      </c>
      <c r="K1104">
        <v>20270107</v>
      </c>
    </row>
    <row r="1105" spans="1:11" x14ac:dyDescent="0.3">
      <c r="A1105" s="4">
        <v>46395</v>
      </c>
      <c r="B1105">
        <f t="shared" si="136"/>
        <v>2027</v>
      </c>
      <c r="C1105">
        <f t="shared" si="144"/>
        <v>1</v>
      </c>
      <c r="D1105" t="str">
        <f t="shared" si="138"/>
        <v>January</v>
      </c>
      <c r="E1105">
        <f t="shared" si="145"/>
        <v>2</v>
      </c>
      <c r="F1105">
        <f t="shared" si="146"/>
        <v>8</v>
      </c>
      <c r="G1105" t="str">
        <f t="shared" si="141"/>
        <v>Friday</v>
      </c>
      <c r="H1105" t="b">
        <f t="shared" si="142"/>
        <v>0</v>
      </c>
      <c r="I1105">
        <f t="shared" si="143"/>
        <v>8</v>
      </c>
      <c r="J1105" t="s">
        <v>22</v>
      </c>
      <c r="K1105">
        <v>20270108</v>
      </c>
    </row>
    <row r="1106" spans="1:11" x14ac:dyDescent="0.3">
      <c r="A1106" s="4">
        <v>46396</v>
      </c>
      <c r="B1106">
        <f t="shared" si="136"/>
        <v>2027</v>
      </c>
      <c r="C1106">
        <f t="shared" si="144"/>
        <v>1</v>
      </c>
      <c r="D1106" t="str">
        <f t="shared" si="138"/>
        <v>January</v>
      </c>
      <c r="E1106">
        <f t="shared" si="145"/>
        <v>2</v>
      </c>
      <c r="F1106">
        <f t="shared" si="146"/>
        <v>9</v>
      </c>
      <c r="G1106" t="str">
        <f t="shared" si="141"/>
        <v>Saturday</v>
      </c>
      <c r="H1106" t="b">
        <f t="shared" si="142"/>
        <v>1</v>
      </c>
      <c r="I1106">
        <f t="shared" si="143"/>
        <v>9</v>
      </c>
      <c r="J1106" t="s">
        <v>22</v>
      </c>
      <c r="K1106">
        <v>20270109</v>
      </c>
    </row>
    <row r="1107" spans="1:11" x14ac:dyDescent="0.3">
      <c r="A1107" s="4">
        <v>46397</v>
      </c>
      <c r="B1107">
        <f t="shared" si="136"/>
        <v>2027</v>
      </c>
      <c r="C1107">
        <f t="shared" si="144"/>
        <v>1</v>
      </c>
      <c r="D1107" t="str">
        <f t="shared" si="138"/>
        <v>January</v>
      </c>
      <c r="E1107">
        <f t="shared" si="145"/>
        <v>3</v>
      </c>
      <c r="F1107">
        <f t="shared" si="146"/>
        <v>10</v>
      </c>
      <c r="G1107" t="str">
        <f t="shared" si="141"/>
        <v>Sunday</v>
      </c>
      <c r="H1107" t="b">
        <f t="shared" si="142"/>
        <v>1</v>
      </c>
      <c r="I1107">
        <f t="shared" si="143"/>
        <v>10</v>
      </c>
      <c r="J1107" t="s">
        <v>22</v>
      </c>
      <c r="K1107">
        <v>20270110</v>
      </c>
    </row>
    <row r="1108" spans="1:11" x14ac:dyDescent="0.3">
      <c r="A1108" s="4">
        <v>46398</v>
      </c>
      <c r="B1108">
        <f t="shared" si="136"/>
        <v>2027</v>
      </c>
      <c r="C1108">
        <f t="shared" si="144"/>
        <v>1</v>
      </c>
      <c r="D1108" t="str">
        <f t="shared" si="138"/>
        <v>January</v>
      </c>
      <c r="E1108">
        <f t="shared" si="145"/>
        <v>3</v>
      </c>
      <c r="F1108">
        <f t="shared" si="146"/>
        <v>11</v>
      </c>
      <c r="G1108" t="str">
        <f t="shared" si="141"/>
        <v>Monday</v>
      </c>
      <c r="H1108" t="b">
        <f t="shared" si="142"/>
        <v>0</v>
      </c>
      <c r="I1108">
        <f t="shared" si="143"/>
        <v>11</v>
      </c>
      <c r="J1108" t="s">
        <v>22</v>
      </c>
      <c r="K1108">
        <v>20270111</v>
      </c>
    </row>
    <row r="1109" spans="1:11" x14ac:dyDescent="0.3">
      <c r="A1109" s="4">
        <v>46399</v>
      </c>
      <c r="B1109">
        <f t="shared" si="136"/>
        <v>2027</v>
      </c>
      <c r="C1109">
        <f t="shared" si="144"/>
        <v>1</v>
      </c>
      <c r="D1109" t="str">
        <f t="shared" si="138"/>
        <v>January</v>
      </c>
      <c r="E1109">
        <f t="shared" si="145"/>
        <v>3</v>
      </c>
      <c r="F1109">
        <f t="shared" si="146"/>
        <v>12</v>
      </c>
      <c r="G1109" t="str">
        <f t="shared" si="141"/>
        <v>Tuesday</v>
      </c>
      <c r="H1109" t="b">
        <f t="shared" si="142"/>
        <v>0</v>
      </c>
      <c r="I1109">
        <f t="shared" si="143"/>
        <v>12</v>
      </c>
      <c r="J1109" t="s">
        <v>22</v>
      </c>
      <c r="K1109">
        <v>20270112</v>
      </c>
    </row>
    <row r="1110" spans="1:11" x14ac:dyDescent="0.3">
      <c r="A1110" s="4">
        <v>46400</v>
      </c>
      <c r="B1110">
        <f t="shared" si="136"/>
        <v>2027</v>
      </c>
      <c r="C1110">
        <f t="shared" si="144"/>
        <v>1</v>
      </c>
      <c r="D1110" t="str">
        <f t="shared" si="138"/>
        <v>January</v>
      </c>
      <c r="E1110">
        <f t="shared" si="145"/>
        <v>3</v>
      </c>
      <c r="F1110">
        <f t="shared" si="146"/>
        <v>13</v>
      </c>
      <c r="G1110" t="str">
        <f t="shared" si="141"/>
        <v>Wednesday</v>
      </c>
      <c r="H1110" t="b">
        <f t="shared" si="142"/>
        <v>0</v>
      </c>
      <c r="I1110">
        <f t="shared" si="143"/>
        <v>13</v>
      </c>
      <c r="J1110" t="s">
        <v>22</v>
      </c>
      <c r="K1110">
        <v>20270113</v>
      </c>
    </row>
    <row r="1111" spans="1:11" x14ac:dyDescent="0.3">
      <c r="A1111" s="4">
        <v>46401</v>
      </c>
      <c r="B1111">
        <f t="shared" si="136"/>
        <v>2027</v>
      </c>
      <c r="C1111">
        <f t="shared" si="144"/>
        <v>1</v>
      </c>
      <c r="D1111" t="str">
        <f t="shared" si="138"/>
        <v>January</v>
      </c>
      <c r="E1111">
        <f t="shared" si="145"/>
        <v>3</v>
      </c>
      <c r="F1111">
        <f t="shared" si="146"/>
        <v>14</v>
      </c>
      <c r="G1111" t="str">
        <f t="shared" si="141"/>
        <v>Thursday</v>
      </c>
      <c r="H1111" t="b">
        <f t="shared" si="142"/>
        <v>0</v>
      </c>
      <c r="I1111">
        <f t="shared" si="143"/>
        <v>14</v>
      </c>
      <c r="J1111" t="s">
        <v>22</v>
      </c>
      <c r="K1111">
        <v>20270114</v>
      </c>
    </row>
    <row r="1112" spans="1:11" x14ac:dyDescent="0.3">
      <c r="A1112" s="4">
        <v>46402</v>
      </c>
      <c r="B1112">
        <f t="shared" si="136"/>
        <v>2027</v>
      </c>
      <c r="C1112">
        <f t="shared" si="144"/>
        <v>1</v>
      </c>
      <c r="D1112" t="str">
        <f t="shared" si="138"/>
        <v>January</v>
      </c>
      <c r="E1112">
        <f t="shared" si="145"/>
        <v>3</v>
      </c>
      <c r="F1112">
        <f t="shared" si="146"/>
        <v>15</v>
      </c>
      <c r="G1112" t="str">
        <f t="shared" si="141"/>
        <v>Friday</v>
      </c>
      <c r="H1112" t="b">
        <f t="shared" si="142"/>
        <v>0</v>
      </c>
      <c r="I1112">
        <f t="shared" si="143"/>
        <v>15</v>
      </c>
      <c r="J1112" t="s">
        <v>22</v>
      </c>
      <c r="K1112">
        <v>20270115</v>
      </c>
    </row>
    <row r="1113" spans="1:11" x14ac:dyDescent="0.3">
      <c r="A1113" s="4">
        <v>46403</v>
      </c>
      <c r="B1113">
        <f t="shared" si="136"/>
        <v>2027</v>
      </c>
      <c r="C1113">
        <f t="shared" si="144"/>
        <v>1</v>
      </c>
      <c r="D1113" t="str">
        <f t="shared" si="138"/>
        <v>January</v>
      </c>
      <c r="E1113">
        <f t="shared" si="145"/>
        <v>3</v>
      </c>
      <c r="F1113">
        <f t="shared" si="146"/>
        <v>16</v>
      </c>
      <c r="G1113" t="str">
        <f t="shared" si="141"/>
        <v>Saturday</v>
      </c>
      <c r="H1113" t="b">
        <f t="shared" si="142"/>
        <v>1</v>
      </c>
      <c r="I1113">
        <f t="shared" si="143"/>
        <v>16</v>
      </c>
      <c r="J1113" t="s">
        <v>22</v>
      </c>
      <c r="K1113">
        <v>20270116</v>
      </c>
    </row>
    <row r="1114" spans="1:11" x14ac:dyDescent="0.3">
      <c r="A1114" s="4">
        <v>46404</v>
      </c>
      <c r="B1114">
        <f t="shared" si="136"/>
        <v>2027</v>
      </c>
      <c r="C1114">
        <f t="shared" si="144"/>
        <v>1</v>
      </c>
      <c r="D1114" t="str">
        <f t="shared" si="138"/>
        <v>January</v>
      </c>
      <c r="E1114">
        <f t="shared" si="145"/>
        <v>4</v>
      </c>
      <c r="F1114">
        <f t="shared" si="146"/>
        <v>17</v>
      </c>
      <c r="G1114" t="str">
        <f t="shared" si="141"/>
        <v>Sunday</v>
      </c>
      <c r="H1114" t="b">
        <f t="shared" si="142"/>
        <v>1</v>
      </c>
      <c r="I1114">
        <f t="shared" si="143"/>
        <v>17</v>
      </c>
      <c r="J1114" t="s">
        <v>22</v>
      </c>
      <c r="K1114">
        <v>20270117</v>
      </c>
    </row>
    <row r="1115" spans="1:11" x14ac:dyDescent="0.3">
      <c r="A1115" s="4">
        <v>46405</v>
      </c>
      <c r="B1115">
        <f t="shared" si="136"/>
        <v>2027</v>
      </c>
      <c r="C1115">
        <f t="shared" si="144"/>
        <v>1</v>
      </c>
      <c r="D1115" t="str">
        <f t="shared" si="138"/>
        <v>January</v>
      </c>
      <c r="E1115">
        <f t="shared" si="145"/>
        <v>4</v>
      </c>
      <c r="F1115">
        <f t="shared" si="146"/>
        <v>18</v>
      </c>
      <c r="G1115" t="str">
        <f t="shared" si="141"/>
        <v>Monday</v>
      </c>
      <c r="H1115" t="b">
        <f t="shared" si="142"/>
        <v>0</v>
      </c>
      <c r="I1115">
        <f t="shared" si="143"/>
        <v>18</v>
      </c>
      <c r="J1115" t="s">
        <v>22</v>
      </c>
      <c r="K1115">
        <v>20270118</v>
      </c>
    </row>
    <row r="1116" spans="1:11" x14ac:dyDescent="0.3">
      <c r="A1116" s="4">
        <v>46406</v>
      </c>
      <c r="B1116">
        <f t="shared" si="136"/>
        <v>2027</v>
      </c>
      <c r="C1116">
        <f t="shared" si="144"/>
        <v>1</v>
      </c>
      <c r="D1116" t="str">
        <f t="shared" si="138"/>
        <v>January</v>
      </c>
      <c r="E1116">
        <f t="shared" si="145"/>
        <v>4</v>
      </c>
      <c r="F1116">
        <f t="shared" si="146"/>
        <v>19</v>
      </c>
      <c r="G1116" t="str">
        <f t="shared" si="141"/>
        <v>Tuesday</v>
      </c>
      <c r="H1116" t="b">
        <f t="shared" si="142"/>
        <v>0</v>
      </c>
      <c r="I1116">
        <f t="shared" si="143"/>
        <v>19</v>
      </c>
      <c r="J1116" t="s">
        <v>22</v>
      </c>
      <c r="K1116">
        <v>20270119</v>
      </c>
    </row>
    <row r="1117" spans="1:11" x14ac:dyDescent="0.3">
      <c r="A1117" s="4">
        <v>46407</v>
      </c>
      <c r="B1117">
        <f t="shared" si="136"/>
        <v>2027</v>
      </c>
      <c r="C1117">
        <f t="shared" si="144"/>
        <v>1</v>
      </c>
      <c r="D1117" t="str">
        <f t="shared" si="138"/>
        <v>January</v>
      </c>
      <c r="E1117">
        <f t="shared" si="145"/>
        <v>4</v>
      </c>
      <c r="F1117">
        <f t="shared" si="146"/>
        <v>20</v>
      </c>
      <c r="G1117" t="str">
        <f t="shared" si="141"/>
        <v>Wednesday</v>
      </c>
      <c r="H1117" t="b">
        <f t="shared" si="142"/>
        <v>0</v>
      </c>
      <c r="I1117">
        <f t="shared" si="143"/>
        <v>20</v>
      </c>
      <c r="J1117" t="s">
        <v>22</v>
      </c>
      <c r="K1117">
        <v>20270120</v>
      </c>
    </row>
    <row r="1118" spans="1:11" x14ac:dyDescent="0.3">
      <c r="A1118" s="4">
        <v>46408</v>
      </c>
      <c r="B1118">
        <f t="shared" si="136"/>
        <v>2027</v>
      </c>
      <c r="C1118">
        <f t="shared" si="144"/>
        <v>1</v>
      </c>
      <c r="D1118" t="str">
        <f t="shared" si="138"/>
        <v>January</v>
      </c>
      <c r="E1118">
        <f t="shared" si="145"/>
        <v>4</v>
      </c>
      <c r="F1118">
        <f t="shared" si="146"/>
        <v>21</v>
      </c>
      <c r="G1118" t="str">
        <f t="shared" si="141"/>
        <v>Thursday</v>
      </c>
      <c r="H1118" t="b">
        <f t="shared" si="142"/>
        <v>0</v>
      </c>
      <c r="I1118">
        <f t="shared" si="143"/>
        <v>21</v>
      </c>
      <c r="J1118" t="s">
        <v>22</v>
      </c>
      <c r="K1118">
        <v>20270121</v>
      </c>
    </row>
    <row r="1119" spans="1:11" x14ac:dyDescent="0.3">
      <c r="A1119" s="4">
        <v>46409</v>
      </c>
      <c r="B1119">
        <f t="shared" si="136"/>
        <v>2027</v>
      </c>
      <c r="C1119">
        <f t="shared" si="144"/>
        <v>1</v>
      </c>
      <c r="D1119" t="str">
        <f t="shared" si="138"/>
        <v>January</v>
      </c>
      <c r="E1119">
        <f t="shared" si="145"/>
        <v>4</v>
      </c>
      <c r="F1119">
        <f t="shared" si="146"/>
        <v>22</v>
      </c>
      <c r="G1119" t="str">
        <f t="shared" si="141"/>
        <v>Friday</v>
      </c>
      <c r="H1119" t="b">
        <f t="shared" si="142"/>
        <v>0</v>
      </c>
      <c r="I1119">
        <f t="shared" si="143"/>
        <v>22</v>
      </c>
      <c r="J1119" t="s">
        <v>22</v>
      </c>
      <c r="K1119">
        <v>20270122</v>
      </c>
    </row>
    <row r="1120" spans="1:11" x14ac:dyDescent="0.3">
      <c r="A1120" s="4">
        <v>46410</v>
      </c>
      <c r="B1120">
        <f t="shared" si="136"/>
        <v>2027</v>
      </c>
      <c r="C1120">
        <f t="shared" si="144"/>
        <v>1</v>
      </c>
      <c r="D1120" t="str">
        <f t="shared" si="138"/>
        <v>January</v>
      </c>
      <c r="E1120">
        <f t="shared" si="145"/>
        <v>4</v>
      </c>
      <c r="F1120">
        <f t="shared" si="146"/>
        <v>23</v>
      </c>
      <c r="G1120" t="str">
        <f t="shared" si="141"/>
        <v>Saturday</v>
      </c>
      <c r="H1120" t="b">
        <f t="shared" si="142"/>
        <v>1</v>
      </c>
      <c r="I1120">
        <f t="shared" si="143"/>
        <v>23</v>
      </c>
      <c r="J1120" t="s">
        <v>22</v>
      </c>
      <c r="K1120">
        <v>20270123</v>
      </c>
    </row>
    <row r="1121" spans="1:11" x14ac:dyDescent="0.3">
      <c r="A1121" s="4">
        <v>46411</v>
      </c>
      <c r="B1121">
        <f t="shared" si="136"/>
        <v>2027</v>
      </c>
      <c r="C1121">
        <f t="shared" si="144"/>
        <v>1</v>
      </c>
      <c r="D1121" t="str">
        <f t="shared" si="138"/>
        <v>January</v>
      </c>
      <c r="E1121">
        <f t="shared" si="145"/>
        <v>5</v>
      </c>
      <c r="F1121">
        <f t="shared" si="146"/>
        <v>24</v>
      </c>
      <c r="G1121" t="str">
        <f t="shared" si="141"/>
        <v>Sunday</v>
      </c>
      <c r="H1121" t="b">
        <f t="shared" si="142"/>
        <v>1</v>
      </c>
      <c r="I1121">
        <f t="shared" si="143"/>
        <v>24</v>
      </c>
      <c r="J1121" t="s">
        <v>22</v>
      </c>
      <c r="K1121">
        <v>20270124</v>
      </c>
    </row>
    <row r="1122" spans="1:11" x14ac:dyDescent="0.3">
      <c r="A1122" s="4">
        <v>46412</v>
      </c>
      <c r="B1122">
        <f t="shared" si="136"/>
        <v>2027</v>
      </c>
      <c r="C1122">
        <f t="shared" si="144"/>
        <v>1</v>
      </c>
      <c r="D1122" t="str">
        <f t="shared" si="138"/>
        <v>January</v>
      </c>
      <c r="E1122">
        <f t="shared" si="145"/>
        <v>5</v>
      </c>
      <c r="F1122">
        <f t="shared" si="146"/>
        <v>25</v>
      </c>
      <c r="G1122" t="str">
        <f t="shared" si="141"/>
        <v>Monday</v>
      </c>
      <c r="H1122" t="b">
        <f t="shared" si="142"/>
        <v>0</v>
      </c>
      <c r="I1122">
        <f t="shared" si="143"/>
        <v>25</v>
      </c>
      <c r="J1122" t="s">
        <v>22</v>
      </c>
      <c r="K1122">
        <v>20270125</v>
      </c>
    </row>
    <row r="1123" spans="1:11" x14ac:dyDescent="0.3">
      <c r="A1123" s="4">
        <v>46413</v>
      </c>
      <c r="B1123">
        <f t="shared" si="136"/>
        <v>2027</v>
      </c>
      <c r="C1123">
        <f t="shared" si="144"/>
        <v>1</v>
      </c>
      <c r="D1123" t="str">
        <f t="shared" si="138"/>
        <v>January</v>
      </c>
      <c r="E1123">
        <f t="shared" si="145"/>
        <v>5</v>
      </c>
      <c r="F1123">
        <f t="shared" si="146"/>
        <v>26</v>
      </c>
      <c r="G1123" t="str">
        <f t="shared" si="141"/>
        <v>Tuesday</v>
      </c>
      <c r="H1123" t="b">
        <f t="shared" si="142"/>
        <v>0</v>
      </c>
      <c r="I1123">
        <f t="shared" si="143"/>
        <v>26</v>
      </c>
      <c r="J1123" t="s">
        <v>22</v>
      </c>
      <c r="K1123">
        <v>20270126</v>
      </c>
    </row>
    <row r="1124" spans="1:11" x14ac:dyDescent="0.3">
      <c r="A1124" s="4">
        <v>46414</v>
      </c>
      <c r="B1124">
        <f t="shared" si="136"/>
        <v>2027</v>
      </c>
      <c r="C1124">
        <f t="shared" si="144"/>
        <v>1</v>
      </c>
      <c r="D1124" t="str">
        <f t="shared" si="138"/>
        <v>January</v>
      </c>
      <c r="E1124">
        <f t="shared" si="145"/>
        <v>5</v>
      </c>
      <c r="F1124">
        <f t="shared" si="146"/>
        <v>27</v>
      </c>
      <c r="G1124" t="str">
        <f t="shared" si="141"/>
        <v>Wednesday</v>
      </c>
      <c r="H1124" t="b">
        <f t="shared" si="142"/>
        <v>0</v>
      </c>
      <c r="I1124">
        <f t="shared" si="143"/>
        <v>27</v>
      </c>
      <c r="J1124" t="s">
        <v>22</v>
      </c>
      <c r="K1124">
        <v>20270127</v>
      </c>
    </row>
    <row r="1125" spans="1:11" x14ac:dyDescent="0.3">
      <c r="A1125" s="4">
        <v>46415</v>
      </c>
      <c r="B1125">
        <f t="shared" si="136"/>
        <v>2027</v>
      </c>
      <c r="C1125">
        <f t="shared" si="144"/>
        <v>1</v>
      </c>
      <c r="D1125" t="str">
        <f t="shared" si="138"/>
        <v>January</v>
      </c>
      <c r="E1125">
        <f t="shared" si="145"/>
        <v>5</v>
      </c>
      <c r="F1125">
        <f t="shared" si="146"/>
        <v>28</v>
      </c>
      <c r="G1125" t="str">
        <f t="shared" si="141"/>
        <v>Thursday</v>
      </c>
      <c r="H1125" t="b">
        <f t="shared" si="142"/>
        <v>0</v>
      </c>
      <c r="I1125">
        <f t="shared" si="143"/>
        <v>28</v>
      </c>
      <c r="J1125" t="s">
        <v>22</v>
      </c>
      <c r="K1125">
        <v>20270128</v>
      </c>
    </row>
    <row r="1126" spans="1:11" x14ac:dyDescent="0.3">
      <c r="A1126" s="4">
        <v>46416</v>
      </c>
      <c r="B1126">
        <f t="shared" si="136"/>
        <v>2027</v>
      </c>
      <c r="C1126">
        <f t="shared" si="144"/>
        <v>1</v>
      </c>
      <c r="D1126" t="str">
        <f t="shared" si="138"/>
        <v>January</v>
      </c>
      <c r="E1126">
        <f t="shared" si="145"/>
        <v>5</v>
      </c>
      <c r="F1126">
        <f t="shared" si="146"/>
        <v>29</v>
      </c>
      <c r="G1126" t="str">
        <f t="shared" si="141"/>
        <v>Friday</v>
      </c>
      <c r="H1126" t="b">
        <f t="shared" si="142"/>
        <v>0</v>
      </c>
      <c r="I1126">
        <f t="shared" si="143"/>
        <v>29</v>
      </c>
      <c r="J1126" t="s">
        <v>22</v>
      </c>
      <c r="K1126">
        <v>20270129</v>
      </c>
    </row>
    <row r="1127" spans="1:11" x14ac:dyDescent="0.3">
      <c r="A1127" s="4">
        <v>46417</v>
      </c>
      <c r="B1127">
        <f t="shared" si="136"/>
        <v>2027</v>
      </c>
      <c r="C1127">
        <f t="shared" si="144"/>
        <v>1</v>
      </c>
      <c r="D1127" t="str">
        <f t="shared" si="138"/>
        <v>January</v>
      </c>
      <c r="E1127">
        <f t="shared" si="145"/>
        <v>5</v>
      </c>
      <c r="F1127">
        <f t="shared" si="146"/>
        <v>30</v>
      </c>
      <c r="G1127" t="str">
        <f t="shared" si="141"/>
        <v>Saturday</v>
      </c>
      <c r="H1127" t="b">
        <f t="shared" si="142"/>
        <v>1</v>
      </c>
      <c r="I1127">
        <f t="shared" si="143"/>
        <v>30</v>
      </c>
      <c r="J1127" t="s">
        <v>22</v>
      </c>
      <c r="K1127">
        <v>20270130</v>
      </c>
    </row>
    <row r="1128" spans="1:11" x14ac:dyDescent="0.3">
      <c r="A1128" s="4">
        <v>46418</v>
      </c>
      <c r="B1128">
        <f t="shared" si="136"/>
        <v>2027</v>
      </c>
      <c r="C1128">
        <f t="shared" si="144"/>
        <v>1</v>
      </c>
      <c r="D1128" t="str">
        <f t="shared" si="138"/>
        <v>January</v>
      </c>
      <c r="E1128">
        <f t="shared" si="145"/>
        <v>6</v>
      </c>
      <c r="F1128">
        <f t="shared" si="146"/>
        <v>31</v>
      </c>
      <c r="G1128" t="str">
        <f t="shared" si="141"/>
        <v>Sunday</v>
      </c>
      <c r="H1128" t="b">
        <f t="shared" si="142"/>
        <v>1</v>
      </c>
      <c r="I1128">
        <f t="shared" si="143"/>
        <v>31</v>
      </c>
      <c r="J1128" t="s">
        <v>22</v>
      </c>
      <c r="K1128">
        <v>20270131</v>
      </c>
    </row>
    <row r="1129" spans="1:11" x14ac:dyDescent="0.3">
      <c r="A1129" s="4">
        <v>46419</v>
      </c>
      <c r="B1129">
        <f t="shared" si="136"/>
        <v>2027</v>
      </c>
      <c r="C1129">
        <f t="shared" si="144"/>
        <v>2</v>
      </c>
      <c r="D1129" t="str">
        <f t="shared" si="138"/>
        <v>February</v>
      </c>
      <c r="E1129">
        <f t="shared" si="145"/>
        <v>6</v>
      </c>
      <c r="F1129">
        <f t="shared" si="146"/>
        <v>1</v>
      </c>
      <c r="G1129" t="str">
        <f t="shared" si="141"/>
        <v>Monday</v>
      </c>
      <c r="H1129" t="b">
        <f t="shared" si="142"/>
        <v>0</v>
      </c>
      <c r="I1129">
        <f t="shared" si="143"/>
        <v>32</v>
      </c>
      <c r="J1129" t="s">
        <v>22</v>
      </c>
      <c r="K1129">
        <v>20270201</v>
      </c>
    </row>
    <row r="1130" spans="1:11" x14ac:dyDescent="0.3">
      <c r="A1130" s="4">
        <v>46420</v>
      </c>
      <c r="B1130">
        <f t="shared" si="136"/>
        <v>2027</v>
      </c>
      <c r="C1130">
        <f t="shared" si="144"/>
        <v>2</v>
      </c>
      <c r="D1130" t="str">
        <f t="shared" si="138"/>
        <v>February</v>
      </c>
      <c r="E1130">
        <f t="shared" si="145"/>
        <v>6</v>
      </c>
      <c r="F1130">
        <f t="shared" si="146"/>
        <v>2</v>
      </c>
      <c r="G1130" t="str">
        <f t="shared" si="141"/>
        <v>Tuesday</v>
      </c>
      <c r="H1130" t="b">
        <f t="shared" si="142"/>
        <v>0</v>
      </c>
      <c r="I1130">
        <f t="shared" si="143"/>
        <v>33</v>
      </c>
      <c r="J1130" t="s">
        <v>22</v>
      </c>
      <c r="K1130">
        <v>20270202</v>
      </c>
    </row>
    <row r="1131" spans="1:11" x14ac:dyDescent="0.3">
      <c r="A1131" s="4">
        <v>46421</v>
      </c>
      <c r="B1131">
        <f t="shared" si="136"/>
        <v>2027</v>
      </c>
      <c r="C1131">
        <f t="shared" si="144"/>
        <v>2</v>
      </c>
      <c r="D1131" t="str">
        <f t="shared" si="138"/>
        <v>February</v>
      </c>
      <c r="E1131">
        <f t="shared" si="145"/>
        <v>6</v>
      </c>
      <c r="F1131">
        <f t="shared" si="146"/>
        <v>3</v>
      </c>
      <c r="G1131" t="str">
        <f t="shared" si="141"/>
        <v>Wednesday</v>
      </c>
      <c r="H1131" t="b">
        <f t="shared" si="142"/>
        <v>0</v>
      </c>
      <c r="I1131">
        <f t="shared" si="143"/>
        <v>34</v>
      </c>
      <c r="J1131" t="s">
        <v>22</v>
      </c>
      <c r="K1131">
        <v>20270203</v>
      </c>
    </row>
    <row r="1132" spans="1:11" x14ac:dyDescent="0.3">
      <c r="A1132" s="4">
        <v>46422</v>
      </c>
      <c r="B1132">
        <f t="shared" si="136"/>
        <v>2027</v>
      </c>
      <c r="C1132">
        <f t="shared" si="144"/>
        <v>2</v>
      </c>
      <c r="D1132" t="str">
        <f t="shared" si="138"/>
        <v>February</v>
      </c>
      <c r="E1132">
        <f t="shared" si="145"/>
        <v>6</v>
      </c>
      <c r="F1132">
        <f t="shared" si="146"/>
        <v>4</v>
      </c>
      <c r="G1132" t="str">
        <f t="shared" si="141"/>
        <v>Thursday</v>
      </c>
      <c r="H1132" t="b">
        <f t="shared" si="142"/>
        <v>0</v>
      </c>
      <c r="I1132">
        <f t="shared" si="143"/>
        <v>35</v>
      </c>
      <c r="J1132" t="s">
        <v>22</v>
      </c>
      <c r="K1132">
        <v>20270204</v>
      </c>
    </row>
    <row r="1133" spans="1:11" x14ac:dyDescent="0.3">
      <c r="A1133" s="4">
        <v>46423</v>
      </c>
      <c r="B1133">
        <f t="shared" si="136"/>
        <v>2027</v>
      </c>
      <c r="C1133">
        <f t="shared" si="144"/>
        <v>2</v>
      </c>
      <c r="D1133" t="str">
        <f t="shared" si="138"/>
        <v>February</v>
      </c>
      <c r="E1133">
        <f t="shared" si="145"/>
        <v>6</v>
      </c>
      <c r="F1133">
        <f t="shared" si="146"/>
        <v>5</v>
      </c>
      <c r="G1133" t="str">
        <f t="shared" si="141"/>
        <v>Friday</v>
      </c>
      <c r="H1133" t="b">
        <f t="shared" si="142"/>
        <v>0</v>
      </c>
      <c r="I1133">
        <f t="shared" si="143"/>
        <v>36</v>
      </c>
      <c r="J1133" t="s">
        <v>22</v>
      </c>
      <c r="K1133">
        <v>20270205</v>
      </c>
    </row>
    <row r="1134" spans="1:11" x14ac:dyDescent="0.3">
      <c r="A1134" s="4">
        <v>46424</v>
      </c>
      <c r="B1134">
        <f t="shared" si="136"/>
        <v>2027</v>
      </c>
      <c r="C1134">
        <f t="shared" si="144"/>
        <v>2</v>
      </c>
      <c r="D1134" t="str">
        <f t="shared" si="138"/>
        <v>February</v>
      </c>
      <c r="E1134">
        <f t="shared" si="145"/>
        <v>6</v>
      </c>
      <c r="F1134">
        <f t="shared" si="146"/>
        <v>6</v>
      </c>
      <c r="G1134" t="str">
        <f t="shared" si="141"/>
        <v>Saturday</v>
      </c>
      <c r="H1134" t="b">
        <f t="shared" si="142"/>
        <v>1</v>
      </c>
      <c r="I1134">
        <f t="shared" si="143"/>
        <v>37</v>
      </c>
      <c r="J1134" t="s">
        <v>22</v>
      </c>
      <c r="K1134">
        <v>20270206</v>
      </c>
    </row>
    <row r="1135" spans="1:11" x14ac:dyDescent="0.3">
      <c r="A1135" s="4">
        <v>46425</v>
      </c>
      <c r="B1135">
        <f t="shared" si="136"/>
        <v>2027</v>
      </c>
      <c r="C1135">
        <f t="shared" si="144"/>
        <v>2</v>
      </c>
      <c r="D1135" t="str">
        <f t="shared" si="138"/>
        <v>February</v>
      </c>
      <c r="E1135">
        <f t="shared" si="145"/>
        <v>7</v>
      </c>
      <c r="F1135">
        <f t="shared" si="146"/>
        <v>7</v>
      </c>
      <c r="G1135" t="str">
        <f t="shared" si="141"/>
        <v>Sunday</v>
      </c>
      <c r="H1135" t="b">
        <f t="shared" si="142"/>
        <v>1</v>
      </c>
      <c r="I1135">
        <f t="shared" si="143"/>
        <v>38</v>
      </c>
      <c r="J1135" t="s">
        <v>22</v>
      </c>
      <c r="K1135">
        <v>20270207</v>
      </c>
    </row>
    <row r="1136" spans="1:11" x14ac:dyDescent="0.3">
      <c r="A1136" s="4">
        <v>46426</v>
      </c>
      <c r="B1136">
        <f t="shared" si="136"/>
        <v>2027</v>
      </c>
      <c r="C1136">
        <f t="shared" si="144"/>
        <v>2</v>
      </c>
      <c r="D1136" t="str">
        <f t="shared" si="138"/>
        <v>February</v>
      </c>
      <c r="E1136">
        <f t="shared" si="145"/>
        <v>7</v>
      </c>
      <c r="F1136">
        <f t="shared" si="146"/>
        <v>8</v>
      </c>
      <c r="G1136" t="str">
        <f t="shared" si="141"/>
        <v>Monday</v>
      </c>
      <c r="H1136" t="b">
        <f t="shared" si="142"/>
        <v>0</v>
      </c>
      <c r="I1136">
        <f t="shared" si="143"/>
        <v>39</v>
      </c>
      <c r="J1136" t="s">
        <v>22</v>
      </c>
      <c r="K1136">
        <v>20270208</v>
      </c>
    </row>
    <row r="1137" spans="1:11" x14ac:dyDescent="0.3">
      <c r="A1137" s="4">
        <v>46427</v>
      </c>
      <c r="B1137">
        <f t="shared" si="136"/>
        <v>2027</v>
      </c>
      <c r="C1137">
        <f t="shared" si="144"/>
        <v>2</v>
      </c>
      <c r="D1137" t="str">
        <f t="shared" si="138"/>
        <v>February</v>
      </c>
      <c r="E1137">
        <f t="shared" si="145"/>
        <v>7</v>
      </c>
      <c r="F1137">
        <f t="shared" si="146"/>
        <v>9</v>
      </c>
      <c r="G1137" t="str">
        <f t="shared" si="141"/>
        <v>Tuesday</v>
      </c>
      <c r="H1137" t="b">
        <f t="shared" si="142"/>
        <v>0</v>
      </c>
      <c r="I1137">
        <f t="shared" si="143"/>
        <v>40</v>
      </c>
      <c r="J1137" t="s">
        <v>22</v>
      </c>
      <c r="K1137">
        <v>20270209</v>
      </c>
    </row>
    <row r="1138" spans="1:11" x14ac:dyDescent="0.3">
      <c r="A1138" s="4">
        <v>46428</v>
      </c>
      <c r="B1138">
        <f t="shared" si="136"/>
        <v>2027</v>
      </c>
      <c r="C1138">
        <f t="shared" si="144"/>
        <v>2</v>
      </c>
      <c r="D1138" t="str">
        <f t="shared" si="138"/>
        <v>February</v>
      </c>
      <c r="E1138">
        <f t="shared" si="145"/>
        <v>7</v>
      </c>
      <c r="F1138">
        <f t="shared" si="146"/>
        <v>10</v>
      </c>
      <c r="G1138" t="str">
        <f t="shared" si="141"/>
        <v>Wednesday</v>
      </c>
      <c r="H1138" t="b">
        <f t="shared" si="142"/>
        <v>0</v>
      </c>
      <c r="I1138">
        <f t="shared" si="143"/>
        <v>41</v>
      </c>
      <c r="J1138" t="s">
        <v>22</v>
      </c>
      <c r="K1138">
        <v>20270210</v>
      </c>
    </row>
    <row r="1139" spans="1:11" x14ac:dyDescent="0.3">
      <c r="A1139" s="4">
        <v>46429</v>
      </c>
      <c r="B1139">
        <f t="shared" si="136"/>
        <v>2027</v>
      </c>
      <c r="C1139">
        <f t="shared" si="144"/>
        <v>2</v>
      </c>
      <c r="D1139" t="str">
        <f t="shared" si="138"/>
        <v>February</v>
      </c>
      <c r="E1139">
        <f t="shared" si="145"/>
        <v>7</v>
      </c>
      <c r="F1139">
        <f t="shared" si="146"/>
        <v>11</v>
      </c>
      <c r="G1139" t="str">
        <f t="shared" si="141"/>
        <v>Thursday</v>
      </c>
      <c r="H1139" t="b">
        <f t="shared" si="142"/>
        <v>0</v>
      </c>
      <c r="I1139">
        <f t="shared" si="143"/>
        <v>42</v>
      </c>
      <c r="J1139" t="s">
        <v>22</v>
      </c>
      <c r="K1139">
        <v>20270211</v>
      </c>
    </row>
    <row r="1140" spans="1:11" x14ac:dyDescent="0.3">
      <c r="A1140" s="4">
        <v>46430</v>
      </c>
      <c r="B1140">
        <f t="shared" si="136"/>
        <v>2027</v>
      </c>
      <c r="C1140">
        <f t="shared" si="144"/>
        <v>2</v>
      </c>
      <c r="D1140" t="str">
        <f t="shared" si="138"/>
        <v>February</v>
      </c>
      <c r="E1140">
        <f t="shared" si="145"/>
        <v>7</v>
      </c>
      <c r="F1140">
        <f t="shared" si="146"/>
        <v>12</v>
      </c>
      <c r="G1140" t="str">
        <f t="shared" si="141"/>
        <v>Friday</v>
      </c>
      <c r="H1140" t="b">
        <f t="shared" si="142"/>
        <v>0</v>
      </c>
      <c r="I1140">
        <f t="shared" si="143"/>
        <v>43</v>
      </c>
      <c r="J1140" t="s">
        <v>22</v>
      </c>
      <c r="K1140">
        <v>20270212</v>
      </c>
    </row>
    <row r="1141" spans="1:11" x14ac:dyDescent="0.3">
      <c r="A1141" s="4">
        <v>46431</v>
      </c>
      <c r="B1141">
        <f t="shared" si="136"/>
        <v>2027</v>
      </c>
      <c r="C1141">
        <f t="shared" si="144"/>
        <v>2</v>
      </c>
      <c r="D1141" t="str">
        <f t="shared" si="138"/>
        <v>February</v>
      </c>
      <c r="E1141">
        <f t="shared" si="145"/>
        <v>7</v>
      </c>
      <c r="F1141">
        <f t="shared" si="146"/>
        <v>13</v>
      </c>
      <c r="G1141" t="str">
        <f t="shared" si="141"/>
        <v>Saturday</v>
      </c>
      <c r="H1141" t="b">
        <f t="shared" si="142"/>
        <v>1</v>
      </c>
      <c r="I1141">
        <f t="shared" si="143"/>
        <v>44</v>
      </c>
      <c r="J1141" t="s">
        <v>22</v>
      </c>
      <c r="K1141">
        <v>20270213</v>
      </c>
    </row>
    <row r="1142" spans="1:11" x14ac:dyDescent="0.3">
      <c r="A1142" s="4">
        <v>46432</v>
      </c>
      <c r="B1142">
        <f t="shared" si="136"/>
        <v>2027</v>
      </c>
      <c r="C1142">
        <f t="shared" si="144"/>
        <v>2</v>
      </c>
      <c r="D1142" t="str">
        <f t="shared" si="138"/>
        <v>February</v>
      </c>
      <c r="E1142">
        <f t="shared" si="145"/>
        <v>8</v>
      </c>
      <c r="F1142">
        <f t="shared" si="146"/>
        <v>14</v>
      </c>
      <c r="G1142" t="str">
        <f t="shared" si="141"/>
        <v>Sunday</v>
      </c>
      <c r="H1142" t="b">
        <f t="shared" si="142"/>
        <v>1</v>
      </c>
      <c r="I1142">
        <f t="shared" si="143"/>
        <v>45</v>
      </c>
      <c r="J1142" t="s">
        <v>22</v>
      </c>
      <c r="K1142">
        <v>20270214</v>
      </c>
    </row>
    <row r="1143" spans="1:11" x14ac:dyDescent="0.3">
      <c r="A1143" s="4">
        <v>46433</v>
      </c>
      <c r="B1143">
        <f t="shared" si="136"/>
        <v>2027</v>
      </c>
      <c r="C1143">
        <f t="shared" si="144"/>
        <v>2</v>
      </c>
      <c r="D1143" t="str">
        <f t="shared" si="138"/>
        <v>February</v>
      </c>
      <c r="E1143">
        <f t="shared" si="145"/>
        <v>8</v>
      </c>
      <c r="F1143">
        <f t="shared" si="146"/>
        <v>15</v>
      </c>
      <c r="G1143" t="str">
        <f t="shared" si="141"/>
        <v>Monday</v>
      </c>
      <c r="H1143" t="b">
        <f t="shared" si="142"/>
        <v>0</v>
      </c>
      <c r="I1143">
        <f t="shared" si="143"/>
        <v>46</v>
      </c>
      <c r="J1143" t="s">
        <v>22</v>
      </c>
      <c r="K1143">
        <v>20270215</v>
      </c>
    </row>
    <row r="1144" spans="1:11" x14ac:dyDescent="0.3">
      <c r="A1144" s="4">
        <v>46434</v>
      </c>
      <c r="B1144">
        <f t="shared" si="136"/>
        <v>2027</v>
      </c>
      <c r="C1144">
        <f t="shared" si="144"/>
        <v>2</v>
      </c>
      <c r="D1144" t="str">
        <f t="shared" si="138"/>
        <v>February</v>
      </c>
      <c r="E1144">
        <f t="shared" si="145"/>
        <v>8</v>
      </c>
      <c r="F1144">
        <f t="shared" si="146"/>
        <v>16</v>
      </c>
      <c r="G1144" t="str">
        <f t="shared" si="141"/>
        <v>Tuesday</v>
      </c>
      <c r="H1144" t="b">
        <f t="shared" si="142"/>
        <v>0</v>
      </c>
      <c r="I1144">
        <f t="shared" si="143"/>
        <v>47</v>
      </c>
      <c r="J1144" t="s">
        <v>22</v>
      </c>
      <c r="K1144">
        <v>20270216</v>
      </c>
    </row>
    <row r="1145" spans="1:11" x14ac:dyDescent="0.3">
      <c r="A1145" s="4">
        <v>46435</v>
      </c>
      <c r="B1145">
        <f t="shared" si="136"/>
        <v>2027</v>
      </c>
      <c r="C1145">
        <f t="shared" si="144"/>
        <v>2</v>
      </c>
      <c r="D1145" t="str">
        <f t="shared" si="138"/>
        <v>February</v>
      </c>
      <c r="E1145">
        <f t="shared" si="145"/>
        <v>8</v>
      </c>
      <c r="F1145">
        <f t="shared" si="146"/>
        <v>17</v>
      </c>
      <c r="G1145" t="str">
        <f t="shared" si="141"/>
        <v>Wednesday</v>
      </c>
      <c r="H1145" t="b">
        <f t="shared" si="142"/>
        <v>0</v>
      </c>
      <c r="I1145">
        <f t="shared" si="143"/>
        <v>48</v>
      </c>
      <c r="J1145" t="s">
        <v>22</v>
      </c>
      <c r="K1145">
        <v>20270217</v>
      </c>
    </row>
    <row r="1146" spans="1:11" x14ac:dyDescent="0.3">
      <c r="A1146" s="4">
        <v>46436</v>
      </c>
      <c r="B1146">
        <f t="shared" si="136"/>
        <v>2027</v>
      </c>
      <c r="C1146">
        <f t="shared" si="144"/>
        <v>2</v>
      </c>
      <c r="D1146" t="str">
        <f t="shared" si="138"/>
        <v>February</v>
      </c>
      <c r="E1146">
        <f t="shared" si="145"/>
        <v>8</v>
      </c>
      <c r="F1146">
        <f t="shared" si="146"/>
        <v>18</v>
      </c>
      <c r="G1146" t="str">
        <f t="shared" si="141"/>
        <v>Thursday</v>
      </c>
      <c r="H1146" t="b">
        <f t="shared" si="142"/>
        <v>0</v>
      </c>
      <c r="I1146">
        <f t="shared" si="143"/>
        <v>49</v>
      </c>
      <c r="J1146" t="s">
        <v>22</v>
      </c>
      <c r="K1146">
        <v>20270218</v>
      </c>
    </row>
    <row r="1147" spans="1:11" x14ac:dyDescent="0.3">
      <c r="A1147" s="4">
        <v>46437</v>
      </c>
      <c r="B1147">
        <f t="shared" si="136"/>
        <v>2027</v>
      </c>
      <c r="C1147">
        <f t="shared" si="144"/>
        <v>2</v>
      </c>
      <c r="D1147" t="str">
        <f t="shared" si="138"/>
        <v>February</v>
      </c>
      <c r="E1147">
        <f t="shared" si="145"/>
        <v>8</v>
      </c>
      <c r="F1147">
        <f t="shared" si="146"/>
        <v>19</v>
      </c>
      <c r="G1147" t="str">
        <f t="shared" si="141"/>
        <v>Friday</v>
      </c>
      <c r="H1147" t="b">
        <f t="shared" si="142"/>
        <v>0</v>
      </c>
      <c r="I1147">
        <f t="shared" si="143"/>
        <v>50</v>
      </c>
      <c r="J1147" t="s">
        <v>22</v>
      </c>
      <c r="K1147">
        <v>20270219</v>
      </c>
    </row>
    <row r="1148" spans="1:11" x14ac:dyDescent="0.3">
      <c r="A1148" s="4">
        <v>46438</v>
      </c>
      <c r="B1148">
        <f t="shared" si="136"/>
        <v>2027</v>
      </c>
      <c r="C1148">
        <f t="shared" si="144"/>
        <v>2</v>
      </c>
      <c r="D1148" t="str">
        <f t="shared" si="138"/>
        <v>February</v>
      </c>
      <c r="E1148">
        <f t="shared" si="145"/>
        <v>8</v>
      </c>
      <c r="F1148">
        <f t="shared" si="146"/>
        <v>20</v>
      </c>
      <c r="G1148" t="str">
        <f t="shared" si="141"/>
        <v>Saturday</v>
      </c>
      <c r="H1148" t="b">
        <f t="shared" si="142"/>
        <v>1</v>
      </c>
      <c r="I1148">
        <f t="shared" si="143"/>
        <v>51</v>
      </c>
      <c r="J1148" t="s">
        <v>22</v>
      </c>
      <c r="K1148">
        <v>20270220</v>
      </c>
    </row>
    <row r="1149" spans="1:11" x14ac:dyDescent="0.3">
      <c r="A1149" s="4">
        <v>46439</v>
      </c>
      <c r="B1149">
        <f t="shared" si="136"/>
        <v>2027</v>
      </c>
      <c r="C1149">
        <f t="shared" si="144"/>
        <v>2</v>
      </c>
      <c r="D1149" t="str">
        <f t="shared" si="138"/>
        <v>February</v>
      </c>
      <c r="E1149">
        <f t="shared" si="145"/>
        <v>9</v>
      </c>
      <c r="F1149">
        <f t="shared" si="146"/>
        <v>21</v>
      </c>
      <c r="G1149" t="str">
        <f t="shared" si="141"/>
        <v>Sunday</v>
      </c>
      <c r="H1149" t="b">
        <f t="shared" si="142"/>
        <v>1</v>
      </c>
      <c r="I1149">
        <f t="shared" si="143"/>
        <v>52</v>
      </c>
      <c r="J1149" t="s">
        <v>22</v>
      </c>
      <c r="K1149">
        <v>20270221</v>
      </c>
    </row>
    <row r="1150" spans="1:11" x14ac:dyDescent="0.3">
      <c r="A1150" s="4">
        <v>46440</v>
      </c>
      <c r="B1150">
        <f t="shared" si="136"/>
        <v>2027</v>
      </c>
      <c r="C1150">
        <f t="shared" si="144"/>
        <v>2</v>
      </c>
      <c r="D1150" t="str">
        <f t="shared" si="138"/>
        <v>February</v>
      </c>
      <c r="E1150">
        <f t="shared" si="145"/>
        <v>9</v>
      </c>
      <c r="F1150">
        <f t="shared" si="146"/>
        <v>22</v>
      </c>
      <c r="G1150" t="str">
        <f t="shared" si="141"/>
        <v>Monday</v>
      </c>
      <c r="H1150" t="b">
        <f t="shared" si="142"/>
        <v>0</v>
      </c>
      <c r="I1150">
        <f t="shared" si="143"/>
        <v>53</v>
      </c>
      <c r="J1150" t="s">
        <v>22</v>
      </c>
      <c r="K1150">
        <v>20270222</v>
      </c>
    </row>
    <row r="1151" spans="1:11" x14ac:dyDescent="0.3">
      <c r="A1151" s="4">
        <v>46441</v>
      </c>
      <c r="B1151">
        <f t="shared" si="136"/>
        <v>2027</v>
      </c>
      <c r="C1151">
        <f t="shared" si="144"/>
        <v>2</v>
      </c>
      <c r="D1151" t="str">
        <f t="shared" si="138"/>
        <v>February</v>
      </c>
      <c r="E1151">
        <f t="shared" si="145"/>
        <v>9</v>
      </c>
      <c r="F1151">
        <f t="shared" si="146"/>
        <v>23</v>
      </c>
      <c r="G1151" t="str">
        <f t="shared" si="141"/>
        <v>Tuesday</v>
      </c>
      <c r="H1151" t="b">
        <f t="shared" si="142"/>
        <v>0</v>
      </c>
      <c r="I1151">
        <f t="shared" si="143"/>
        <v>54</v>
      </c>
      <c r="J1151" t="s">
        <v>22</v>
      </c>
      <c r="K1151">
        <v>20270223</v>
      </c>
    </row>
    <row r="1152" spans="1:11" x14ac:dyDescent="0.3">
      <c r="A1152" s="4">
        <v>46442</v>
      </c>
      <c r="B1152">
        <f t="shared" si="136"/>
        <v>2027</v>
      </c>
      <c r="C1152">
        <f t="shared" si="144"/>
        <v>2</v>
      </c>
      <c r="D1152" t="str">
        <f t="shared" si="138"/>
        <v>February</v>
      </c>
      <c r="E1152">
        <f t="shared" si="145"/>
        <v>9</v>
      </c>
      <c r="F1152">
        <f t="shared" si="146"/>
        <v>24</v>
      </c>
      <c r="G1152" t="str">
        <f t="shared" si="141"/>
        <v>Wednesday</v>
      </c>
      <c r="H1152" t="b">
        <f t="shared" si="142"/>
        <v>0</v>
      </c>
      <c r="I1152">
        <f t="shared" si="143"/>
        <v>55</v>
      </c>
      <c r="J1152" t="s">
        <v>22</v>
      </c>
      <c r="K1152">
        <v>20270224</v>
      </c>
    </row>
    <row r="1153" spans="1:11" x14ac:dyDescent="0.3">
      <c r="A1153" s="4">
        <v>46443</v>
      </c>
      <c r="B1153">
        <f t="shared" si="136"/>
        <v>2027</v>
      </c>
      <c r="C1153">
        <f t="shared" si="144"/>
        <v>2</v>
      </c>
      <c r="D1153" t="str">
        <f t="shared" si="138"/>
        <v>February</v>
      </c>
      <c r="E1153">
        <f t="shared" si="145"/>
        <v>9</v>
      </c>
      <c r="F1153">
        <f t="shared" si="146"/>
        <v>25</v>
      </c>
      <c r="G1153" t="str">
        <f t="shared" si="141"/>
        <v>Thursday</v>
      </c>
      <c r="H1153" t="b">
        <f t="shared" si="142"/>
        <v>0</v>
      </c>
      <c r="I1153">
        <f t="shared" si="143"/>
        <v>56</v>
      </c>
      <c r="J1153" t="s">
        <v>22</v>
      </c>
      <c r="K1153">
        <v>20270225</v>
      </c>
    </row>
    <row r="1154" spans="1:11" x14ac:dyDescent="0.3">
      <c r="A1154" s="4">
        <v>46444</v>
      </c>
      <c r="B1154">
        <f t="shared" si="136"/>
        <v>2027</v>
      </c>
      <c r="C1154">
        <f t="shared" si="144"/>
        <v>2</v>
      </c>
      <c r="D1154" t="str">
        <f t="shared" si="138"/>
        <v>February</v>
      </c>
      <c r="E1154">
        <f t="shared" si="145"/>
        <v>9</v>
      </c>
      <c r="F1154">
        <f t="shared" si="146"/>
        <v>26</v>
      </c>
      <c r="G1154" t="str">
        <f t="shared" si="141"/>
        <v>Friday</v>
      </c>
      <c r="H1154" t="b">
        <f t="shared" si="142"/>
        <v>0</v>
      </c>
      <c r="I1154">
        <f t="shared" si="143"/>
        <v>57</v>
      </c>
      <c r="J1154" t="s">
        <v>22</v>
      </c>
      <c r="K1154">
        <v>20270226</v>
      </c>
    </row>
    <row r="1155" spans="1:11" x14ac:dyDescent="0.3">
      <c r="A1155" s="4">
        <v>46445</v>
      </c>
      <c r="B1155">
        <f t="shared" ref="B1155:B1218" si="147">YEAR(A1155)</f>
        <v>2027</v>
      </c>
      <c r="C1155">
        <f t="shared" si="144"/>
        <v>2</v>
      </c>
      <c r="D1155" t="str">
        <f t="shared" ref="D1155:D1218" si="148">TEXT(A1155,"mmmm")</f>
        <v>February</v>
      </c>
      <c r="E1155">
        <f t="shared" si="145"/>
        <v>9</v>
      </c>
      <c r="F1155">
        <f t="shared" si="146"/>
        <v>27</v>
      </c>
      <c r="G1155" t="str">
        <f t="shared" ref="G1155:G1218" si="149">TEXT((A1155),"dddd")</f>
        <v>Saturday</v>
      </c>
      <c r="H1155" t="b">
        <f t="shared" ref="H1155:H1218" si="150">IF(OR(G1155="Saturday",G1155="Sunday"),TRUE,FALSE)</f>
        <v>1</v>
      </c>
      <c r="I1155">
        <f t="shared" ref="I1155:I1218" si="151">A1155-DATE(YEAR(A1155),1,1)+1</f>
        <v>58</v>
      </c>
      <c r="J1155" t="s">
        <v>22</v>
      </c>
      <c r="K1155">
        <v>20270227</v>
      </c>
    </row>
    <row r="1156" spans="1:11" x14ac:dyDescent="0.3">
      <c r="A1156" s="4">
        <v>46446</v>
      </c>
      <c r="B1156">
        <f t="shared" si="147"/>
        <v>2027</v>
      </c>
      <c r="C1156">
        <f t="shared" si="144"/>
        <v>2</v>
      </c>
      <c r="D1156" t="str">
        <f t="shared" si="148"/>
        <v>February</v>
      </c>
      <c r="E1156">
        <f t="shared" si="145"/>
        <v>10</v>
      </c>
      <c r="F1156">
        <f t="shared" si="146"/>
        <v>28</v>
      </c>
      <c r="G1156" t="str">
        <f t="shared" si="149"/>
        <v>Sunday</v>
      </c>
      <c r="H1156" t="b">
        <f t="shared" si="150"/>
        <v>1</v>
      </c>
      <c r="I1156">
        <f t="shared" si="151"/>
        <v>59</v>
      </c>
      <c r="J1156" t="s">
        <v>22</v>
      </c>
      <c r="K1156">
        <v>20270228</v>
      </c>
    </row>
    <row r="1157" spans="1:11" x14ac:dyDescent="0.3">
      <c r="A1157" s="4">
        <v>46447</v>
      </c>
      <c r="B1157">
        <f t="shared" si="147"/>
        <v>2027</v>
      </c>
      <c r="C1157">
        <f t="shared" si="144"/>
        <v>3</v>
      </c>
      <c r="D1157" t="str">
        <f t="shared" si="148"/>
        <v>March</v>
      </c>
      <c r="E1157">
        <f t="shared" si="145"/>
        <v>10</v>
      </c>
      <c r="F1157">
        <f t="shared" si="146"/>
        <v>1</v>
      </c>
      <c r="G1157" t="str">
        <f t="shared" si="149"/>
        <v>Monday</v>
      </c>
      <c r="H1157" t="b">
        <f t="shared" si="150"/>
        <v>0</v>
      </c>
      <c r="I1157">
        <f t="shared" si="151"/>
        <v>60</v>
      </c>
      <c r="J1157" t="s">
        <v>25</v>
      </c>
      <c r="K1157">
        <v>20270301</v>
      </c>
    </row>
    <row r="1158" spans="1:11" x14ac:dyDescent="0.3">
      <c r="A1158" s="4">
        <v>46448</v>
      </c>
      <c r="B1158">
        <f t="shared" si="147"/>
        <v>2027</v>
      </c>
      <c r="C1158">
        <f t="shared" si="144"/>
        <v>3</v>
      </c>
      <c r="D1158" t="str">
        <f t="shared" si="148"/>
        <v>March</v>
      </c>
      <c r="E1158">
        <f t="shared" si="145"/>
        <v>10</v>
      </c>
      <c r="F1158">
        <f t="shared" si="146"/>
        <v>2</v>
      </c>
      <c r="G1158" t="str">
        <f t="shared" si="149"/>
        <v>Tuesday</v>
      </c>
      <c r="H1158" t="b">
        <f t="shared" si="150"/>
        <v>0</v>
      </c>
      <c r="I1158">
        <f t="shared" si="151"/>
        <v>61</v>
      </c>
      <c r="J1158" t="s">
        <v>25</v>
      </c>
      <c r="K1158">
        <v>20270302</v>
      </c>
    </row>
    <row r="1159" spans="1:11" x14ac:dyDescent="0.3">
      <c r="A1159" s="4">
        <v>46449</v>
      </c>
      <c r="B1159">
        <f t="shared" si="147"/>
        <v>2027</v>
      </c>
      <c r="C1159">
        <f t="shared" si="144"/>
        <v>3</v>
      </c>
      <c r="D1159" t="str">
        <f t="shared" si="148"/>
        <v>March</v>
      </c>
      <c r="E1159">
        <f t="shared" si="145"/>
        <v>10</v>
      </c>
      <c r="F1159">
        <f t="shared" si="146"/>
        <v>3</v>
      </c>
      <c r="G1159" t="str">
        <f t="shared" si="149"/>
        <v>Wednesday</v>
      </c>
      <c r="H1159" t="b">
        <f t="shared" si="150"/>
        <v>0</v>
      </c>
      <c r="I1159">
        <f t="shared" si="151"/>
        <v>62</v>
      </c>
      <c r="J1159" t="s">
        <v>25</v>
      </c>
      <c r="K1159">
        <v>20270303</v>
      </c>
    </row>
    <row r="1160" spans="1:11" x14ac:dyDescent="0.3">
      <c r="A1160" s="4">
        <v>46450</v>
      </c>
      <c r="B1160">
        <f t="shared" si="147"/>
        <v>2027</v>
      </c>
      <c r="C1160">
        <f t="shared" si="144"/>
        <v>3</v>
      </c>
      <c r="D1160" t="str">
        <f t="shared" si="148"/>
        <v>March</v>
      </c>
      <c r="E1160">
        <f t="shared" si="145"/>
        <v>10</v>
      </c>
      <c r="F1160">
        <f t="shared" si="146"/>
        <v>4</v>
      </c>
      <c r="G1160" t="str">
        <f t="shared" si="149"/>
        <v>Thursday</v>
      </c>
      <c r="H1160" t="b">
        <f t="shared" si="150"/>
        <v>0</v>
      </c>
      <c r="I1160">
        <f t="shared" si="151"/>
        <v>63</v>
      </c>
      <c r="J1160" t="s">
        <v>25</v>
      </c>
      <c r="K1160">
        <v>20270304</v>
      </c>
    </row>
    <row r="1161" spans="1:11" x14ac:dyDescent="0.3">
      <c r="A1161" s="4">
        <v>46451</v>
      </c>
      <c r="B1161">
        <f t="shared" si="147"/>
        <v>2027</v>
      </c>
      <c r="C1161">
        <f t="shared" si="144"/>
        <v>3</v>
      </c>
      <c r="D1161" t="str">
        <f t="shared" si="148"/>
        <v>March</v>
      </c>
      <c r="E1161">
        <f t="shared" si="145"/>
        <v>10</v>
      </c>
      <c r="F1161">
        <f t="shared" si="146"/>
        <v>5</v>
      </c>
      <c r="G1161" t="str">
        <f t="shared" si="149"/>
        <v>Friday</v>
      </c>
      <c r="H1161" t="b">
        <f t="shared" si="150"/>
        <v>0</v>
      </c>
      <c r="I1161">
        <f t="shared" si="151"/>
        <v>64</v>
      </c>
      <c r="J1161" t="s">
        <v>25</v>
      </c>
      <c r="K1161">
        <v>20270305</v>
      </c>
    </row>
    <row r="1162" spans="1:11" x14ac:dyDescent="0.3">
      <c r="A1162" s="4">
        <v>46452</v>
      </c>
      <c r="B1162">
        <f t="shared" si="147"/>
        <v>2027</v>
      </c>
      <c r="C1162">
        <f t="shared" ref="C1162:C1225" si="152">MONTH(A1162)</f>
        <v>3</v>
      </c>
      <c r="D1162" t="str">
        <f t="shared" si="148"/>
        <v>March</v>
      </c>
      <c r="E1162">
        <f t="shared" ref="E1162:E1225" si="153">WEEKNUM(A1162)</f>
        <v>10</v>
      </c>
      <c r="F1162">
        <f t="shared" ref="F1162:F1225" si="154">DAY(A1162)</f>
        <v>6</v>
      </c>
      <c r="G1162" t="str">
        <f t="shared" si="149"/>
        <v>Saturday</v>
      </c>
      <c r="H1162" t="b">
        <f t="shared" si="150"/>
        <v>1</v>
      </c>
      <c r="I1162">
        <f t="shared" si="151"/>
        <v>65</v>
      </c>
      <c r="J1162" t="s">
        <v>25</v>
      </c>
      <c r="K1162">
        <v>20270306</v>
      </c>
    </row>
    <row r="1163" spans="1:11" x14ac:dyDescent="0.3">
      <c r="A1163" s="4">
        <v>46453</v>
      </c>
      <c r="B1163">
        <f t="shared" si="147"/>
        <v>2027</v>
      </c>
      <c r="C1163">
        <f t="shared" si="152"/>
        <v>3</v>
      </c>
      <c r="D1163" t="str">
        <f t="shared" si="148"/>
        <v>March</v>
      </c>
      <c r="E1163">
        <f t="shared" si="153"/>
        <v>11</v>
      </c>
      <c r="F1163">
        <f t="shared" si="154"/>
        <v>7</v>
      </c>
      <c r="G1163" t="str">
        <f t="shared" si="149"/>
        <v>Sunday</v>
      </c>
      <c r="H1163" t="b">
        <f t="shared" si="150"/>
        <v>1</v>
      </c>
      <c r="I1163">
        <f t="shared" si="151"/>
        <v>66</v>
      </c>
      <c r="J1163" t="s">
        <v>25</v>
      </c>
      <c r="K1163">
        <v>20270307</v>
      </c>
    </row>
    <row r="1164" spans="1:11" x14ac:dyDescent="0.3">
      <c r="A1164" s="4">
        <v>46454</v>
      </c>
      <c r="B1164">
        <f t="shared" si="147"/>
        <v>2027</v>
      </c>
      <c r="C1164">
        <f t="shared" si="152"/>
        <v>3</v>
      </c>
      <c r="D1164" t="str">
        <f t="shared" si="148"/>
        <v>March</v>
      </c>
      <c r="E1164">
        <f t="shared" si="153"/>
        <v>11</v>
      </c>
      <c r="F1164">
        <f t="shared" si="154"/>
        <v>8</v>
      </c>
      <c r="G1164" t="str">
        <f t="shared" si="149"/>
        <v>Monday</v>
      </c>
      <c r="H1164" t="b">
        <f t="shared" si="150"/>
        <v>0</v>
      </c>
      <c r="I1164">
        <f t="shared" si="151"/>
        <v>67</v>
      </c>
      <c r="J1164" t="s">
        <v>25</v>
      </c>
      <c r="K1164">
        <v>20270308</v>
      </c>
    </row>
    <row r="1165" spans="1:11" x14ac:dyDescent="0.3">
      <c r="A1165" s="4">
        <v>46455</v>
      </c>
      <c r="B1165">
        <f t="shared" si="147"/>
        <v>2027</v>
      </c>
      <c r="C1165">
        <f t="shared" si="152"/>
        <v>3</v>
      </c>
      <c r="D1165" t="str">
        <f t="shared" si="148"/>
        <v>March</v>
      </c>
      <c r="E1165">
        <f t="shared" si="153"/>
        <v>11</v>
      </c>
      <c r="F1165">
        <f t="shared" si="154"/>
        <v>9</v>
      </c>
      <c r="G1165" t="str">
        <f t="shared" si="149"/>
        <v>Tuesday</v>
      </c>
      <c r="H1165" t="b">
        <f t="shared" si="150"/>
        <v>0</v>
      </c>
      <c r="I1165">
        <f t="shared" si="151"/>
        <v>68</v>
      </c>
      <c r="J1165" t="s">
        <v>25</v>
      </c>
      <c r="K1165">
        <v>20270309</v>
      </c>
    </row>
    <row r="1166" spans="1:11" x14ac:dyDescent="0.3">
      <c r="A1166" s="4">
        <v>46456</v>
      </c>
      <c r="B1166">
        <f t="shared" si="147"/>
        <v>2027</v>
      </c>
      <c r="C1166">
        <f t="shared" si="152"/>
        <v>3</v>
      </c>
      <c r="D1166" t="str">
        <f t="shared" si="148"/>
        <v>March</v>
      </c>
      <c r="E1166">
        <f t="shared" si="153"/>
        <v>11</v>
      </c>
      <c r="F1166">
        <f t="shared" si="154"/>
        <v>10</v>
      </c>
      <c r="G1166" t="str">
        <f t="shared" si="149"/>
        <v>Wednesday</v>
      </c>
      <c r="H1166" t="b">
        <f t="shared" si="150"/>
        <v>0</v>
      </c>
      <c r="I1166">
        <f t="shared" si="151"/>
        <v>69</v>
      </c>
      <c r="J1166" t="s">
        <v>25</v>
      </c>
      <c r="K1166">
        <v>20270310</v>
      </c>
    </row>
    <row r="1167" spans="1:11" x14ac:dyDescent="0.3">
      <c r="A1167" s="4">
        <v>46457</v>
      </c>
      <c r="B1167">
        <f t="shared" si="147"/>
        <v>2027</v>
      </c>
      <c r="C1167">
        <f t="shared" si="152"/>
        <v>3</v>
      </c>
      <c r="D1167" t="str">
        <f t="shared" si="148"/>
        <v>March</v>
      </c>
      <c r="E1167">
        <f t="shared" si="153"/>
        <v>11</v>
      </c>
      <c r="F1167">
        <f t="shared" si="154"/>
        <v>11</v>
      </c>
      <c r="G1167" t="str">
        <f t="shared" si="149"/>
        <v>Thursday</v>
      </c>
      <c r="H1167" t="b">
        <f t="shared" si="150"/>
        <v>0</v>
      </c>
      <c r="I1167">
        <f t="shared" si="151"/>
        <v>70</v>
      </c>
      <c r="J1167" t="s">
        <v>25</v>
      </c>
      <c r="K1167">
        <v>20270311</v>
      </c>
    </row>
    <row r="1168" spans="1:11" x14ac:dyDescent="0.3">
      <c r="A1168" s="4">
        <v>46458</v>
      </c>
      <c r="B1168">
        <f t="shared" si="147"/>
        <v>2027</v>
      </c>
      <c r="C1168">
        <f t="shared" si="152"/>
        <v>3</v>
      </c>
      <c r="D1168" t="str">
        <f t="shared" si="148"/>
        <v>March</v>
      </c>
      <c r="E1168">
        <f t="shared" si="153"/>
        <v>11</v>
      </c>
      <c r="F1168">
        <f t="shared" si="154"/>
        <v>12</v>
      </c>
      <c r="G1168" t="str">
        <f t="shared" si="149"/>
        <v>Friday</v>
      </c>
      <c r="H1168" t="b">
        <f t="shared" si="150"/>
        <v>0</v>
      </c>
      <c r="I1168">
        <f t="shared" si="151"/>
        <v>71</v>
      </c>
      <c r="J1168" t="s">
        <v>25</v>
      </c>
      <c r="K1168">
        <v>20270312</v>
      </c>
    </row>
    <row r="1169" spans="1:11" x14ac:dyDescent="0.3">
      <c r="A1169" s="4">
        <v>46459</v>
      </c>
      <c r="B1169">
        <f t="shared" si="147"/>
        <v>2027</v>
      </c>
      <c r="C1169">
        <f t="shared" si="152"/>
        <v>3</v>
      </c>
      <c r="D1169" t="str">
        <f t="shared" si="148"/>
        <v>March</v>
      </c>
      <c r="E1169">
        <f t="shared" si="153"/>
        <v>11</v>
      </c>
      <c r="F1169">
        <f t="shared" si="154"/>
        <v>13</v>
      </c>
      <c r="G1169" t="str">
        <f t="shared" si="149"/>
        <v>Saturday</v>
      </c>
      <c r="H1169" t="b">
        <f t="shared" si="150"/>
        <v>1</v>
      </c>
      <c r="I1169">
        <f t="shared" si="151"/>
        <v>72</v>
      </c>
      <c r="J1169" t="s">
        <v>25</v>
      </c>
      <c r="K1169">
        <v>20270313</v>
      </c>
    </row>
    <row r="1170" spans="1:11" x14ac:dyDescent="0.3">
      <c r="A1170" s="4">
        <v>46460</v>
      </c>
      <c r="B1170">
        <f t="shared" si="147"/>
        <v>2027</v>
      </c>
      <c r="C1170">
        <f t="shared" si="152"/>
        <v>3</v>
      </c>
      <c r="D1170" t="str">
        <f t="shared" si="148"/>
        <v>March</v>
      </c>
      <c r="E1170">
        <f t="shared" si="153"/>
        <v>12</v>
      </c>
      <c r="F1170">
        <f t="shared" si="154"/>
        <v>14</v>
      </c>
      <c r="G1170" t="str">
        <f t="shared" si="149"/>
        <v>Sunday</v>
      </c>
      <c r="H1170" t="b">
        <f t="shared" si="150"/>
        <v>1</v>
      </c>
      <c r="I1170">
        <f t="shared" si="151"/>
        <v>73</v>
      </c>
      <c r="J1170" t="s">
        <v>25</v>
      </c>
      <c r="K1170">
        <v>20270314</v>
      </c>
    </row>
    <row r="1171" spans="1:11" x14ac:dyDescent="0.3">
      <c r="A1171" s="4">
        <v>46461</v>
      </c>
      <c r="B1171">
        <f t="shared" si="147"/>
        <v>2027</v>
      </c>
      <c r="C1171">
        <f t="shared" si="152"/>
        <v>3</v>
      </c>
      <c r="D1171" t="str">
        <f t="shared" si="148"/>
        <v>March</v>
      </c>
      <c r="E1171">
        <f t="shared" si="153"/>
        <v>12</v>
      </c>
      <c r="F1171">
        <f t="shared" si="154"/>
        <v>15</v>
      </c>
      <c r="G1171" t="str">
        <f t="shared" si="149"/>
        <v>Monday</v>
      </c>
      <c r="H1171" t="b">
        <f t="shared" si="150"/>
        <v>0</v>
      </c>
      <c r="I1171">
        <f t="shared" si="151"/>
        <v>74</v>
      </c>
      <c r="J1171" t="s">
        <v>25</v>
      </c>
      <c r="K1171">
        <v>20270315</v>
      </c>
    </row>
    <row r="1172" spans="1:11" x14ac:dyDescent="0.3">
      <c r="A1172" s="4">
        <v>46462</v>
      </c>
      <c r="B1172">
        <f t="shared" si="147"/>
        <v>2027</v>
      </c>
      <c r="C1172">
        <f t="shared" si="152"/>
        <v>3</v>
      </c>
      <c r="D1172" t="str">
        <f t="shared" si="148"/>
        <v>March</v>
      </c>
      <c r="E1172">
        <f t="shared" si="153"/>
        <v>12</v>
      </c>
      <c r="F1172">
        <f t="shared" si="154"/>
        <v>16</v>
      </c>
      <c r="G1172" t="str">
        <f t="shared" si="149"/>
        <v>Tuesday</v>
      </c>
      <c r="H1172" t="b">
        <f t="shared" si="150"/>
        <v>0</v>
      </c>
      <c r="I1172">
        <f t="shared" si="151"/>
        <v>75</v>
      </c>
      <c r="J1172" t="s">
        <v>25</v>
      </c>
      <c r="K1172">
        <v>20270316</v>
      </c>
    </row>
    <row r="1173" spans="1:11" x14ac:dyDescent="0.3">
      <c r="A1173" s="4">
        <v>46463</v>
      </c>
      <c r="B1173">
        <f t="shared" si="147"/>
        <v>2027</v>
      </c>
      <c r="C1173">
        <f t="shared" si="152"/>
        <v>3</v>
      </c>
      <c r="D1173" t="str">
        <f t="shared" si="148"/>
        <v>March</v>
      </c>
      <c r="E1173">
        <f t="shared" si="153"/>
        <v>12</v>
      </c>
      <c r="F1173">
        <f t="shared" si="154"/>
        <v>17</v>
      </c>
      <c r="G1173" t="str">
        <f t="shared" si="149"/>
        <v>Wednesday</v>
      </c>
      <c r="H1173" t="b">
        <f t="shared" si="150"/>
        <v>0</v>
      </c>
      <c r="I1173">
        <f t="shared" si="151"/>
        <v>76</v>
      </c>
      <c r="J1173" t="s">
        <v>25</v>
      </c>
      <c r="K1173">
        <v>20270317</v>
      </c>
    </row>
    <row r="1174" spans="1:11" x14ac:dyDescent="0.3">
      <c r="A1174" s="4">
        <v>46464</v>
      </c>
      <c r="B1174">
        <f t="shared" si="147"/>
        <v>2027</v>
      </c>
      <c r="C1174">
        <f t="shared" si="152"/>
        <v>3</v>
      </c>
      <c r="D1174" t="str">
        <f t="shared" si="148"/>
        <v>March</v>
      </c>
      <c r="E1174">
        <f t="shared" si="153"/>
        <v>12</v>
      </c>
      <c r="F1174">
        <f t="shared" si="154"/>
        <v>18</v>
      </c>
      <c r="G1174" t="str">
        <f t="shared" si="149"/>
        <v>Thursday</v>
      </c>
      <c r="H1174" t="b">
        <f t="shared" si="150"/>
        <v>0</v>
      </c>
      <c r="I1174">
        <f t="shared" si="151"/>
        <v>77</v>
      </c>
      <c r="J1174" t="s">
        <v>25</v>
      </c>
      <c r="K1174">
        <v>20270318</v>
      </c>
    </row>
    <row r="1175" spans="1:11" x14ac:dyDescent="0.3">
      <c r="A1175" s="4">
        <v>46465</v>
      </c>
      <c r="B1175">
        <f t="shared" si="147"/>
        <v>2027</v>
      </c>
      <c r="C1175">
        <f t="shared" si="152"/>
        <v>3</v>
      </c>
      <c r="D1175" t="str">
        <f t="shared" si="148"/>
        <v>March</v>
      </c>
      <c r="E1175">
        <f t="shared" si="153"/>
        <v>12</v>
      </c>
      <c r="F1175">
        <f t="shared" si="154"/>
        <v>19</v>
      </c>
      <c r="G1175" t="str">
        <f t="shared" si="149"/>
        <v>Friday</v>
      </c>
      <c r="H1175" t="b">
        <f t="shared" si="150"/>
        <v>0</v>
      </c>
      <c r="I1175">
        <f t="shared" si="151"/>
        <v>78</v>
      </c>
      <c r="J1175" t="s">
        <v>25</v>
      </c>
      <c r="K1175">
        <v>20270319</v>
      </c>
    </row>
    <row r="1176" spans="1:11" x14ac:dyDescent="0.3">
      <c r="A1176" s="4">
        <v>46466</v>
      </c>
      <c r="B1176">
        <f t="shared" si="147"/>
        <v>2027</v>
      </c>
      <c r="C1176">
        <f t="shared" si="152"/>
        <v>3</v>
      </c>
      <c r="D1176" t="str">
        <f t="shared" si="148"/>
        <v>March</v>
      </c>
      <c r="E1176">
        <f t="shared" si="153"/>
        <v>12</v>
      </c>
      <c r="F1176">
        <f t="shared" si="154"/>
        <v>20</v>
      </c>
      <c r="G1176" t="str">
        <f t="shared" si="149"/>
        <v>Saturday</v>
      </c>
      <c r="H1176" t="b">
        <f t="shared" si="150"/>
        <v>1</v>
      </c>
      <c r="I1176">
        <f t="shared" si="151"/>
        <v>79</v>
      </c>
      <c r="J1176" t="s">
        <v>25</v>
      </c>
      <c r="K1176">
        <v>20270320</v>
      </c>
    </row>
    <row r="1177" spans="1:11" x14ac:dyDescent="0.3">
      <c r="A1177" s="4">
        <v>46467</v>
      </c>
      <c r="B1177">
        <f t="shared" si="147"/>
        <v>2027</v>
      </c>
      <c r="C1177">
        <f t="shared" si="152"/>
        <v>3</v>
      </c>
      <c r="D1177" t="str">
        <f t="shared" si="148"/>
        <v>March</v>
      </c>
      <c r="E1177">
        <f t="shared" si="153"/>
        <v>13</v>
      </c>
      <c r="F1177">
        <f t="shared" si="154"/>
        <v>21</v>
      </c>
      <c r="G1177" t="str">
        <f t="shared" si="149"/>
        <v>Sunday</v>
      </c>
      <c r="H1177" t="b">
        <f t="shared" si="150"/>
        <v>1</v>
      </c>
      <c r="I1177">
        <f t="shared" si="151"/>
        <v>80</v>
      </c>
      <c r="J1177" t="s">
        <v>25</v>
      </c>
      <c r="K1177">
        <v>20270321</v>
      </c>
    </row>
    <row r="1178" spans="1:11" x14ac:dyDescent="0.3">
      <c r="A1178" s="4">
        <v>46468</v>
      </c>
      <c r="B1178">
        <f t="shared" si="147"/>
        <v>2027</v>
      </c>
      <c r="C1178">
        <f t="shared" si="152"/>
        <v>3</v>
      </c>
      <c r="D1178" t="str">
        <f t="shared" si="148"/>
        <v>March</v>
      </c>
      <c r="E1178">
        <f t="shared" si="153"/>
        <v>13</v>
      </c>
      <c r="F1178">
        <f t="shared" si="154"/>
        <v>22</v>
      </c>
      <c r="G1178" t="str">
        <f t="shared" si="149"/>
        <v>Monday</v>
      </c>
      <c r="H1178" t="b">
        <f t="shared" si="150"/>
        <v>0</v>
      </c>
      <c r="I1178">
        <f t="shared" si="151"/>
        <v>81</v>
      </c>
      <c r="J1178" t="s">
        <v>25</v>
      </c>
      <c r="K1178">
        <v>20270322</v>
      </c>
    </row>
    <row r="1179" spans="1:11" x14ac:dyDescent="0.3">
      <c r="A1179" s="4">
        <v>46469</v>
      </c>
      <c r="B1179">
        <f t="shared" si="147"/>
        <v>2027</v>
      </c>
      <c r="C1179">
        <f t="shared" si="152"/>
        <v>3</v>
      </c>
      <c r="D1179" t="str">
        <f t="shared" si="148"/>
        <v>March</v>
      </c>
      <c r="E1179">
        <f t="shared" si="153"/>
        <v>13</v>
      </c>
      <c r="F1179">
        <f t="shared" si="154"/>
        <v>23</v>
      </c>
      <c r="G1179" t="str">
        <f t="shared" si="149"/>
        <v>Tuesday</v>
      </c>
      <c r="H1179" t="b">
        <f t="shared" si="150"/>
        <v>0</v>
      </c>
      <c r="I1179">
        <f t="shared" si="151"/>
        <v>82</v>
      </c>
      <c r="J1179" t="s">
        <v>25</v>
      </c>
      <c r="K1179">
        <v>20270323</v>
      </c>
    </row>
    <row r="1180" spans="1:11" x14ac:dyDescent="0.3">
      <c r="A1180" s="4">
        <v>46470</v>
      </c>
      <c r="B1180">
        <f t="shared" si="147"/>
        <v>2027</v>
      </c>
      <c r="C1180">
        <f t="shared" si="152"/>
        <v>3</v>
      </c>
      <c r="D1180" t="str">
        <f t="shared" si="148"/>
        <v>March</v>
      </c>
      <c r="E1180">
        <f t="shared" si="153"/>
        <v>13</v>
      </c>
      <c r="F1180">
        <f t="shared" si="154"/>
        <v>24</v>
      </c>
      <c r="G1180" t="str">
        <f t="shared" si="149"/>
        <v>Wednesday</v>
      </c>
      <c r="H1180" t="b">
        <f t="shared" si="150"/>
        <v>0</v>
      </c>
      <c r="I1180">
        <f t="shared" si="151"/>
        <v>83</v>
      </c>
      <c r="J1180" t="s">
        <v>25</v>
      </c>
      <c r="K1180">
        <v>20270324</v>
      </c>
    </row>
    <row r="1181" spans="1:11" x14ac:dyDescent="0.3">
      <c r="A1181" s="4">
        <v>46471</v>
      </c>
      <c r="B1181">
        <f t="shared" si="147"/>
        <v>2027</v>
      </c>
      <c r="C1181">
        <f t="shared" si="152"/>
        <v>3</v>
      </c>
      <c r="D1181" t="str">
        <f t="shared" si="148"/>
        <v>March</v>
      </c>
      <c r="E1181">
        <f t="shared" si="153"/>
        <v>13</v>
      </c>
      <c r="F1181">
        <f t="shared" si="154"/>
        <v>25</v>
      </c>
      <c r="G1181" t="str">
        <f t="shared" si="149"/>
        <v>Thursday</v>
      </c>
      <c r="H1181" t="b">
        <f t="shared" si="150"/>
        <v>0</v>
      </c>
      <c r="I1181">
        <f t="shared" si="151"/>
        <v>84</v>
      </c>
      <c r="J1181" t="s">
        <v>25</v>
      </c>
      <c r="K1181">
        <v>20270325</v>
      </c>
    </row>
    <row r="1182" spans="1:11" x14ac:dyDescent="0.3">
      <c r="A1182" s="4">
        <v>46472</v>
      </c>
      <c r="B1182">
        <f t="shared" si="147"/>
        <v>2027</v>
      </c>
      <c r="C1182">
        <f t="shared" si="152"/>
        <v>3</v>
      </c>
      <c r="D1182" t="str">
        <f t="shared" si="148"/>
        <v>March</v>
      </c>
      <c r="E1182">
        <f t="shared" si="153"/>
        <v>13</v>
      </c>
      <c r="F1182">
        <f t="shared" si="154"/>
        <v>26</v>
      </c>
      <c r="G1182" t="str">
        <f t="shared" si="149"/>
        <v>Friday</v>
      </c>
      <c r="H1182" t="b">
        <f t="shared" si="150"/>
        <v>0</v>
      </c>
      <c r="I1182">
        <f t="shared" si="151"/>
        <v>85</v>
      </c>
      <c r="J1182" t="s">
        <v>25</v>
      </c>
      <c r="K1182">
        <v>20270326</v>
      </c>
    </row>
    <row r="1183" spans="1:11" x14ac:dyDescent="0.3">
      <c r="A1183" s="4">
        <v>46473</v>
      </c>
      <c r="B1183">
        <f t="shared" si="147"/>
        <v>2027</v>
      </c>
      <c r="C1183">
        <f t="shared" si="152"/>
        <v>3</v>
      </c>
      <c r="D1183" t="str">
        <f t="shared" si="148"/>
        <v>March</v>
      </c>
      <c r="E1183">
        <f t="shared" si="153"/>
        <v>13</v>
      </c>
      <c r="F1183">
        <f t="shared" si="154"/>
        <v>27</v>
      </c>
      <c r="G1183" t="str">
        <f t="shared" si="149"/>
        <v>Saturday</v>
      </c>
      <c r="H1183" t="b">
        <f t="shared" si="150"/>
        <v>1</v>
      </c>
      <c r="I1183">
        <f t="shared" si="151"/>
        <v>86</v>
      </c>
      <c r="J1183" t="s">
        <v>25</v>
      </c>
      <c r="K1183">
        <v>20270327</v>
      </c>
    </row>
    <row r="1184" spans="1:11" x14ac:dyDescent="0.3">
      <c r="A1184" s="4">
        <v>46474</v>
      </c>
      <c r="B1184">
        <f t="shared" si="147"/>
        <v>2027</v>
      </c>
      <c r="C1184">
        <f t="shared" si="152"/>
        <v>3</v>
      </c>
      <c r="D1184" t="str">
        <f t="shared" si="148"/>
        <v>March</v>
      </c>
      <c r="E1184">
        <f t="shared" si="153"/>
        <v>14</v>
      </c>
      <c r="F1184">
        <f t="shared" si="154"/>
        <v>28</v>
      </c>
      <c r="G1184" t="str">
        <f t="shared" si="149"/>
        <v>Sunday</v>
      </c>
      <c r="H1184" t="b">
        <f t="shared" si="150"/>
        <v>1</v>
      </c>
      <c r="I1184">
        <f t="shared" si="151"/>
        <v>87</v>
      </c>
      <c r="J1184" t="s">
        <v>25</v>
      </c>
      <c r="K1184">
        <v>20270328</v>
      </c>
    </row>
    <row r="1185" spans="1:11" x14ac:dyDescent="0.3">
      <c r="A1185" s="4">
        <v>46475</v>
      </c>
      <c r="B1185">
        <f t="shared" si="147"/>
        <v>2027</v>
      </c>
      <c r="C1185">
        <f t="shared" si="152"/>
        <v>3</v>
      </c>
      <c r="D1185" t="str">
        <f t="shared" si="148"/>
        <v>March</v>
      </c>
      <c r="E1185">
        <f t="shared" si="153"/>
        <v>14</v>
      </c>
      <c r="F1185">
        <f t="shared" si="154"/>
        <v>29</v>
      </c>
      <c r="G1185" t="str">
        <f t="shared" si="149"/>
        <v>Monday</v>
      </c>
      <c r="H1185" t="b">
        <f t="shared" si="150"/>
        <v>0</v>
      </c>
      <c r="I1185">
        <f t="shared" si="151"/>
        <v>88</v>
      </c>
      <c r="J1185" t="s">
        <v>25</v>
      </c>
      <c r="K1185">
        <v>20270329</v>
      </c>
    </row>
    <row r="1186" spans="1:11" x14ac:dyDescent="0.3">
      <c r="A1186" s="4">
        <v>46476</v>
      </c>
      <c r="B1186">
        <f t="shared" si="147"/>
        <v>2027</v>
      </c>
      <c r="C1186">
        <f t="shared" si="152"/>
        <v>3</v>
      </c>
      <c r="D1186" t="str">
        <f t="shared" si="148"/>
        <v>March</v>
      </c>
      <c r="E1186">
        <f t="shared" si="153"/>
        <v>14</v>
      </c>
      <c r="F1186">
        <f t="shared" si="154"/>
        <v>30</v>
      </c>
      <c r="G1186" t="str">
        <f t="shared" si="149"/>
        <v>Tuesday</v>
      </c>
      <c r="H1186" t="b">
        <f t="shared" si="150"/>
        <v>0</v>
      </c>
      <c r="I1186">
        <f t="shared" si="151"/>
        <v>89</v>
      </c>
      <c r="J1186" t="s">
        <v>25</v>
      </c>
      <c r="K1186">
        <v>20270330</v>
      </c>
    </row>
    <row r="1187" spans="1:11" x14ac:dyDescent="0.3">
      <c r="A1187" s="4">
        <v>46477</v>
      </c>
      <c r="B1187">
        <f t="shared" si="147"/>
        <v>2027</v>
      </c>
      <c r="C1187">
        <f t="shared" si="152"/>
        <v>3</v>
      </c>
      <c r="D1187" t="str">
        <f t="shared" si="148"/>
        <v>March</v>
      </c>
      <c r="E1187">
        <f t="shared" si="153"/>
        <v>14</v>
      </c>
      <c r="F1187">
        <f t="shared" si="154"/>
        <v>31</v>
      </c>
      <c r="G1187" t="str">
        <f t="shared" si="149"/>
        <v>Wednesday</v>
      </c>
      <c r="H1187" t="b">
        <f t="shared" si="150"/>
        <v>0</v>
      </c>
      <c r="I1187">
        <f t="shared" si="151"/>
        <v>90</v>
      </c>
      <c r="J1187" t="s">
        <v>25</v>
      </c>
      <c r="K1187">
        <v>20270331</v>
      </c>
    </row>
    <row r="1188" spans="1:11" x14ac:dyDescent="0.3">
      <c r="A1188" s="4">
        <v>46478</v>
      </c>
      <c r="B1188">
        <f t="shared" si="147"/>
        <v>2027</v>
      </c>
      <c r="C1188">
        <f t="shared" si="152"/>
        <v>4</v>
      </c>
      <c r="D1188" t="str">
        <f t="shared" si="148"/>
        <v>April</v>
      </c>
      <c r="E1188">
        <f t="shared" si="153"/>
        <v>14</v>
      </c>
      <c r="F1188">
        <f t="shared" si="154"/>
        <v>1</v>
      </c>
      <c r="G1188" t="str">
        <f t="shared" si="149"/>
        <v>Thursday</v>
      </c>
      <c r="H1188" t="b">
        <f t="shared" si="150"/>
        <v>0</v>
      </c>
      <c r="I1188">
        <f t="shared" si="151"/>
        <v>91</v>
      </c>
      <c r="J1188" t="s">
        <v>25</v>
      </c>
      <c r="K1188">
        <v>20270401</v>
      </c>
    </row>
    <row r="1189" spans="1:11" x14ac:dyDescent="0.3">
      <c r="A1189" s="4">
        <v>46479</v>
      </c>
      <c r="B1189">
        <f t="shared" si="147"/>
        <v>2027</v>
      </c>
      <c r="C1189">
        <f t="shared" si="152"/>
        <v>4</v>
      </c>
      <c r="D1189" t="str">
        <f t="shared" si="148"/>
        <v>April</v>
      </c>
      <c r="E1189">
        <f t="shared" si="153"/>
        <v>14</v>
      </c>
      <c r="F1189">
        <f t="shared" si="154"/>
        <v>2</v>
      </c>
      <c r="G1189" t="str">
        <f t="shared" si="149"/>
        <v>Friday</v>
      </c>
      <c r="H1189" t="b">
        <f t="shared" si="150"/>
        <v>0</v>
      </c>
      <c r="I1189">
        <f t="shared" si="151"/>
        <v>92</v>
      </c>
      <c r="J1189" t="s">
        <v>25</v>
      </c>
      <c r="K1189">
        <v>20270402</v>
      </c>
    </row>
    <row r="1190" spans="1:11" x14ac:dyDescent="0.3">
      <c r="A1190" s="4">
        <v>46480</v>
      </c>
      <c r="B1190">
        <f t="shared" si="147"/>
        <v>2027</v>
      </c>
      <c r="C1190">
        <f t="shared" si="152"/>
        <v>4</v>
      </c>
      <c r="D1190" t="str">
        <f t="shared" si="148"/>
        <v>April</v>
      </c>
      <c r="E1190">
        <f t="shared" si="153"/>
        <v>14</v>
      </c>
      <c r="F1190">
        <f t="shared" si="154"/>
        <v>3</v>
      </c>
      <c r="G1190" t="str">
        <f t="shared" si="149"/>
        <v>Saturday</v>
      </c>
      <c r="H1190" t="b">
        <f t="shared" si="150"/>
        <v>1</v>
      </c>
      <c r="I1190">
        <f t="shared" si="151"/>
        <v>93</v>
      </c>
      <c r="J1190" t="s">
        <v>25</v>
      </c>
      <c r="K1190">
        <v>20270403</v>
      </c>
    </row>
    <row r="1191" spans="1:11" x14ac:dyDescent="0.3">
      <c r="A1191" s="4">
        <v>46481</v>
      </c>
      <c r="B1191">
        <f t="shared" si="147"/>
        <v>2027</v>
      </c>
      <c r="C1191">
        <f t="shared" si="152"/>
        <v>4</v>
      </c>
      <c r="D1191" t="str">
        <f t="shared" si="148"/>
        <v>April</v>
      </c>
      <c r="E1191">
        <f t="shared" si="153"/>
        <v>15</v>
      </c>
      <c r="F1191">
        <f t="shared" si="154"/>
        <v>4</v>
      </c>
      <c r="G1191" t="str">
        <f t="shared" si="149"/>
        <v>Sunday</v>
      </c>
      <c r="H1191" t="b">
        <f t="shared" si="150"/>
        <v>1</v>
      </c>
      <c r="I1191">
        <f t="shared" si="151"/>
        <v>94</v>
      </c>
      <c r="J1191" t="s">
        <v>25</v>
      </c>
      <c r="K1191">
        <v>20270404</v>
      </c>
    </row>
    <row r="1192" spans="1:11" x14ac:dyDescent="0.3">
      <c r="A1192" s="4">
        <v>46482</v>
      </c>
      <c r="B1192">
        <f t="shared" si="147"/>
        <v>2027</v>
      </c>
      <c r="C1192">
        <f t="shared" si="152"/>
        <v>4</v>
      </c>
      <c r="D1192" t="str">
        <f t="shared" si="148"/>
        <v>April</v>
      </c>
      <c r="E1192">
        <f t="shared" si="153"/>
        <v>15</v>
      </c>
      <c r="F1192">
        <f t="shared" si="154"/>
        <v>5</v>
      </c>
      <c r="G1192" t="str">
        <f t="shared" si="149"/>
        <v>Monday</v>
      </c>
      <c r="H1192" t="b">
        <f t="shared" si="150"/>
        <v>0</v>
      </c>
      <c r="I1192">
        <f t="shared" si="151"/>
        <v>95</v>
      </c>
      <c r="J1192" t="s">
        <v>25</v>
      </c>
      <c r="K1192">
        <v>20270405</v>
      </c>
    </row>
    <row r="1193" spans="1:11" x14ac:dyDescent="0.3">
      <c r="A1193" s="4">
        <v>46483</v>
      </c>
      <c r="B1193">
        <f t="shared" si="147"/>
        <v>2027</v>
      </c>
      <c r="C1193">
        <f t="shared" si="152"/>
        <v>4</v>
      </c>
      <c r="D1193" t="str">
        <f t="shared" si="148"/>
        <v>April</v>
      </c>
      <c r="E1193">
        <f t="shared" si="153"/>
        <v>15</v>
      </c>
      <c r="F1193">
        <f t="shared" si="154"/>
        <v>6</v>
      </c>
      <c r="G1193" t="str">
        <f t="shared" si="149"/>
        <v>Tuesday</v>
      </c>
      <c r="H1193" t="b">
        <f t="shared" si="150"/>
        <v>0</v>
      </c>
      <c r="I1193">
        <f t="shared" si="151"/>
        <v>96</v>
      </c>
      <c r="J1193" t="s">
        <v>25</v>
      </c>
      <c r="K1193">
        <v>20270406</v>
      </c>
    </row>
    <row r="1194" spans="1:11" x14ac:dyDescent="0.3">
      <c r="A1194" s="4">
        <v>46484</v>
      </c>
      <c r="B1194">
        <f t="shared" si="147"/>
        <v>2027</v>
      </c>
      <c r="C1194">
        <f t="shared" si="152"/>
        <v>4</v>
      </c>
      <c r="D1194" t="str">
        <f t="shared" si="148"/>
        <v>April</v>
      </c>
      <c r="E1194">
        <f t="shared" si="153"/>
        <v>15</v>
      </c>
      <c r="F1194">
        <f t="shared" si="154"/>
        <v>7</v>
      </c>
      <c r="G1194" t="str">
        <f t="shared" si="149"/>
        <v>Wednesday</v>
      </c>
      <c r="H1194" t="b">
        <f t="shared" si="150"/>
        <v>0</v>
      </c>
      <c r="I1194">
        <f t="shared" si="151"/>
        <v>97</v>
      </c>
      <c r="J1194" t="s">
        <v>25</v>
      </c>
      <c r="K1194">
        <v>20270407</v>
      </c>
    </row>
    <row r="1195" spans="1:11" x14ac:dyDescent="0.3">
      <c r="A1195" s="4">
        <v>46485</v>
      </c>
      <c r="B1195">
        <f t="shared" si="147"/>
        <v>2027</v>
      </c>
      <c r="C1195">
        <f t="shared" si="152"/>
        <v>4</v>
      </c>
      <c r="D1195" t="str">
        <f t="shared" si="148"/>
        <v>April</v>
      </c>
      <c r="E1195">
        <f t="shared" si="153"/>
        <v>15</v>
      </c>
      <c r="F1195">
        <f t="shared" si="154"/>
        <v>8</v>
      </c>
      <c r="G1195" t="str">
        <f t="shared" si="149"/>
        <v>Thursday</v>
      </c>
      <c r="H1195" t="b">
        <f t="shared" si="150"/>
        <v>0</v>
      </c>
      <c r="I1195">
        <f t="shared" si="151"/>
        <v>98</v>
      </c>
      <c r="J1195" t="s">
        <v>25</v>
      </c>
      <c r="K1195">
        <v>20270408</v>
      </c>
    </row>
    <row r="1196" spans="1:11" x14ac:dyDescent="0.3">
      <c r="A1196" s="4">
        <v>46486</v>
      </c>
      <c r="B1196">
        <f t="shared" si="147"/>
        <v>2027</v>
      </c>
      <c r="C1196">
        <f t="shared" si="152"/>
        <v>4</v>
      </c>
      <c r="D1196" t="str">
        <f t="shared" si="148"/>
        <v>April</v>
      </c>
      <c r="E1196">
        <f t="shared" si="153"/>
        <v>15</v>
      </c>
      <c r="F1196">
        <f t="shared" si="154"/>
        <v>9</v>
      </c>
      <c r="G1196" t="str">
        <f t="shared" si="149"/>
        <v>Friday</v>
      </c>
      <c r="H1196" t="b">
        <f t="shared" si="150"/>
        <v>0</v>
      </c>
      <c r="I1196">
        <f t="shared" si="151"/>
        <v>99</v>
      </c>
      <c r="J1196" t="s">
        <v>25</v>
      </c>
      <c r="K1196">
        <v>20270409</v>
      </c>
    </row>
    <row r="1197" spans="1:11" x14ac:dyDescent="0.3">
      <c r="A1197" s="4">
        <v>46487</v>
      </c>
      <c r="B1197">
        <f t="shared" si="147"/>
        <v>2027</v>
      </c>
      <c r="C1197">
        <f t="shared" si="152"/>
        <v>4</v>
      </c>
      <c r="D1197" t="str">
        <f t="shared" si="148"/>
        <v>April</v>
      </c>
      <c r="E1197">
        <f t="shared" si="153"/>
        <v>15</v>
      </c>
      <c r="F1197">
        <f t="shared" si="154"/>
        <v>10</v>
      </c>
      <c r="G1197" t="str">
        <f t="shared" si="149"/>
        <v>Saturday</v>
      </c>
      <c r="H1197" t="b">
        <f t="shared" si="150"/>
        <v>1</v>
      </c>
      <c r="I1197">
        <f t="shared" si="151"/>
        <v>100</v>
      </c>
      <c r="J1197" t="s">
        <v>25</v>
      </c>
      <c r="K1197">
        <v>20270410</v>
      </c>
    </row>
    <row r="1198" spans="1:11" x14ac:dyDescent="0.3">
      <c r="A1198" s="4">
        <v>46488</v>
      </c>
      <c r="B1198">
        <f t="shared" si="147"/>
        <v>2027</v>
      </c>
      <c r="C1198">
        <f t="shared" si="152"/>
        <v>4</v>
      </c>
      <c r="D1198" t="str">
        <f t="shared" si="148"/>
        <v>April</v>
      </c>
      <c r="E1198">
        <f t="shared" si="153"/>
        <v>16</v>
      </c>
      <c r="F1198">
        <f t="shared" si="154"/>
        <v>11</v>
      </c>
      <c r="G1198" t="str">
        <f t="shared" si="149"/>
        <v>Sunday</v>
      </c>
      <c r="H1198" t="b">
        <f t="shared" si="150"/>
        <v>1</v>
      </c>
      <c r="I1198">
        <f t="shared" si="151"/>
        <v>101</v>
      </c>
      <c r="J1198" t="s">
        <v>25</v>
      </c>
      <c r="K1198">
        <v>20270411</v>
      </c>
    </row>
    <row r="1199" spans="1:11" x14ac:dyDescent="0.3">
      <c r="A1199" s="4">
        <v>46489</v>
      </c>
      <c r="B1199">
        <f t="shared" si="147"/>
        <v>2027</v>
      </c>
      <c r="C1199">
        <f t="shared" si="152"/>
        <v>4</v>
      </c>
      <c r="D1199" t="str">
        <f t="shared" si="148"/>
        <v>April</v>
      </c>
      <c r="E1199">
        <f t="shared" si="153"/>
        <v>16</v>
      </c>
      <c r="F1199">
        <f t="shared" si="154"/>
        <v>12</v>
      </c>
      <c r="G1199" t="str">
        <f t="shared" si="149"/>
        <v>Monday</v>
      </c>
      <c r="H1199" t="b">
        <f t="shared" si="150"/>
        <v>0</v>
      </c>
      <c r="I1199">
        <f t="shared" si="151"/>
        <v>102</v>
      </c>
      <c r="J1199" t="s">
        <v>25</v>
      </c>
      <c r="K1199">
        <v>20270412</v>
      </c>
    </row>
    <row r="1200" spans="1:11" x14ac:dyDescent="0.3">
      <c r="A1200" s="4">
        <v>46490</v>
      </c>
      <c r="B1200">
        <f t="shared" si="147"/>
        <v>2027</v>
      </c>
      <c r="C1200">
        <f t="shared" si="152"/>
        <v>4</v>
      </c>
      <c r="D1200" t="str">
        <f t="shared" si="148"/>
        <v>April</v>
      </c>
      <c r="E1200">
        <f t="shared" si="153"/>
        <v>16</v>
      </c>
      <c r="F1200">
        <f t="shared" si="154"/>
        <v>13</v>
      </c>
      <c r="G1200" t="str">
        <f t="shared" si="149"/>
        <v>Tuesday</v>
      </c>
      <c r="H1200" t="b">
        <f t="shared" si="150"/>
        <v>0</v>
      </c>
      <c r="I1200">
        <f t="shared" si="151"/>
        <v>103</v>
      </c>
      <c r="J1200" t="s">
        <v>25</v>
      </c>
      <c r="K1200">
        <v>20270413</v>
      </c>
    </row>
    <row r="1201" spans="1:11" x14ac:dyDescent="0.3">
      <c r="A1201" s="4">
        <v>46491</v>
      </c>
      <c r="B1201">
        <f t="shared" si="147"/>
        <v>2027</v>
      </c>
      <c r="C1201">
        <f t="shared" si="152"/>
        <v>4</v>
      </c>
      <c r="D1201" t="str">
        <f t="shared" si="148"/>
        <v>April</v>
      </c>
      <c r="E1201">
        <f t="shared" si="153"/>
        <v>16</v>
      </c>
      <c r="F1201">
        <f t="shared" si="154"/>
        <v>14</v>
      </c>
      <c r="G1201" t="str">
        <f t="shared" si="149"/>
        <v>Wednesday</v>
      </c>
      <c r="H1201" t="b">
        <f t="shared" si="150"/>
        <v>0</v>
      </c>
      <c r="I1201">
        <f t="shared" si="151"/>
        <v>104</v>
      </c>
      <c r="J1201" t="s">
        <v>25</v>
      </c>
      <c r="K1201">
        <v>20270414</v>
      </c>
    </row>
    <row r="1202" spans="1:11" x14ac:dyDescent="0.3">
      <c r="A1202" s="4">
        <v>46492</v>
      </c>
      <c r="B1202">
        <f t="shared" si="147"/>
        <v>2027</v>
      </c>
      <c r="C1202">
        <f t="shared" si="152"/>
        <v>4</v>
      </c>
      <c r="D1202" t="str">
        <f t="shared" si="148"/>
        <v>April</v>
      </c>
      <c r="E1202">
        <f t="shared" si="153"/>
        <v>16</v>
      </c>
      <c r="F1202">
        <f t="shared" si="154"/>
        <v>15</v>
      </c>
      <c r="G1202" t="str">
        <f t="shared" si="149"/>
        <v>Thursday</v>
      </c>
      <c r="H1202" t="b">
        <f t="shared" si="150"/>
        <v>0</v>
      </c>
      <c r="I1202">
        <f t="shared" si="151"/>
        <v>105</v>
      </c>
      <c r="J1202" t="s">
        <v>25</v>
      </c>
      <c r="K1202">
        <v>20270415</v>
      </c>
    </row>
    <row r="1203" spans="1:11" x14ac:dyDescent="0.3">
      <c r="A1203" s="4">
        <v>46493</v>
      </c>
      <c r="B1203">
        <f t="shared" si="147"/>
        <v>2027</v>
      </c>
      <c r="C1203">
        <f t="shared" si="152"/>
        <v>4</v>
      </c>
      <c r="D1203" t="str">
        <f t="shared" si="148"/>
        <v>April</v>
      </c>
      <c r="E1203">
        <f t="shared" si="153"/>
        <v>16</v>
      </c>
      <c r="F1203">
        <f t="shared" si="154"/>
        <v>16</v>
      </c>
      <c r="G1203" t="str">
        <f t="shared" si="149"/>
        <v>Friday</v>
      </c>
      <c r="H1203" t="b">
        <f t="shared" si="150"/>
        <v>0</v>
      </c>
      <c r="I1203">
        <f t="shared" si="151"/>
        <v>106</v>
      </c>
      <c r="J1203" t="s">
        <v>25</v>
      </c>
      <c r="K1203">
        <v>20270416</v>
      </c>
    </row>
    <row r="1204" spans="1:11" x14ac:dyDescent="0.3">
      <c r="A1204" s="4">
        <v>46494</v>
      </c>
      <c r="B1204">
        <f t="shared" si="147"/>
        <v>2027</v>
      </c>
      <c r="C1204">
        <f t="shared" si="152"/>
        <v>4</v>
      </c>
      <c r="D1204" t="str">
        <f t="shared" si="148"/>
        <v>April</v>
      </c>
      <c r="E1204">
        <f t="shared" si="153"/>
        <v>16</v>
      </c>
      <c r="F1204">
        <f t="shared" si="154"/>
        <v>17</v>
      </c>
      <c r="G1204" t="str">
        <f t="shared" si="149"/>
        <v>Saturday</v>
      </c>
      <c r="H1204" t="b">
        <f t="shared" si="150"/>
        <v>1</v>
      </c>
      <c r="I1204">
        <f t="shared" si="151"/>
        <v>107</v>
      </c>
      <c r="J1204" t="s">
        <v>25</v>
      </c>
      <c r="K1204">
        <v>20270417</v>
      </c>
    </row>
    <row r="1205" spans="1:11" x14ac:dyDescent="0.3">
      <c r="A1205" s="4">
        <v>46495</v>
      </c>
      <c r="B1205">
        <f t="shared" si="147"/>
        <v>2027</v>
      </c>
      <c r="C1205">
        <f t="shared" si="152"/>
        <v>4</v>
      </c>
      <c r="D1205" t="str">
        <f t="shared" si="148"/>
        <v>April</v>
      </c>
      <c r="E1205">
        <f t="shared" si="153"/>
        <v>17</v>
      </c>
      <c r="F1205">
        <f t="shared" si="154"/>
        <v>18</v>
      </c>
      <c r="G1205" t="str">
        <f t="shared" si="149"/>
        <v>Sunday</v>
      </c>
      <c r="H1205" t="b">
        <f t="shared" si="150"/>
        <v>1</v>
      </c>
      <c r="I1205">
        <f t="shared" si="151"/>
        <v>108</v>
      </c>
      <c r="J1205" t="s">
        <v>25</v>
      </c>
      <c r="K1205">
        <v>20270418</v>
      </c>
    </row>
    <row r="1206" spans="1:11" x14ac:dyDescent="0.3">
      <c r="A1206" s="4">
        <v>46496</v>
      </c>
      <c r="B1206">
        <f t="shared" si="147"/>
        <v>2027</v>
      </c>
      <c r="C1206">
        <f t="shared" si="152"/>
        <v>4</v>
      </c>
      <c r="D1206" t="str">
        <f t="shared" si="148"/>
        <v>April</v>
      </c>
      <c r="E1206">
        <f t="shared" si="153"/>
        <v>17</v>
      </c>
      <c r="F1206">
        <f t="shared" si="154"/>
        <v>19</v>
      </c>
      <c r="G1206" t="str">
        <f t="shared" si="149"/>
        <v>Monday</v>
      </c>
      <c r="H1206" t="b">
        <f t="shared" si="150"/>
        <v>0</v>
      </c>
      <c r="I1206">
        <f t="shared" si="151"/>
        <v>109</v>
      </c>
      <c r="J1206" t="s">
        <v>25</v>
      </c>
      <c r="K1206">
        <v>20270419</v>
      </c>
    </row>
    <row r="1207" spans="1:11" x14ac:dyDescent="0.3">
      <c r="A1207" s="4">
        <v>46497</v>
      </c>
      <c r="B1207">
        <f t="shared" si="147"/>
        <v>2027</v>
      </c>
      <c r="C1207">
        <f t="shared" si="152"/>
        <v>4</v>
      </c>
      <c r="D1207" t="str">
        <f t="shared" si="148"/>
        <v>April</v>
      </c>
      <c r="E1207">
        <f t="shared" si="153"/>
        <v>17</v>
      </c>
      <c r="F1207">
        <f t="shared" si="154"/>
        <v>20</v>
      </c>
      <c r="G1207" t="str">
        <f t="shared" si="149"/>
        <v>Tuesday</v>
      </c>
      <c r="H1207" t="b">
        <f t="shared" si="150"/>
        <v>0</v>
      </c>
      <c r="I1207">
        <f t="shared" si="151"/>
        <v>110</v>
      </c>
      <c r="J1207" t="s">
        <v>25</v>
      </c>
      <c r="K1207">
        <v>20270420</v>
      </c>
    </row>
    <row r="1208" spans="1:11" x14ac:dyDescent="0.3">
      <c r="A1208" s="4">
        <v>46498</v>
      </c>
      <c r="B1208">
        <f t="shared" si="147"/>
        <v>2027</v>
      </c>
      <c r="C1208">
        <f t="shared" si="152"/>
        <v>4</v>
      </c>
      <c r="D1208" t="str">
        <f t="shared" si="148"/>
        <v>April</v>
      </c>
      <c r="E1208">
        <f t="shared" si="153"/>
        <v>17</v>
      </c>
      <c r="F1208">
        <f t="shared" si="154"/>
        <v>21</v>
      </c>
      <c r="G1208" t="str">
        <f t="shared" si="149"/>
        <v>Wednesday</v>
      </c>
      <c r="H1208" t="b">
        <f t="shared" si="150"/>
        <v>0</v>
      </c>
      <c r="I1208">
        <f t="shared" si="151"/>
        <v>111</v>
      </c>
      <c r="J1208" t="s">
        <v>25</v>
      </c>
      <c r="K1208">
        <v>20270421</v>
      </c>
    </row>
    <row r="1209" spans="1:11" x14ac:dyDescent="0.3">
      <c r="A1209" s="4">
        <v>46499</v>
      </c>
      <c r="B1209">
        <f t="shared" si="147"/>
        <v>2027</v>
      </c>
      <c r="C1209">
        <f t="shared" si="152"/>
        <v>4</v>
      </c>
      <c r="D1209" t="str">
        <f t="shared" si="148"/>
        <v>April</v>
      </c>
      <c r="E1209">
        <f t="shared" si="153"/>
        <v>17</v>
      </c>
      <c r="F1209">
        <f t="shared" si="154"/>
        <v>22</v>
      </c>
      <c r="G1209" t="str">
        <f t="shared" si="149"/>
        <v>Thursday</v>
      </c>
      <c r="H1209" t="b">
        <f t="shared" si="150"/>
        <v>0</v>
      </c>
      <c r="I1209">
        <f t="shared" si="151"/>
        <v>112</v>
      </c>
      <c r="J1209" t="s">
        <v>25</v>
      </c>
      <c r="K1209">
        <v>20270422</v>
      </c>
    </row>
    <row r="1210" spans="1:11" x14ac:dyDescent="0.3">
      <c r="A1210" s="4">
        <v>46500</v>
      </c>
      <c r="B1210">
        <f t="shared" si="147"/>
        <v>2027</v>
      </c>
      <c r="C1210">
        <f t="shared" si="152"/>
        <v>4</v>
      </c>
      <c r="D1210" t="str">
        <f t="shared" si="148"/>
        <v>April</v>
      </c>
      <c r="E1210">
        <f t="shared" si="153"/>
        <v>17</v>
      </c>
      <c r="F1210">
        <f t="shared" si="154"/>
        <v>23</v>
      </c>
      <c r="G1210" t="str">
        <f t="shared" si="149"/>
        <v>Friday</v>
      </c>
      <c r="H1210" t="b">
        <f t="shared" si="150"/>
        <v>0</v>
      </c>
      <c r="I1210">
        <f t="shared" si="151"/>
        <v>113</v>
      </c>
      <c r="J1210" t="s">
        <v>25</v>
      </c>
      <c r="K1210">
        <v>20270423</v>
      </c>
    </row>
    <row r="1211" spans="1:11" x14ac:dyDescent="0.3">
      <c r="A1211" s="4">
        <v>46501</v>
      </c>
      <c r="B1211">
        <f t="shared" si="147"/>
        <v>2027</v>
      </c>
      <c r="C1211">
        <f t="shared" si="152"/>
        <v>4</v>
      </c>
      <c r="D1211" t="str">
        <f t="shared" si="148"/>
        <v>April</v>
      </c>
      <c r="E1211">
        <f t="shared" si="153"/>
        <v>17</v>
      </c>
      <c r="F1211">
        <f t="shared" si="154"/>
        <v>24</v>
      </c>
      <c r="G1211" t="str">
        <f t="shared" si="149"/>
        <v>Saturday</v>
      </c>
      <c r="H1211" t="b">
        <f t="shared" si="150"/>
        <v>1</v>
      </c>
      <c r="I1211">
        <f t="shared" si="151"/>
        <v>114</v>
      </c>
      <c r="J1211" t="s">
        <v>25</v>
      </c>
      <c r="K1211">
        <v>20270424</v>
      </c>
    </row>
    <row r="1212" spans="1:11" x14ac:dyDescent="0.3">
      <c r="A1212" s="4">
        <v>46502</v>
      </c>
      <c r="B1212">
        <f t="shared" si="147"/>
        <v>2027</v>
      </c>
      <c r="C1212">
        <f t="shared" si="152"/>
        <v>4</v>
      </c>
      <c r="D1212" t="str">
        <f t="shared" si="148"/>
        <v>April</v>
      </c>
      <c r="E1212">
        <f t="shared" si="153"/>
        <v>18</v>
      </c>
      <c r="F1212">
        <f t="shared" si="154"/>
        <v>25</v>
      </c>
      <c r="G1212" t="str">
        <f t="shared" si="149"/>
        <v>Sunday</v>
      </c>
      <c r="H1212" t="b">
        <f t="shared" si="150"/>
        <v>1</v>
      </c>
      <c r="I1212">
        <f t="shared" si="151"/>
        <v>115</v>
      </c>
      <c r="J1212" t="s">
        <v>25</v>
      </c>
      <c r="K1212">
        <v>20270425</v>
      </c>
    </row>
    <row r="1213" spans="1:11" x14ac:dyDescent="0.3">
      <c r="A1213" s="4">
        <v>46503</v>
      </c>
      <c r="B1213">
        <f t="shared" si="147"/>
        <v>2027</v>
      </c>
      <c r="C1213">
        <f t="shared" si="152"/>
        <v>4</v>
      </c>
      <c r="D1213" t="str">
        <f t="shared" si="148"/>
        <v>April</v>
      </c>
      <c r="E1213">
        <f t="shared" si="153"/>
        <v>18</v>
      </c>
      <c r="F1213">
        <f t="shared" si="154"/>
        <v>26</v>
      </c>
      <c r="G1213" t="str">
        <f t="shared" si="149"/>
        <v>Monday</v>
      </c>
      <c r="H1213" t="b">
        <f t="shared" si="150"/>
        <v>0</v>
      </c>
      <c r="I1213">
        <f t="shared" si="151"/>
        <v>116</v>
      </c>
      <c r="J1213" t="s">
        <v>25</v>
      </c>
      <c r="K1213">
        <v>20270426</v>
      </c>
    </row>
    <row r="1214" spans="1:11" x14ac:dyDescent="0.3">
      <c r="A1214" s="4">
        <v>46504</v>
      </c>
      <c r="B1214">
        <f t="shared" si="147"/>
        <v>2027</v>
      </c>
      <c r="C1214">
        <f t="shared" si="152"/>
        <v>4</v>
      </c>
      <c r="D1214" t="str">
        <f t="shared" si="148"/>
        <v>April</v>
      </c>
      <c r="E1214">
        <f t="shared" si="153"/>
        <v>18</v>
      </c>
      <c r="F1214">
        <f t="shared" si="154"/>
        <v>27</v>
      </c>
      <c r="G1214" t="str">
        <f t="shared" si="149"/>
        <v>Tuesday</v>
      </c>
      <c r="H1214" t="b">
        <f t="shared" si="150"/>
        <v>0</v>
      </c>
      <c r="I1214">
        <f t="shared" si="151"/>
        <v>117</v>
      </c>
      <c r="J1214" t="s">
        <v>25</v>
      </c>
      <c r="K1214">
        <v>20270427</v>
      </c>
    </row>
    <row r="1215" spans="1:11" x14ac:dyDescent="0.3">
      <c r="A1215" s="4">
        <v>46505</v>
      </c>
      <c r="B1215">
        <f t="shared" si="147"/>
        <v>2027</v>
      </c>
      <c r="C1215">
        <f t="shared" si="152"/>
        <v>4</v>
      </c>
      <c r="D1215" t="str">
        <f t="shared" si="148"/>
        <v>April</v>
      </c>
      <c r="E1215">
        <f t="shared" si="153"/>
        <v>18</v>
      </c>
      <c r="F1215">
        <f t="shared" si="154"/>
        <v>28</v>
      </c>
      <c r="G1215" t="str">
        <f t="shared" si="149"/>
        <v>Wednesday</v>
      </c>
      <c r="H1215" t="b">
        <f t="shared" si="150"/>
        <v>0</v>
      </c>
      <c r="I1215">
        <f t="shared" si="151"/>
        <v>118</v>
      </c>
      <c r="J1215" t="s">
        <v>25</v>
      </c>
      <c r="K1215">
        <v>20270428</v>
      </c>
    </row>
    <row r="1216" spans="1:11" x14ac:dyDescent="0.3">
      <c r="A1216" s="4">
        <v>46506</v>
      </c>
      <c r="B1216">
        <f t="shared" si="147"/>
        <v>2027</v>
      </c>
      <c r="C1216">
        <f t="shared" si="152"/>
        <v>4</v>
      </c>
      <c r="D1216" t="str">
        <f t="shared" si="148"/>
        <v>April</v>
      </c>
      <c r="E1216">
        <f t="shared" si="153"/>
        <v>18</v>
      </c>
      <c r="F1216">
        <f t="shared" si="154"/>
        <v>29</v>
      </c>
      <c r="G1216" t="str">
        <f t="shared" si="149"/>
        <v>Thursday</v>
      </c>
      <c r="H1216" t="b">
        <f t="shared" si="150"/>
        <v>0</v>
      </c>
      <c r="I1216">
        <f t="shared" si="151"/>
        <v>119</v>
      </c>
      <c r="J1216" t="s">
        <v>25</v>
      </c>
      <c r="K1216">
        <v>20270429</v>
      </c>
    </row>
    <row r="1217" spans="1:11" x14ac:dyDescent="0.3">
      <c r="A1217" s="4">
        <v>46507</v>
      </c>
      <c r="B1217">
        <f t="shared" si="147"/>
        <v>2027</v>
      </c>
      <c r="C1217">
        <f t="shared" si="152"/>
        <v>4</v>
      </c>
      <c r="D1217" t="str">
        <f t="shared" si="148"/>
        <v>April</v>
      </c>
      <c r="E1217">
        <f t="shared" si="153"/>
        <v>18</v>
      </c>
      <c r="F1217">
        <f t="shared" si="154"/>
        <v>30</v>
      </c>
      <c r="G1217" t="str">
        <f t="shared" si="149"/>
        <v>Friday</v>
      </c>
      <c r="H1217" t="b">
        <f t="shared" si="150"/>
        <v>0</v>
      </c>
      <c r="I1217">
        <f t="shared" si="151"/>
        <v>120</v>
      </c>
      <c r="J1217" t="s">
        <v>25</v>
      </c>
      <c r="K1217">
        <v>20270430</v>
      </c>
    </row>
    <row r="1218" spans="1:11" x14ac:dyDescent="0.3">
      <c r="A1218" s="4">
        <v>46508</v>
      </c>
      <c r="B1218">
        <f t="shared" si="147"/>
        <v>2027</v>
      </c>
      <c r="C1218">
        <f t="shared" si="152"/>
        <v>5</v>
      </c>
      <c r="D1218" t="str">
        <f t="shared" si="148"/>
        <v>May</v>
      </c>
      <c r="E1218">
        <f t="shared" si="153"/>
        <v>18</v>
      </c>
      <c r="F1218">
        <f t="shared" si="154"/>
        <v>1</v>
      </c>
      <c r="G1218" t="str">
        <f t="shared" si="149"/>
        <v>Saturday</v>
      </c>
      <c r="H1218" t="b">
        <f t="shared" si="150"/>
        <v>1</v>
      </c>
      <c r="I1218">
        <f t="shared" si="151"/>
        <v>121</v>
      </c>
      <c r="J1218" t="s">
        <v>28</v>
      </c>
      <c r="K1218">
        <v>20270501</v>
      </c>
    </row>
    <row r="1219" spans="1:11" x14ac:dyDescent="0.3">
      <c r="A1219" s="4">
        <v>46509</v>
      </c>
      <c r="B1219">
        <f t="shared" ref="B1219:B1282" si="155">YEAR(A1219)</f>
        <v>2027</v>
      </c>
      <c r="C1219">
        <f t="shared" si="152"/>
        <v>5</v>
      </c>
      <c r="D1219" t="str">
        <f t="shared" ref="D1219:D1282" si="156">TEXT(A1219,"mmmm")</f>
        <v>May</v>
      </c>
      <c r="E1219">
        <f t="shared" si="153"/>
        <v>19</v>
      </c>
      <c r="F1219">
        <f t="shared" si="154"/>
        <v>2</v>
      </c>
      <c r="G1219" t="str">
        <f t="shared" ref="G1219:G1282" si="157">TEXT((A1219),"dddd")</f>
        <v>Sunday</v>
      </c>
      <c r="H1219" t="b">
        <f t="shared" ref="H1219:H1282" si="158">IF(OR(G1219="Saturday",G1219="Sunday"),TRUE,FALSE)</f>
        <v>1</v>
      </c>
      <c r="I1219">
        <f t="shared" ref="I1219:I1282" si="159">A1219-DATE(YEAR(A1219),1,1)+1</f>
        <v>122</v>
      </c>
      <c r="J1219" t="s">
        <v>28</v>
      </c>
      <c r="K1219">
        <v>20270502</v>
      </c>
    </row>
    <row r="1220" spans="1:11" x14ac:dyDescent="0.3">
      <c r="A1220" s="4">
        <v>46510</v>
      </c>
      <c r="B1220">
        <f t="shared" si="155"/>
        <v>2027</v>
      </c>
      <c r="C1220">
        <f t="shared" si="152"/>
        <v>5</v>
      </c>
      <c r="D1220" t="str">
        <f t="shared" si="156"/>
        <v>May</v>
      </c>
      <c r="E1220">
        <f t="shared" si="153"/>
        <v>19</v>
      </c>
      <c r="F1220">
        <f t="shared" si="154"/>
        <v>3</v>
      </c>
      <c r="G1220" t="str">
        <f t="shared" si="157"/>
        <v>Monday</v>
      </c>
      <c r="H1220" t="b">
        <f t="shared" si="158"/>
        <v>0</v>
      </c>
      <c r="I1220">
        <f t="shared" si="159"/>
        <v>123</v>
      </c>
      <c r="J1220" t="s">
        <v>28</v>
      </c>
      <c r="K1220">
        <v>20270503</v>
      </c>
    </row>
    <row r="1221" spans="1:11" x14ac:dyDescent="0.3">
      <c r="A1221" s="4">
        <v>46511</v>
      </c>
      <c r="B1221">
        <f t="shared" si="155"/>
        <v>2027</v>
      </c>
      <c r="C1221">
        <f t="shared" si="152"/>
        <v>5</v>
      </c>
      <c r="D1221" t="str">
        <f t="shared" si="156"/>
        <v>May</v>
      </c>
      <c r="E1221">
        <f t="shared" si="153"/>
        <v>19</v>
      </c>
      <c r="F1221">
        <f t="shared" si="154"/>
        <v>4</v>
      </c>
      <c r="G1221" t="str">
        <f t="shared" si="157"/>
        <v>Tuesday</v>
      </c>
      <c r="H1221" t="b">
        <f t="shared" si="158"/>
        <v>0</v>
      </c>
      <c r="I1221">
        <f t="shared" si="159"/>
        <v>124</v>
      </c>
      <c r="J1221" t="s">
        <v>28</v>
      </c>
      <c r="K1221">
        <v>20270504</v>
      </c>
    </row>
    <row r="1222" spans="1:11" x14ac:dyDescent="0.3">
      <c r="A1222" s="4">
        <v>46512</v>
      </c>
      <c r="B1222">
        <f t="shared" si="155"/>
        <v>2027</v>
      </c>
      <c r="C1222">
        <f t="shared" si="152"/>
        <v>5</v>
      </c>
      <c r="D1222" t="str">
        <f t="shared" si="156"/>
        <v>May</v>
      </c>
      <c r="E1222">
        <f t="shared" si="153"/>
        <v>19</v>
      </c>
      <c r="F1222">
        <f t="shared" si="154"/>
        <v>5</v>
      </c>
      <c r="G1222" t="str">
        <f t="shared" si="157"/>
        <v>Wednesday</v>
      </c>
      <c r="H1222" t="b">
        <f t="shared" si="158"/>
        <v>0</v>
      </c>
      <c r="I1222">
        <f t="shared" si="159"/>
        <v>125</v>
      </c>
      <c r="J1222" t="s">
        <v>28</v>
      </c>
      <c r="K1222">
        <v>20270505</v>
      </c>
    </row>
    <row r="1223" spans="1:11" x14ac:dyDescent="0.3">
      <c r="A1223" s="4">
        <v>46513</v>
      </c>
      <c r="B1223">
        <f t="shared" si="155"/>
        <v>2027</v>
      </c>
      <c r="C1223">
        <f t="shared" si="152"/>
        <v>5</v>
      </c>
      <c r="D1223" t="str">
        <f t="shared" si="156"/>
        <v>May</v>
      </c>
      <c r="E1223">
        <f t="shared" si="153"/>
        <v>19</v>
      </c>
      <c r="F1223">
        <f t="shared" si="154"/>
        <v>6</v>
      </c>
      <c r="G1223" t="str">
        <f t="shared" si="157"/>
        <v>Thursday</v>
      </c>
      <c r="H1223" t="b">
        <f t="shared" si="158"/>
        <v>0</v>
      </c>
      <c r="I1223">
        <f t="shared" si="159"/>
        <v>126</v>
      </c>
      <c r="J1223" t="s">
        <v>28</v>
      </c>
      <c r="K1223">
        <v>20270506</v>
      </c>
    </row>
    <row r="1224" spans="1:11" x14ac:dyDescent="0.3">
      <c r="A1224" s="4">
        <v>46514</v>
      </c>
      <c r="B1224">
        <f t="shared" si="155"/>
        <v>2027</v>
      </c>
      <c r="C1224">
        <f t="shared" si="152"/>
        <v>5</v>
      </c>
      <c r="D1224" t="str">
        <f t="shared" si="156"/>
        <v>May</v>
      </c>
      <c r="E1224">
        <f t="shared" si="153"/>
        <v>19</v>
      </c>
      <c r="F1224">
        <f t="shared" si="154"/>
        <v>7</v>
      </c>
      <c r="G1224" t="str">
        <f t="shared" si="157"/>
        <v>Friday</v>
      </c>
      <c r="H1224" t="b">
        <f t="shared" si="158"/>
        <v>0</v>
      </c>
      <c r="I1224">
        <f t="shared" si="159"/>
        <v>127</v>
      </c>
      <c r="J1224" t="s">
        <v>28</v>
      </c>
      <c r="K1224">
        <v>20270507</v>
      </c>
    </row>
    <row r="1225" spans="1:11" x14ac:dyDescent="0.3">
      <c r="A1225" s="4">
        <v>46515</v>
      </c>
      <c r="B1225">
        <f t="shared" si="155"/>
        <v>2027</v>
      </c>
      <c r="C1225">
        <f t="shared" si="152"/>
        <v>5</v>
      </c>
      <c r="D1225" t="str">
        <f t="shared" si="156"/>
        <v>May</v>
      </c>
      <c r="E1225">
        <f t="shared" si="153"/>
        <v>19</v>
      </c>
      <c r="F1225">
        <f t="shared" si="154"/>
        <v>8</v>
      </c>
      <c r="G1225" t="str">
        <f t="shared" si="157"/>
        <v>Saturday</v>
      </c>
      <c r="H1225" t="b">
        <f t="shared" si="158"/>
        <v>1</v>
      </c>
      <c r="I1225">
        <f t="shared" si="159"/>
        <v>128</v>
      </c>
      <c r="J1225" t="s">
        <v>28</v>
      </c>
      <c r="K1225">
        <v>20270508</v>
      </c>
    </row>
    <row r="1226" spans="1:11" x14ac:dyDescent="0.3">
      <c r="A1226" s="4">
        <v>46516</v>
      </c>
      <c r="B1226">
        <f t="shared" si="155"/>
        <v>2027</v>
      </c>
      <c r="C1226">
        <f t="shared" ref="C1226:C1289" si="160">MONTH(A1226)</f>
        <v>5</v>
      </c>
      <c r="D1226" t="str">
        <f t="shared" si="156"/>
        <v>May</v>
      </c>
      <c r="E1226">
        <f t="shared" ref="E1226:E1289" si="161">WEEKNUM(A1226)</f>
        <v>20</v>
      </c>
      <c r="F1226">
        <f t="shared" ref="F1226:F1289" si="162">DAY(A1226)</f>
        <v>9</v>
      </c>
      <c r="G1226" t="str">
        <f t="shared" si="157"/>
        <v>Sunday</v>
      </c>
      <c r="H1226" t="b">
        <f t="shared" si="158"/>
        <v>1</v>
      </c>
      <c r="I1226">
        <f t="shared" si="159"/>
        <v>129</v>
      </c>
      <c r="J1226" t="s">
        <v>28</v>
      </c>
      <c r="K1226">
        <v>20270509</v>
      </c>
    </row>
    <row r="1227" spans="1:11" x14ac:dyDescent="0.3">
      <c r="A1227" s="4">
        <v>46517</v>
      </c>
      <c r="B1227">
        <f t="shared" si="155"/>
        <v>2027</v>
      </c>
      <c r="C1227">
        <f t="shared" si="160"/>
        <v>5</v>
      </c>
      <c r="D1227" t="str">
        <f t="shared" si="156"/>
        <v>May</v>
      </c>
      <c r="E1227">
        <f t="shared" si="161"/>
        <v>20</v>
      </c>
      <c r="F1227">
        <f t="shared" si="162"/>
        <v>10</v>
      </c>
      <c r="G1227" t="str">
        <f t="shared" si="157"/>
        <v>Monday</v>
      </c>
      <c r="H1227" t="b">
        <f t="shared" si="158"/>
        <v>0</v>
      </c>
      <c r="I1227">
        <f t="shared" si="159"/>
        <v>130</v>
      </c>
      <c r="J1227" t="s">
        <v>28</v>
      </c>
      <c r="K1227">
        <v>20270510</v>
      </c>
    </row>
    <row r="1228" spans="1:11" x14ac:dyDescent="0.3">
      <c r="A1228" s="4">
        <v>46518</v>
      </c>
      <c r="B1228">
        <f t="shared" si="155"/>
        <v>2027</v>
      </c>
      <c r="C1228">
        <f t="shared" si="160"/>
        <v>5</v>
      </c>
      <c r="D1228" t="str">
        <f t="shared" si="156"/>
        <v>May</v>
      </c>
      <c r="E1228">
        <f t="shared" si="161"/>
        <v>20</v>
      </c>
      <c r="F1228">
        <f t="shared" si="162"/>
        <v>11</v>
      </c>
      <c r="G1228" t="str">
        <f t="shared" si="157"/>
        <v>Tuesday</v>
      </c>
      <c r="H1228" t="b">
        <f t="shared" si="158"/>
        <v>0</v>
      </c>
      <c r="I1228">
        <f t="shared" si="159"/>
        <v>131</v>
      </c>
      <c r="J1228" t="s">
        <v>28</v>
      </c>
      <c r="K1228">
        <v>20270511</v>
      </c>
    </row>
    <row r="1229" spans="1:11" x14ac:dyDescent="0.3">
      <c r="A1229" s="4">
        <v>46519</v>
      </c>
      <c r="B1229">
        <f t="shared" si="155"/>
        <v>2027</v>
      </c>
      <c r="C1229">
        <f t="shared" si="160"/>
        <v>5</v>
      </c>
      <c r="D1229" t="str">
        <f t="shared" si="156"/>
        <v>May</v>
      </c>
      <c r="E1229">
        <f t="shared" si="161"/>
        <v>20</v>
      </c>
      <c r="F1229">
        <f t="shared" si="162"/>
        <v>12</v>
      </c>
      <c r="G1229" t="str">
        <f t="shared" si="157"/>
        <v>Wednesday</v>
      </c>
      <c r="H1229" t="b">
        <f t="shared" si="158"/>
        <v>0</v>
      </c>
      <c r="I1229">
        <f t="shared" si="159"/>
        <v>132</v>
      </c>
      <c r="J1229" t="s">
        <v>28</v>
      </c>
      <c r="K1229">
        <v>20270512</v>
      </c>
    </row>
    <row r="1230" spans="1:11" x14ac:dyDescent="0.3">
      <c r="A1230" s="4">
        <v>46520</v>
      </c>
      <c r="B1230">
        <f t="shared" si="155"/>
        <v>2027</v>
      </c>
      <c r="C1230">
        <f t="shared" si="160"/>
        <v>5</v>
      </c>
      <c r="D1230" t="str">
        <f t="shared" si="156"/>
        <v>May</v>
      </c>
      <c r="E1230">
        <f t="shared" si="161"/>
        <v>20</v>
      </c>
      <c r="F1230">
        <f t="shared" si="162"/>
        <v>13</v>
      </c>
      <c r="G1230" t="str">
        <f t="shared" si="157"/>
        <v>Thursday</v>
      </c>
      <c r="H1230" t="b">
        <f t="shared" si="158"/>
        <v>0</v>
      </c>
      <c r="I1230">
        <f t="shared" si="159"/>
        <v>133</v>
      </c>
      <c r="J1230" t="s">
        <v>28</v>
      </c>
      <c r="K1230">
        <v>20270513</v>
      </c>
    </row>
    <row r="1231" spans="1:11" x14ac:dyDescent="0.3">
      <c r="A1231" s="4">
        <v>46521</v>
      </c>
      <c r="B1231">
        <f t="shared" si="155"/>
        <v>2027</v>
      </c>
      <c r="C1231">
        <f t="shared" si="160"/>
        <v>5</v>
      </c>
      <c r="D1231" t="str">
        <f t="shared" si="156"/>
        <v>May</v>
      </c>
      <c r="E1231">
        <f t="shared" si="161"/>
        <v>20</v>
      </c>
      <c r="F1231">
        <f t="shared" si="162"/>
        <v>14</v>
      </c>
      <c r="G1231" t="str">
        <f t="shared" si="157"/>
        <v>Friday</v>
      </c>
      <c r="H1231" t="b">
        <f t="shared" si="158"/>
        <v>0</v>
      </c>
      <c r="I1231">
        <f t="shared" si="159"/>
        <v>134</v>
      </c>
      <c r="J1231" t="s">
        <v>28</v>
      </c>
      <c r="K1231">
        <v>20270514</v>
      </c>
    </row>
    <row r="1232" spans="1:11" x14ac:dyDescent="0.3">
      <c r="A1232" s="4">
        <v>46522</v>
      </c>
      <c r="B1232">
        <f t="shared" si="155"/>
        <v>2027</v>
      </c>
      <c r="C1232">
        <f t="shared" si="160"/>
        <v>5</v>
      </c>
      <c r="D1232" t="str">
        <f t="shared" si="156"/>
        <v>May</v>
      </c>
      <c r="E1232">
        <f t="shared" si="161"/>
        <v>20</v>
      </c>
      <c r="F1232">
        <f t="shared" si="162"/>
        <v>15</v>
      </c>
      <c r="G1232" t="str">
        <f t="shared" si="157"/>
        <v>Saturday</v>
      </c>
      <c r="H1232" t="b">
        <f t="shared" si="158"/>
        <v>1</v>
      </c>
      <c r="I1232">
        <f t="shared" si="159"/>
        <v>135</v>
      </c>
      <c r="J1232" t="s">
        <v>28</v>
      </c>
      <c r="K1232">
        <v>20270515</v>
      </c>
    </row>
    <row r="1233" spans="1:11" x14ac:dyDescent="0.3">
      <c r="A1233" s="4">
        <v>46523</v>
      </c>
      <c r="B1233">
        <f t="shared" si="155"/>
        <v>2027</v>
      </c>
      <c r="C1233">
        <f t="shared" si="160"/>
        <v>5</v>
      </c>
      <c r="D1233" t="str">
        <f t="shared" si="156"/>
        <v>May</v>
      </c>
      <c r="E1233">
        <f t="shared" si="161"/>
        <v>21</v>
      </c>
      <c r="F1233">
        <f t="shared" si="162"/>
        <v>16</v>
      </c>
      <c r="G1233" t="str">
        <f t="shared" si="157"/>
        <v>Sunday</v>
      </c>
      <c r="H1233" t="b">
        <f t="shared" si="158"/>
        <v>1</v>
      </c>
      <c r="I1233">
        <f t="shared" si="159"/>
        <v>136</v>
      </c>
      <c r="J1233" t="s">
        <v>28</v>
      </c>
      <c r="K1233">
        <v>20270516</v>
      </c>
    </row>
    <row r="1234" spans="1:11" x14ac:dyDescent="0.3">
      <c r="A1234" s="4">
        <v>46524</v>
      </c>
      <c r="B1234">
        <f t="shared" si="155"/>
        <v>2027</v>
      </c>
      <c r="C1234">
        <f t="shared" si="160"/>
        <v>5</v>
      </c>
      <c r="D1234" t="str">
        <f t="shared" si="156"/>
        <v>May</v>
      </c>
      <c r="E1234">
        <f t="shared" si="161"/>
        <v>21</v>
      </c>
      <c r="F1234">
        <f t="shared" si="162"/>
        <v>17</v>
      </c>
      <c r="G1234" t="str">
        <f t="shared" si="157"/>
        <v>Monday</v>
      </c>
      <c r="H1234" t="b">
        <f t="shared" si="158"/>
        <v>0</v>
      </c>
      <c r="I1234">
        <f t="shared" si="159"/>
        <v>137</v>
      </c>
      <c r="J1234" t="s">
        <v>28</v>
      </c>
      <c r="K1234">
        <v>20270517</v>
      </c>
    </row>
    <row r="1235" spans="1:11" x14ac:dyDescent="0.3">
      <c r="A1235" s="4">
        <v>46525</v>
      </c>
      <c r="B1235">
        <f t="shared" si="155"/>
        <v>2027</v>
      </c>
      <c r="C1235">
        <f t="shared" si="160"/>
        <v>5</v>
      </c>
      <c r="D1235" t="str">
        <f t="shared" si="156"/>
        <v>May</v>
      </c>
      <c r="E1235">
        <f t="shared" si="161"/>
        <v>21</v>
      </c>
      <c r="F1235">
        <f t="shared" si="162"/>
        <v>18</v>
      </c>
      <c r="G1235" t="str">
        <f t="shared" si="157"/>
        <v>Tuesday</v>
      </c>
      <c r="H1235" t="b">
        <f t="shared" si="158"/>
        <v>0</v>
      </c>
      <c r="I1235">
        <f t="shared" si="159"/>
        <v>138</v>
      </c>
      <c r="J1235" t="s">
        <v>28</v>
      </c>
      <c r="K1235">
        <v>20270518</v>
      </c>
    </row>
    <row r="1236" spans="1:11" x14ac:dyDescent="0.3">
      <c r="A1236" s="4">
        <v>46526</v>
      </c>
      <c r="B1236">
        <f t="shared" si="155"/>
        <v>2027</v>
      </c>
      <c r="C1236">
        <f t="shared" si="160"/>
        <v>5</v>
      </c>
      <c r="D1236" t="str">
        <f t="shared" si="156"/>
        <v>May</v>
      </c>
      <c r="E1236">
        <f t="shared" si="161"/>
        <v>21</v>
      </c>
      <c r="F1236">
        <f t="shared" si="162"/>
        <v>19</v>
      </c>
      <c r="G1236" t="str">
        <f t="shared" si="157"/>
        <v>Wednesday</v>
      </c>
      <c r="H1236" t="b">
        <f t="shared" si="158"/>
        <v>0</v>
      </c>
      <c r="I1236">
        <f t="shared" si="159"/>
        <v>139</v>
      </c>
      <c r="J1236" t="s">
        <v>28</v>
      </c>
      <c r="K1236">
        <v>20270519</v>
      </c>
    </row>
    <row r="1237" spans="1:11" x14ac:dyDescent="0.3">
      <c r="A1237" s="4">
        <v>46527</v>
      </c>
      <c r="B1237">
        <f t="shared" si="155"/>
        <v>2027</v>
      </c>
      <c r="C1237">
        <f t="shared" si="160"/>
        <v>5</v>
      </c>
      <c r="D1237" t="str">
        <f t="shared" si="156"/>
        <v>May</v>
      </c>
      <c r="E1237">
        <f t="shared" si="161"/>
        <v>21</v>
      </c>
      <c r="F1237">
        <f t="shared" si="162"/>
        <v>20</v>
      </c>
      <c r="G1237" t="str">
        <f t="shared" si="157"/>
        <v>Thursday</v>
      </c>
      <c r="H1237" t="b">
        <f t="shared" si="158"/>
        <v>0</v>
      </c>
      <c r="I1237">
        <f t="shared" si="159"/>
        <v>140</v>
      </c>
      <c r="J1237" t="s">
        <v>28</v>
      </c>
      <c r="K1237">
        <v>20270520</v>
      </c>
    </row>
    <row r="1238" spans="1:11" x14ac:dyDescent="0.3">
      <c r="A1238" s="4">
        <v>46528</v>
      </c>
      <c r="B1238">
        <f t="shared" si="155"/>
        <v>2027</v>
      </c>
      <c r="C1238">
        <f t="shared" si="160"/>
        <v>5</v>
      </c>
      <c r="D1238" t="str">
        <f t="shared" si="156"/>
        <v>May</v>
      </c>
      <c r="E1238">
        <f t="shared" si="161"/>
        <v>21</v>
      </c>
      <c r="F1238">
        <f t="shared" si="162"/>
        <v>21</v>
      </c>
      <c r="G1238" t="str">
        <f t="shared" si="157"/>
        <v>Friday</v>
      </c>
      <c r="H1238" t="b">
        <f t="shared" si="158"/>
        <v>0</v>
      </c>
      <c r="I1238">
        <f t="shared" si="159"/>
        <v>141</v>
      </c>
      <c r="J1238" t="s">
        <v>28</v>
      </c>
      <c r="K1238">
        <v>20270521</v>
      </c>
    </row>
    <row r="1239" spans="1:11" x14ac:dyDescent="0.3">
      <c r="A1239" s="4">
        <v>46529</v>
      </c>
      <c r="B1239">
        <f t="shared" si="155"/>
        <v>2027</v>
      </c>
      <c r="C1239">
        <f t="shared" si="160"/>
        <v>5</v>
      </c>
      <c r="D1239" t="str">
        <f t="shared" si="156"/>
        <v>May</v>
      </c>
      <c r="E1239">
        <f t="shared" si="161"/>
        <v>21</v>
      </c>
      <c r="F1239">
        <f t="shared" si="162"/>
        <v>22</v>
      </c>
      <c r="G1239" t="str">
        <f t="shared" si="157"/>
        <v>Saturday</v>
      </c>
      <c r="H1239" t="b">
        <f t="shared" si="158"/>
        <v>1</v>
      </c>
      <c r="I1239">
        <f t="shared" si="159"/>
        <v>142</v>
      </c>
      <c r="J1239" t="s">
        <v>28</v>
      </c>
      <c r="K1239">
        <v>20270522</v>
      </c>
    </row>
    <row r="1240" spans="1:11" x14ac:dyDescent="0.3">
      <c r="A1240" s="4">
        <v>46530</v>
      </c>
      <c r="B1240">
        <f t="shared" si="155"/>
        <v>2027</v>
      </c>
      <c r="C1240">
        <f t="shared" si="160"/>
        <v>5</v>
      </c>
      <c r="D1240" t="str">
        <f t="shared" si="156"/>
        <v>May</v>
      </c>
      <c r="E1240">
        <f t="shared" si="161"/>
        <v>22</v>
      </c>
      <c r="F1240">
        <f t="shared" si="162"/>
        <v>23</v>
      </c>
      <c r="G1240" t="str">
        <f t="shared" si="157"/>
        <v>Sunday</v>
      </c>
      <c r="H1240" t="b">
        <f t="shared" si="158"/>
        <v>1</v>
      </c>
      <c r="I1240">
        <f t="shared" si="159"/>
        <v>143</v>
      </c>
      <c r="J1240" t="s">
        <v>28</v>
      </c>
      <c r="K1240">
        <v>20270523</v>
      </c>
    </row>
    <row r="1241" spans="1:11" x14ac:dyDescent="0.3">
      <c r="A1241" s="4">
        <v>46531</v>
      </c>
      <c r="B1241">
        <f t="shared" si="155"/>
        <v>2027</v>
      </c>
      <c r="C1241">
        <f t="shared" si="160"/>
        <v>5</v>
      </c>
      <c r="D1241" t="str">
        <f t="shared" si="156"/>
        <v>May</v>
      </c>
      <c r="E1241">
        <f t="shared" si="161"/>
        <v>22</v>
      </c>
      <c r="F1241">
        <f t="shared" si="162"/>
        <v>24</v>
      </c>
      <c r="G1241" t="str">
        <f t="shared" si="157"/>
        <v>Monday</v>
      </c>
      <c r="H1241" t="b">
        <f t="shared" si="158"/>
        <v>0</v>
      </c>
      <c r="I1241">
        <f t="shared" si="159"/>
        <v>144</v>
      </c>
      <c r="J1241" t="s">
        <v>28</v>
      </c>
      <c r="K1241">
        <v>20270524</v>
      </c>
    </row>
    <row r="1242" spans="1:11" x14ac:dyDescent="0.3">
      <c r="A1242" s="4">
        <v>46532</v>
      </c>
      <c r="B1242">
        <f t="shared" si="155"/>
        <v>2027</v>
      </c>
      <c r="C1242">
        <f t="shared" si="160"/>
        <v>5</v>
      </c>
      <c r="D1242" t="str">
        <f t="shared" si="156"/>
        <v>May</v>
      </c>
      <c r="E1242">
        <f t="shared" si="161"/>
        <v>22</v>
      </c>
      <c r="F1242">
        <f t="shared" si="162"/>
        <v>25</v>
      </c>
      <c r="G1242" t="str">
        <f t="shared" si="157"/>
        <v>Tuesday</v>
      </c>
      <c r="H1242" t="b">
        <f t="shared" si="158"/>
        <v>0</v>
      </c>
      <c r="I1242">
        <f t="shared" si="159"/>
        <v>145</v>
      </c>
      <c r="J1242" t="s">
        <v>28</v>
      </c>
      <c r="K1242">
        <v>20270525</v>
      </c>
    </row>
    <row r="1243" spans="1:11" x14ac:dyDescent="0.3">
      <c r="A1243" s="4">
        <v>46533</v>
      </c>
      <c r="B1243">
        <f t="shared" si="155"/>
        <v>2027</v>
      </c>
      <c r="C1243">
        <f t="shared" si="160"/>
        <v>5</v>
      </c>
      <c r="D1243" t="str">
        <f t="shared" si="156"/>
        <v>May</v>
      </c>
      <c r="E1243">
        <f t="shared" si="161"/>
        <v>22</v>
      </c>
      <c r="F1243">
        <f t="shared" si="162"/>
        <v>26</v>
      </c>
      <c r="G1243" t="str">
        <f t="shared" si="157"/>
        <v>Wednesday</v>
      </c>
      <c r="H1243" t="b">
        <f t="shared" si="158"/>
        <v>0</v>
      </c>
      <c r="I1243">
        <f t="shared" si="159"/>
        <v>146</v>
      </c>
      <c r="J1243" t="s">
        <v>28</v>
      </c>
      <c r="K1243">
        <v>20270526</v>
      </c>
    </row>
    <row r="1244" spans="1:11" x14ac:dyDescent="0.3">
      <c r="A1244" s="4">
        <v>46534</v>
      </c>
      <c r="B1244">
        <f t="shared" si="155"/>
        <v>2027</v>
      </c>
      <c r="C1244">
        <f t="shared" si="160"/>
        <v>5</v>
      </c>
      <c r="D1244" t="str">
        <f t="shared" si="156"/>
        <v>May</v>
      </c>
      <c r="E1244">
        <f t="shared" si="161"/>
        <v>22</v>
      </c>
      <c r="F1244">
        <f t="shared" si="162"/>
        <v>27</v>
      </c>
      <c r="G1244" t="str">
        <f t="shared" si="157"/>
        <v>Thursday</v>
      </c>
      <c r="H1244" t="b">
        <f t="shared" si="158"/>
        <v>0</v>
      </c>
      <c r="I1244">
        <f t="shared" si="159"/>
        <v>147</v>
      </c>
      <c r="J1244" t="s">
        <v>28</v>
      </c>
      <c r="K1244">
        <v>20270527</v>
      </c>
    </row>
    <row r="1245" spans="1:11" x14ac:dyDescent="0.3">
      <c r="A1245" s="4">
        <v>46535</v>
      </c>
      <c r="B1245">
        <f t="shared" si="155"/>
        <v>2027</v>
      </c>
      <c r="C1245">
        <f t="shared" si="160"/>
        <v>5</v>
      </c>
      <c r="D1245" t="str">
        <f t="shared" si="156"/>
        <v>May</v>
      </c>
      <c r="E1245">
        <f t="shared" si="161"/>
        <v>22</v>
      </c>
      <c r="F1245">
        <f t="shared" si="162"/>
        <v>28</v>
      </c>
      <c r="G1245" t="str">
        <f t="shared" si="157"/>
        <v>Friday</v>
      </c>
      <c r="H1245" t="b">
        <f t="shared" si="158"/>
        <v>0</v>
      </c>
      <c r="I1245">
        <f t="shared" si="159"/>
        <v>148</v>
      </c>
      <c r="J1245" t="s">
        <v>28</v>
      </c>
      <c r="K1245">
        <v>20270528</v>
      </c>
    </row>
    <row r="1246" spans="1:11" x14ac:dyDescent="0.3">
      <c r="A1246" s="4">
        <v>46536</v>
      </c>
      <c r="B1246">
        <f t="shared" si="155"/>
        <v>2027</v>
      </c>
      <c r="C1246">
        <f t="shared" si="160"/>
        <v>5</v>
      </c>
      <c r="D1246" t="str">
        <f t="shared" si="156"/>
        <v>May</v>
      </c>
      <c r="E1246">
        <f t="shared" si="161"/>
        <v>22</v>
      </c>
      <c r="F1246">
        <f t="shared" si="162"/>
        <v>29</v>
      </c>
      <c r="G1246" t="str">
        <f t="shared" si="157"/>
        <v>Saturday</v>
      </c>
      <c r="H1246" t="b">
        <f t="shared" si="158"/>
        <v>1</v>
      </c>
      <c r="I1246">
        <f t="shared" si="159"/>
        <v>149</v>
      </c>
      <c r="J1246" t="s">
        <v>28</v>
      </c>
      <c r="K1246">
        <v>20270529</v>
      </c>
    </row>
    <row r="1247" spans="1:11" x14ac:dyDescent="0.3">
      <c r="A1247" s="4">
        <v>46537</v>
      </c>
      <c r="B1247">
        <f t="shared" si="155"/>
        <v>2027</v>
      </c>
      <c r="C1247">
        <f t="shared" si="160"/>
        <v>5</v>
      </c>
      <c r="D1247" t="str">
        <f t="shared" si="156"/>
        <v>May</v>
      </c>
      <c r="E1247">
        <f t="shared" si="161"/>
        <v>23</v>
      </c>
      <c r="F1247">
        <f t="shared" si="162"/>
        <v>30</v>
      </c>
      <c r="G1247" t="str">
        <f t="shared" si="157"/>
        <v>Sunday</v>
      </c>
      <c r="H1247" t="b">
        <f t="shared" si="158"/>
        <v>1</v>
      </c>
      <c r="I1247">
        <f t="shared" si="159"/>
        <v>150</v>
      </c>
      <c r="J1247" t="s">
        <v>28</v>
      </c>
      <c r="K1247">
        <v>20270530</v>
      </c>
    </row>
    <row r="1248" spans="1:11" x14ac:dyDescent="0.3">
      <c r="A1248" s="4">
        <v>46538</v>
      </c>
      <c r="B1248">
        <f t="shared" si="155"/>
        <v>2027</v>
      </c>
      <c r="C1248">
        <f t="shared" si="160"/>
        <v>5</v>
      </c>
      <c r="D1248" t="str">
        <f t="shared" si="156"/>
        <v>May</v>
      </c>
      <c r="E1248">
        <f t="shared" si="161"/>
        <v>23</v>
      </c>
      <c r="F1248">
        <f t="shared" si="162"/>
        <v>31</v>
      </c>
      <c r="G1248" t="str">
        <f t="shared" si="157"/>
        <v>Monday</v>
      </c>
      <c r="H1248" t="b">
        <f t="shared" si="158"/>
        <v>0</v>
      </c>
      <c r="I1248">
        <f t="shared" si="159"/>
        <v>151</v>
      </c>
      <c r="J1248" t="s">
        <v>28</v>
      </c>
      <c r="K1248">
        <v>20270531</v>
      </c>
    </row>
    <row r="1249" spans="1:11" x14ac:dyDescent="0.3">
      <c r="A1249" s="4">
        <v>46539</v>
      </c>
      <c r="B1249">
        <f t="shared" si="155"/>
        <v>2027</v>
      </c>
      <c r="C1249">
        <f t="shared" si="160"/>
        <v>6</v>
      </c>
      <c r="D1249" t="str">
        <f t="shared" si="156"/>
        <v>June</v>
      </c>
      <c r="E1249">
        <f t="shared" si="161"/>
        <v>23</v>
      </c>
      <c r="F1249">
        <f t="shared" si="162"/>
        <v>1</v>
      </c>
      <c r="G1249" t="str">
        <f t="shared" si="157"/>
        <v>Tuesday</v>
      </c>
      <c r="H1249" t="b">
        <f t="shared" si="158"/>
        <v>0</v>
      </c>
      <c r="I1249">
        <f t="shared" si="159"/>
        <v>152</v>
      </c>
      <c r="J1249" t="s">
        <v>28</v>
      </c>
      <c r="K1249">
        <v>20270601</v>
      </c>
    </row>
    <row r="1250" spans="1:11" x14ac:dyDescent="0.3">
      <c r="A1250" s="4">
        <v>46540</v>
      </c>
      <c r="B1250">
        <f t="shared" si="155"/>
        <v>2027</v>
      </c>
      <c r="C1250">
        <f t="shared" si="160"/>
        <v>6</v>
      </c>
      <c r="D1250" t="str">
        <f t="shared" si="156"/>
        <v>June</v>
      </c>
      <c r="E1250">
        <f t="shared" si="161"/>
        <v>23</v>
      </c>
      <c r="F1250">
        <f t="shared" si="162"/>
        <v>2</v>
      </c>
      <c r="G1250" t="str">
        <f t="shared" si="157"/>
        <v>Wednesday</v>
      </c>
      <c r="H1250" t="b">
        <f t="shared" si="158"/>
        <v>0</v>
      </c>
      <c r="I1250">
        <f t="shared" si="159"/>
        <v>153</v>
      </c>
      <c r="J1250" t="s">
        <v>28</v>
      </c>
      <c r="K1250">
        <v>20270602</v>
      </c>
    </row>
    <row r="1251" spans="1:11" x14ac:dyDescent="0.3">
      <c r="A1251" s="4">
        <v>46541</v>
      </c>
      <c r="B1251">
        <f t="shared" si="155"/>
        <v>2027</v>
      </c>
      <c r="C1251">
        <f t="shared" si="160"/>
        <v>6</v>
      </c>
      <c r="D1251" t="str">
        <f t="shared" si="156"/>
        <v>June</v>
      </c>
      <c r="E1251">
        <f t="shared" si="161"/>
        <v>23</v>
      </c>
      <c r="F1251">
        <f t="shared" si="162"/>
        <v>3</v>
      </c>
      <c r="G1251" t="str">
        <f t="shared" si="157"/>
        <v>Thursday</v>
      </c>
      <c r="H1251" t="b">
        <f t="shared" si="158"/>
        <v>0</v>
      </c>
      <c r="I1251">
        <f t="shared" si="159"/>
        <v>154</v>
      </c>
      <c r="J1251" t="s">
        <v>28</v>
      </c>
      <c r="K1251">
        <v>20270603</v>
      </c>
    </row>
    <row r="1252" spans="1:11" x14ac:dyDescent="0.3">
      <c r="A1252" s="4">
        <v>46542</v>
      </c>
      <c r="B1252">
        <f t="shared" si="155"/>
        <v>2027</v>
      </c>
      <c r="C1252">
        <f t="shared" si="160"/>
        <v>6</v>
      </c>
      <c r="D1252" t="str">
        <f t="shared" si="156"/>
        <v>June</v>
      </c>
      <c r="E1252">
        <f t="shared" si="161"/>
        <v>23</v>
      </c>
      <c r="F1252">
        <f t="shared" si="162"/>
        <v>4</v>
      </c>
      <c r="G1252" t="str">
        <f t="shared" si="157"/>
        <v>Friday</v>
      </c>
      <c r="H1252" t="b">
        <f t="shared" si="158"/>
        <v>0</v>
      </c>
      <c r="I1252">
        <f t="shared" si="159"/>
        <v>155</v>
      </c>
      <c r="J1252" t="s">
        <v>28</v>
      </c>
      <c r="K1252">
        <v>20270604</v>
      </c>
    </row>
    <row r="1253" spans="1:11" x14ac:dyDescent="0.3">
      <c r="A1253" s="4">
        <v>46543</v>
      </c>
      <c r="B1253">
        <f t="shared" si="155"/>
        <v>2027</v>
      </c>
      <c r="C1253">
        <f t="shared" si="160"/>
        <v>6</v>
      </c>
      <c r="D1253" t="str">
        <f t="shared" si="156"/>
        <v>June</v>
      </c>
      <c r="E1253">
        <f t="shared" si="161"/>
        <v>23</v>
      </c>
      <c r="F1253">
        <f t="shared" si="162"/>
        <v>5</v>
      </c>
      <c r="G1253" t="str">
        <f t="shared" si="157"/>
        <v>Saturday</v>
      </c>
      <c r="H1253" t="b">
        <f t="shared" si="158"/>
        <v>1</v>
      </c>
      <c r="I1253">
        <f t="shared" si="159"/>
        <v>156</v>
      </c>
      <c r="J1253" t="s">
        <v>28</v>
      </c>
      <c r="K1253">
        <v>20270605</v>
      </c>
    </row>
    <row r="1254" spans="1:11" x14ac:dyDescent="0.3">
      <c r="A1254" s="4">
        <v>46544</v>
      </c>
      <c r="B1254">
        <f t="shared" si="155"/>
        <v>2027</v>
      </c>
      <c r="C1254">
        <f t="shared" si="160"/>
        <v>6</v>
      </c>
      <c r="D1254" t="str">
        <f t="shared" si="156"/>
        <v>June</v>
      </c>
      <c r="E1254">
        <f t="shared" si="161"/>
        <v>24</v>
      </c>
      <c r="F1254">
        <f t="shared" si="162"/>
        <v>6</v>
      </c>
      <c r="G1254" t="str">
        <f t="shared" si="157"/>
        <v>Sunday</v>
      </c>
      <c r="H1254" t="b">
        <f t="shared" si="158"/>
        <v>1</v>
      </c>
      <c r="I1254">
        <f t="shared" si="159"/>
        <v>157</v>
      </c>
      <c r="J1254" t="s">
        <v>28</v>
      </c>
      <c r="K1254">
        <v>20270606</v>
      </c>
    </row>
    <row r="1255" spans="1:11" x14ac:dyDescent="0.3">
      <c r="A1255" s="4">
        <v>46545</v>
      </c>
      <c r="B1255">
        <f t="shared" si="155"/>
        <v>2027</v>
      </c>
      <c r="C1255">
        <f t="shared" si="160"/>
        <v>6</v>
      </c>
      <c r="D1255" t="str">
        <f t="shared" si="156"/>
        <v>June</v>
      </c>
      <c r="E1255">
        <f t="shared" si="161"/>
        <v>24</v>
      </c>
      <c r="F1255">
        <f t="shared" si="162"/>
        <v>7</v>
      </c>
      <c r="G1255" t="str">
        <f t="shared" si="157"/>
        <v>Monday</v>
      </c>
      <c r="H1255" t="b">
        <f t="shared" si="158"/>
        <v>0</v>
      </c>
      <c r="I1255">
        <f t="shared" si="159"/>
        <v>158</v>
      </c>
      <c r="J1255" t="s">
        <v>28</v>
      </c>
      <c r="K1255">
        <v>20270607</v>
      </c>
    </row>
    <row r="1256" spans="1:11" x14ac:dyDescent="0.3">
      <c r="A1256" s="4">
        <v>46546</v>
      </c>
      <c r="B1256">
        <f t="shared" si="155"/>
        <v>2027</v>
      </c>
      <c r="C1256">
        <f t="shared" si="160"/>
        <v>6</v>
      </c>
      <c r="D1256" t="str">
        <f t="shared" si="156"/>
        <v>June</v>
      </c>
      <c r="E1256">
        <f t="shared" si="161"/>
        <v>24</v>
      </c>
      <c r="F1256">
        <f t="shared" si="162"/>
        <v>8</v>
      </c>
      <c r="G1256" t="str">
        <f t="shared" si="157"/>
        <v>Tuesday</v>
      </c>
      <c r="H1256" t="b">
        <f t="shared" si="158"/>
        <v>0</v>
      </c>
      <c r="I1256">
        <f t="shared" si="159"/>
        <v>159</v>
      </c>
      <c r="J1256" t="s">
        <v>28</v>
      </c>
      <c r="K1256">
        <v>20270608</v>
      </c>
    </row>
    <row r="1257" spans="1:11" x14ac:dyDescent="0.3">
      <c r="A1257" s="4">
        <v>46547</v>
      </c>
      <c r="B1257">
        <f t="shared" si="155"/>
        <v>2027</v>
      </c>
      <c r="C1257">
        <f t="shared" si="160"/>
        <v>6</v>
      </c>
      <c r="D1257" t="str">
        <f t="shared" si="156"/>
        <v>June</v>
      </c>
      <c r="E1257">
        <f t="shared" si="161"/>
        <v>24</v>
      </c>
      <c r="F1257">
        <f t="shared" si="162"/>
        <v>9</v>
      </c>
      <c r="G1257" t="str">
        <f t="shared" si="157"/>
        <v>Wednesday</v>
      </c>
      <c r="H1257" t="b">
        <f t="shared" si="158"/>
        <v>0</v>
      </c>
      <c r="I1257">
        <f t="shared" si="159"/>
        <v>160</v>
      </c>
      <c r="J1257" t="s">
        <v>28</v>
      </c>
      <c r="K1257">
        <v>20270609</v>
      </c>
    </row>
    <row r="1258" spans="1:11" x14ac:dyDescent="0.3">
      <c r="A1258" s="4">
        <v>46548</v>
      </c>
      <c r="B1258">
        <f t="shared" si="155"/>
        <v>2027</v>
      </c>
      <c r="C1258">
        <f t="shared" si="160"/>
        <v>6</v>
      </c>
      <c r="D1258" t="str">
        <f t="shared" si="156"/>
        <v>June</v>
      </c>
      <c r="E1258">
        <f t="shared" si="161"/>
        <v>24</v>
      </c>
      <c r="F1258">
        <f t="shared" si="162"/>
        <v>10</v>
      </c>
      <c r="G1258" t="str">
        <f t="shared" si="157"/>
        <v>Thursday</v>
      </c>
      <c r="H1258" t="b">
        <f t="shared" si="158"/>
        <v>0</v>
      </c>
      <c r="I1258">
        <f t="shared" si="159"/>
        <v>161</v>
      </c>
      <c r="J1258" t="s">
        <v>28</v>
      </c>
      <c r="K1258">
        <v>20270610</v>
      </c>
    </row>
    <row r="1259" spans="1:11" x14ac:dyDescent="0.3">
      <c r="A1259" s="4">
        <v>46549</v>
      </c>
      <c r="B1259">
        <f t="shared" si="155"/>
        <v>2027</v>
      </c>
      <c r="C1259">
        <f t="shared" si="160"/>
        <v>6</v>
      </c>
      <c r="D1259" t="str">
        <f t="shared" si="156"/>
        <v>June</v>
      </c>
      <c r="E1259">
        <f t="shared" si="161"/>
        <v>24</v>
      </c>
      <c r="F1259">
        <f t="shared" si="162"/>
        <v>11</v>
      </c>
      <c r="G1259" t="str">
        <f t="shared" si="157"/>
        <v>Friday</v>
      </c>
      <c r="H1259" t="b">
        <f t="shared" si="158"/>
        <v>0</v>
      </c>
      <c r="I1259">
        <f t="shared" si="159"/>
        <v>162</v>
      </c>
      <c r="J1259" t="s">
        <v>28</v>
      </c>
      <c r="K1259">
        <v>20270611</v>
      </c>
    </row>
    <row r="1260" spans="1:11" x14ac:dyDescent="0.3">
      <c r="A1260" s="4">
        <v>46550</v>
      </c>
      <c r="B1260">
        <f t="shared" si="155"/>
        <v>2027</v>
      </c>
      <c r="C1260">
        <f t="shared" si="160"/>
        <v>6</v>
      </c>
      <c r="D1260" t="str">
        <f t="shared" si="156"/>
        <v>June</v>
      </c>
      <c r="E1260">
        <f t="shared" si="161"/>
        <v>24</v>
      </c>
      <c r="F1260">
        <f t="shared" si="162"/>
        <v>12</v>
      </c>
      <c r="G1260" t="str">
        <f t="shared" si="157"/>
        <v>Saturday</v>
      </c>
      <c r="H1260" t="b">
        <f t="shared" si="158"/>
        <v>1</v>
      </c>
      <c r="I1260">
        <f t="shared" si="159"/>
        <v>163</v>
      </c>
      <c r="J1260" t="s">
        <v>28</v>
      </c>
      <c r="K1260">
        <v>20270612</v>
      </c>
    </row>
    <row r="1261" spans="1:11" x14ac:dyDescent="0.3">
      <c r="A1261" s="4">
        <v>46551</v>
      </c>
      <c r="B1261">
        <f t="shared" si="155"/>
        <v>2027</v>
      </c>
      <c r="C1261">
        <f t="shared" si="160"/>
        <v>6</v>
      </c>
      <c r="D1261" t="str">
        <f t="shared" si="156"/>
        <v>June</v>
      </c>
      <c r="E1261">
        <f t="shared" si="161"/>
        <v>25</v>
      </c>
      <c r="F1261">
        <f t="shared" si="162"/>
        <v>13</v>
      </c>
      <c r="G1261" t="str">
        <f t="shared" si="157"/>
        <v>Sunday</v>
      </c>
      <c r="H1261" t="b">
        <f t="shared" si="158"/>
        <v>1</v>
      </c>
      <c r="I1261">
        <f t="shared" si="159"/>
        <v>164</v>
      </c>
      <c r="J1261" t="s">
        <v>28</v>
      </c>
      <c r="K1261">
        <v>20270613</v>
      </c>
    </row>
    <row r="1262" spans="1:11" x14ac:dyDescent="0.3">
      <c r="A1262" s="4">
        <v>46552</v>
      </c>
      <c r="B1262">
        <f t="shared" si="155"/>
        <v>2027</v>
      </c>
      <c r="C1262">
        <f t="shared" si="160"/>
        <v>6</v>
      </c>
      <c r="D1262" t="str">
        <f t="shared" si="156"/>
        <v>June</v>
      </c>
      <c r="E1262">
        <f t="shared" si="161"/>
        <v>25</v>
      </c>
      <c r="F1262">
        <f t="shared" si="162"/>
        <v>14</v>
      </c>
      <c r="G1262" t="str">
        <f t="shared" si="157"/>
        <v>Monday</v>
      </c>
      <c r="H1262" t="b">
        <f t="shared" si="158"/>
        <v>0</v>
      </c>
      <c r="I1262">
        <f t="shared" si="159"/>
        <v>165</v>
      </c>
      <c r="J1262" t="s">
        <v>28</v>
      </c>
      <c r="K1262">
        <v>20270614</v>
      </c>
    </row>
    <row r="1263" spans="1:11" x14ac:dyDescent="0.3">
      <c r="A1263" s="4">
        <v>46553</v>
      </c>
      <c r="B1263">
        <f t="shared" si="155"/>
        <v>2027</v>
      </c>
      <c r="C1263">
        <f t="shared" si="160"/>
        <v>6</v>
      </c>
      <c r="D1263" t="str">
        <f t="shared" si="156"/>
        <v>June</v>
      </c>
      <c r="E1263">
        <f t="shared" si="161"/>
        <v>25</v>
      </c>
      <c r="F1263">
        <f t="shared" si="162"/>
        <v>15</v>
      </c>
      <c r="G1263" t="str">
        <f t="shared" si="157"/>
        <v>Tuesday</v>
      </c>
      <c r="H1263" t="b">
        <f t="shared" si="158"/>
        <v>0</v>
      </c>
      <c r="I1263">
        <f t="shared" si="159"/>
        <v>166</v>
      </c>
      <c r="J1263" t="s">
        <v>28</v>
      </c>
      <c r="K1263">
        <v>20270615</v>
      </c>
    </row>
    <row r="1264" spans="1:11" x14ac:dyDescent="0.3">
      <c r="A1264" s="4">
        <v>46554</v>
      </c>
      <c r="B1264">
        <f t="shared" si="155"/>
        <v>2027</v>
      </c>
      <c r="C1264">
        <f t="shared" si="160"/>
        <v>6</v>
      </c>
      <c r="D1264" t="str">
        <f t="shared" si="156"/>
        <v>June</v>
      </c>
      <c r="E1264">
        <f t="shared" si="161"/>
        <v>25</v>
      </c>
      <c r="F1264">
        <f t="shared" si="162"/>
        <v>16</v>
      </c>
      <c r="G1264" t="str">
        <f t="shared" si="157"/>
        <v>Wednesday</v>
      </c>
      <c r="H1264" t="b">
        <f t="shared" si="158"/>
        <v>0</v>
      </c>
      <c r="I1264">
        <f t="shared" si="159"/>
        <v>167</v>
      </c>
      <c r="J1264" t="s">
        <v>28</v>
      </c>
      <c r="K1264">
        <v>20270616</v>
      </c>
    </row>
    <row r="1265" spans="1:11" x14ac:dyDescent="0.3">
      <c r="A1265" s="4">
        <v>46555</v>
      </c>
      <c r="B1265">
        <f t="shared" si="155"/>
        <v>2027</v>
      </c>
      <c r="C1265">
        <f t="shared" si="160"/>
        <v>6</v>
      </c>
      <c r="D1265" t="str">
        <f t="shared" si="156"/>
        <v>June</v>
      </c>
      <c r="E1265">
        <f t="shared" si="161"/>
        <v>25</v>
      </c>
      <c r="F1265">
        <f t="shared" si="162"/>
        <v>17</v>
      </c>
      <c r="G1265" t="str">
        <f t="shared" si="157"/>
        <v>Thursday</v>
      </c>
      <c r="H1265" t="b">
        <f t="shared" si="158"/>
        <v>0</v>
      </c>
      <c r="I1265">
        <f t="shared" si="159"/>
        <v>168</v>
      </c>
      <c r="J1265" t="s">
        <v>28</v>
      </c>
      <c r="K1265">
        <v>20270617</v>
      </c>
    </row>
    <row r="1266" spans="1:11" x14ac:dyDescent="0.3">
      <c r="A1266" s="4">
        <v>46556</v>
      </c>
      <c r="B1266">
        <f t="shared" si="155"/>
        <v>2027</v>
      </c>
      <c r="C1266">
        <f t="shared" si="160"/>
        <v>6</v>
      </c>
      <c r="D1266" t="str">
        <f t="shared" si="156"/>
        <v>June</v>
      </c>
      <c r="E1266">
        <f t="shared" si="161"/>
        <v>25</v>
      </c>
      <c r="F1266">
        <f t="shared" si="162"/>
        <v>18</v>
      </c>
      <c r="G1266" t="str">
        <f t="shared" si="157"/>
        <v>Friday</v>
      </c>
      <c r="H1266" t="b">
        <f t="shared" si="158"/>
        <v>0</v>
      </c>
      <c r="I1266">
        <f t="shared" si="159"/>
        <v>169</v>
      </c>
      <c r="J1266" t="s">
        <v>28</v>
      </c>
      <c r="K1266">
        <v>20270618</v>
      </c>
    </row>
    <row r="1267" spans="1:11" x14ac:dyDescent="0.3">
      <c r="A1267" s="4">
        <v>46557</v>
      </c>
      <c r="B1267">
        <f t="shared" si="155"/>
        <v>2027</v>
      </c>
      <c r="C1267">
        <f t="shared" si="160"/>
        <v>6</v>
      </c>
      <c r="D1267" t="str">
        <f t="shared" si="156"/>
        <v>June</v>
      </c>
      <c r="E1267">
        <f t="shared" si="161"/>
        <v>25</v>
      </c>
      <c r="F1267">
        <f t="shared" si="162"/>
        <v>19</v>
      </c>
      <c r="G1267" t="str">
        <f t="shared" si="157"/>
        <v>Saturday</v>
      </c>
      <c r="H1267" t="b">
        <f t="shared" si="158"/>
        <v>1</v>
      </c>
      <c r="I1267">
        <f t="shared" si="159"/>
        <v>170</v>
      </c>
      <c r="J1267" t="s">
        <v>28</v>
      </c>
      <c r="K1267">
        <v>20270619</v>
      </c>
    </row>
    <row r="1268" spans="1:11" x14ac:dyDescent="0.3">
      <c r="A1268" s="4">
        <v>46558</v>
      </c>
      <c r="B1268">
        <f t="shared" si="155"/>
        <v>2027</v>
      </c>
      <c r="C1268">
        <f t="shared" si="160"/>
        <v>6</v>
      </c>
      <c r="D1268" t="str">
        <f t="shared" si="156"/>
        <v>June</v>
      </c>
      <c r="E1268">
        <f t="shared" si="161"/>
        <v>26</v>
      </c>
      <c r="F1268">
        <f t="shared" si="162"/>
        <v>20</v>
      </c>
      <c r="G1268" t="str">
        <f t="shared" si="157"/>
        <v>Sunday</v>
      </c>
      <c r="H1268" t="b">
        <f t="shared" si="158"/>
        <v>1</v>
      </c>
      <c r="I1268">
        <f t="shared" si="159"/>
        <v>171</v>
      </c>
      <c r="J1268" t="s">
        <v>28</v>
      </c>
      <c r="K1268">
        <v>20270620</v>
      </c>
    </row>
    <row r="1269" spans="1:11" x14ac:dyDescent="0.3">
      <c r="A1269" s="4">
        <v>46559</v>
      </c>
      <c r="B1269">
        <f t="shared" si="155"/>
        <v>2027</v>
      </c>
      <c r="C1269">
        <f t="shared" si="160"/>
        <v>6</v>
      </c>
      <c r="D1269" t="str">
        <f t="shared" si="156"/>
        <v>June</v>
      </c>
      <c r="E1269">
        <f t="shared" si="161"/>
        <v>26</v>
      </c>
      <c r="F1269">
        <f t="shared" si="162"/>
        <v>21</v>
      </c>
      <c r="G1269" t="str">
        <f t="shared" si="157"/>
        <v>Monday</v>
      </c>
      <c r="H1269" t="b">
        <f t="shared" si="158"/>
        <v>0</v>
      </c>
      <c r="I1269">
        <f t="shared" si="159"/>
        <v>172</v>
      </c>
      <c r="J1269" t="s">
        <v>28</v>
      </c>
      <c r="K1269">
        <v>20270621</v>
      </c>
    </row>
    <row r="1270" spans="1:11" x14ac:dyDescent="0.3">
      <c r="A1270" s="4">
        <v>46560</v>
      </c>
      <c r="B1270">
        <f t="shared" si="155"/>
        <v>2027</v>
      </c>
      <c r="C1270">
        <f t="shared" si="160"/>
        <v>6</v>
      </c>
      <c r="D1270" t="str">
        <f t="shared" si="156"/>
        <v>June</v>
      </c>
      <c r="E1270">
        <f t="shared" si="161"/>
        <v>26</v>
      </c>
      <c r="F1270">
        <f t="shared" si="162"/>
        <v>22</v>
      </c>
      <c r="G1270" t="str">
        <f t="shared" si="157"/>
        <v>Tuesday</v>
      </c>
      <c r="H1270" t="b">
        <f t="shared" si="158"/>
        <v>0</v>
      </c>
      <c r="I1270">
        <f t="shared" si="159"/>
        <v>173</v>
      </c>
      <c r="J1270" t="s">
        <v>28</v>
      </c>
      <c r="K1270">
        <v>20270622</v>
      </c>
    </row>
    <row r="1271" spans="1:11" x14ac:dyDescent="0.3">
      <c r="A1271" s="4">
        <v>46561</v>
      </c>
      <c r="B1271">
        <f t="shared" si="155"/>
        <v>2027</v>
      </c>
      <c r="C1271">
        <f t="shared" si="160"/>
        <v>6</v>
      </c>
      <c r="D1271" t="str">
        <f t="shared" si="156"/>
        <v>June</v>
      </c>
      <c r="E1271">
        <f t="shared" si="161"/>
        <v>26</v>
      </c>
      <c r="F1271">
        <f t="shared" si="162"/>
        <v>23</v>
      </c>
      <c r="G1271" t="str">
        <f t="shared" si="157"/>
        <v>Wednesday</v>
      </c>
      <c r="H1271" t="b">
        <f t="shared" si="158"/>
        <v>0</v>
      </c>
      <c r="I1271">
        <f t="shared" si="159"/>
        <v>174</v>
      </c>
      <c r="J1271" t="s">
        <v>28</v>
      </c>
      <c r="K1271">
        <v>20270623</v>
      </c>
    </row>
    <row r="1272" spans="1:11" x14ac:dyDescent="0.3">
      <c r="A1272" s="4">
        <v>46562</v>
      </c>
      <c r="B1272">
        <f t="shared" si="155"/>
        <v>2027</v>
      </c>
      <c r="C1272">
        <f t="shared" si="160"/>
        <v>6</v>
      </c>
      <c r="D1272" t="str">
        <f t="shared" si="156"/>
        <v>June</v>
      </c>
      <c r="E1272">
        <f t="shared" si="161"/>
        <v>26</v>
      </c>
      <c r="F1272">
        <f t="shared" si="162"/>
        <v>24</v>
      </c>
      <c r="G1272" t="str">
        <f t="shared" si="157"/>
        <v>Thursday</v>
      </c>
      <c r="H1272" t="b">
        <f t="shared" si="158"/>
        <v>0</v>
      </c>
      <c r="I1272">
        <f t="shared" si="159"/>
        <v>175</v>
      </c>
      <c r="J1272" t="s">
        <v>28</v>
      </c>
      <c r="K1272">
        <v>20270624</v>
      </c>
    </row>
    <row r="1273" spans="1:11" x14ac:dyDescent="0.3">
      <c r="A1273" s="4">
        <v>46563</v>
      </c>
      <c r="B1273">
        <f t="shared" si="155"/>
        <v>2027</v>
      </c>
      <c r="C1273">
        <f t="shared" si="160"/>
        <v>6</v>
      </c>
      <c r="D1273" t="str">
        <f t="shared" si="156"/>
        <v>June</v>
      </c>
      <c r="E1273">
        <f t="shared" si="161"/>
        <v>26</v>
      </c>
      <c r="F1273">
        <f t="shared" si="162"/>
        <v>25</v>
      </c>
      <c r="G1273" t="str">
        <f t="shared" si="157"/>
        <v>Friday</v>
      </c>
      <c r="H1273" t="b">
        <f t="shared" si="158"/>
        <v>0</v>
      </c>
      <c r="I1273">
        <f t="shared" si="159"/>
        <v>176</v>
      </c>
      <c r="J1273" t="s">
        <v>28</v>
      </c>
      <c r="K1273">
        <v>20270625</v>
      </c>
    </row>
    <row r="1274" spans="1:11" x14ac:dyDescent="0.3">
      <c r="A1274" s="4">
        <v>46564</v>
      </c>
      <c r="B1274">
        <f t="shared" si="155"/>
        <v>2027</v>
      </c>
      <c r="C1274">
        <f t="shared" si="160"/>
        <v>6</v>
      </c>
      <c r="D1274" t="str">
        <f t="shared" si="156"/>
        <v>June</v>
      </c>
      <c r="E1274">
        <f t="shared" si="161"/>
        <v>26</v>
      </c>
      <c r="F1274">
        <f t="shared" si="162"/>
        <v>26</v>
      </c>
      <c r="G1274" t="str">
        <f t="shared" si="157"/>
        <v>Saturday</v>
      </c>
      <c r="H1274" t="b">
        <f t="shared" si="158"/>
        <v>1</v>
      </c>
      <c r="I1274">
        <f t="shared" si="159"/>
        <v>177</v>
      </c>
      <c r="J1274" t="s">
        <v>28</v>
      </c>
      <c r="K1274">
        <v>20270626</v>
      </c>
    </row>
    <row r="1275" spans="1:11" x14ac:dyDescent="0.3">
      <c r="A1275" s="4">
        <v>46565</v>
      </c>
      <c r="B1275">
        <f t="shared" si="155"/>
        <v>2027</v>
      </c>
      <c r="C1275">
        <f t="shared" si="160"/>
        <v>6</v>
      </c>
      <c r="D1275" t="str">
        <f t="shared" si="156"/>
        <v>June</v>
      </c>
      <c r="E1275">
        <f t="shared" si="161"/>
        <v>27</v>
      </c>
      <c r="F1275">
        <f t="shared" si="162"/>
        <v>27</v>
      </c>
      <c r="G1275" t="str">
        <f t="shared" si="157"/>
        <v>Sunday</v>
      </c>
      <c r="H1275" t="b">
        <f t="shared" si="158"/>
        <v>1</v>
      </c>
      <c r="I1275">
        <f t="shared" si="159"/>
        <v>178</v>
      </c>
      <c r="J1275" t="s">
        <v>28</v>
      </c>
      <c r="K1275">
        <v>20270627</v>
      </c>
    </row>
    <row r="1276" spans="1:11" x14ac:dyDescent="0.3">
      <c r="A1276" s="4">
        <v>46566</v>
      </c>
      <c r="B1276">
        <f t="shared" si="155"/>
        <v>2027</v>
      </c>
      <c r="C1276">
        <f t="shared" si="160"/>
        <v>6</v>
      </c>
      <c r="D1276" t="str">
        <f t="shared" si="156"/>
        <v>June</v>
      </c>
      <c r="E1276">
        <f t="shared" si="161"/>
        <v>27</v>
      </c>
      <c r="F1276">
        <f t="shared" si="162"/>
        <v>28</v>
      </c>
      <c r="G1276" t="str">
        <f t="shared" si="157"/>
        <v>Monday</v>
      </c>
      <c r="H1276" t="b">
        <f t="shared" si="158"/>
        <v>0</v>
      </c>
      <c r="I1276">
        <f t="shared" si="159"/>
        <v>179</v>
      </c>
      <c r="J1276" t="s">
        <v>28</v>
      </c>
      <c r="K1276">
        <v>20270628</v>
      </c>
    </row>
    <row r="1277" spans="1:11" x14ac:dyDescent="0.3">
      <c r="A1277" s="4">
        <v>46567</v>
      </c>
      <c r="B1277">
        <f t="shared" si="155"/>
        <v>2027</v>
      </c>
      <c r="C1277">
        <f t="shared" si="160"/>
        <v>6</v>
      </c>
      <c r="D1277" t="str">
        <f t="shared" si="156"/>
        <v>June</v>
      </c>
      <c r="E1277">
        <f t="shared" si="161"/>
        <v>27</v>
      </c>
      <c r="F1277">
        <f t="shared" si="162"/>
        <v>29</v>
      </c>
      <c r="G1277" t="str">
        <f t="shared" si="157"/>
        <v>Tuesday</v>
      </c>
      <c r="H1277" t="b">
        <f t="shared" si="158"/>
        <v>0</v>
      </c>
      <c r="I1277">
        <f t="shared" si="159"/>
        <v>180</v>
      </c>
      <c r="J1277" t="s">
        <v>28</v>
      </c>
      <c r="K1277">
        <v>20270629</v>
      </c>
    </row>
    <row r="1278" spans="1:11" x14ac:dyDescent="0.3">
      <c r="A1278" s="4">
        <v>46568</v>
      </c>
      <c r="B1278">
        <f t="shared" si="155"/>
        <v>2027</v>
      </c>
      <c r="C1278">
        <f t="shared" si="160"/>
        <v>6</v>
      </c>
      <c r="D1278" t="str">
        <f t="shared" si="156"/>
        <v>June</v>
      </c>
      <c r="E1278">
        <f t="shared" si="161"/>
        <v>27</v>
      </c>
      <c r="F1278">
        <f t="shared" si="162"/>
        <v>30</v>
      </c>
      <c r="G1278" t="str">
        <f t="shared" si="157"/>
        <v>Wednesday</v>
      </c>
      <c r="H1278" t="b">
        <f t="shared" si="158"/>
        <v>0</v>
      </c>
      <c r="I1278">
        <f t="shared" si="159"/>
        <v>181</v>
      </c>
      <c r="J1278" t="s">
        <v>28</v>
      </c>
      <c r="K1278">
        <v>20270630</v>
      </c>
    </row>
    <row r="1279" spans="1:11" x14ac:dyDescent="0.3">
      <c r="A1279" s="4">
        <v>46569</v>
      </c>
      <c r="B1279">
        <f t="shared" si="155"/>
        <v>2027</v>
      </c>
      <c r="C1279">
        <f t="shared" si="160"/>
        <v>7</v>
      </c>
      <c r="D1279" t="str">
        <f t="shared" si="156"/>
        <v>July</v>
      </c>
      <c r="E1279">
        <f t="shared" si="161"/>
        <v>27</v>
      </c>
      <c r="F1279">
        <f t="shared" si="162"/>
        <v>1</v>
      </c>
      <c r="G1279" t="str">
        <f t="shared" si="157"/>
        <v>Thursday</v>
      </c>
      <c r="H1279" t="b">
        <f t="shared" si="158"/>
        <v>0</v>
      </c>
      <c r="I1279">
        <f t="shared" si="159"/>
        <v>182</v>
      </c>
      <c r="J1279" t="s">
        <v>28</v>
      </c>
      <c r="K1279">
        <v>20270701</v>
      </c>
    </row>
    <row r="1280" spans="1:11" x14ac:dyDescent="0.3">
      <c r="A1280" s="4">
        <v>46570</v>
      </c>
      <c r="B1280">
        <f t="shared" si="155"/>
        <v>2027</v>
      </c>
      <c r="C1280">
        <f t="shared" si="160"/>
        <v>7</v>
      </c>
      <c r="D1280" t="str">
        <f t="shared" si="156"/>
        <v>July</v>
      </c>
      <c r="E1280">
        <f t="shared" si="161"/>
        <v>27</v>
      </c>
      <c r="F1280">
        <f t="shared" si="162"/>
        <v>2</v>
      </c>
      <c r="G1280" t="str">
        <f t="shared" si="157"/>
        <v>Friday</v>
      </c>
      <c r="H1280" t="b">
        <f t="shared" si="158"/>
        <v>0</v>
      </c>
      <c r="I1280">
        <f t="shared" si="159"/>
        <v>183</v>
      </c>
      <c r="J1280" t="s">
        <v>28</v>
      </c>
      <c r="K1280">
        <v>20270702</v>
      </c>
    </row>
    <row r="1281" spans="1:11" x14ac:dyDescent="0.3">
      <c r="A1281" s="4">
        <v>46571</v>
      </c>
      <c r="B1281">
        <f t="shared" si="155"/>
        <v>2027</v>
      </c>
      <c r="C1281">
        <f t="shared" si="160"/>
        <v>7</v>
      </c>
      <c r="D1281" t="str">
        <f t="shared" si="156"/>
        <v>July</v>
      </c>
      <c r="E1281">
        <f t="shared" si="161"/>
        <v>27</v>
      </c>
      <c r="F1281">
        <f t="shared" si="162"/>
        <v>3</v>
      </c>
      <c r="G1281" t="str">
        <f t="shared" si="157"/>
        <v>Saturday</v>
      </c>
      <c r="H1281" t="b">
        <f t="shared" si="158"/>
        <v>1</v>
      </c>
      <c r="I1281">
        <f t="shared" si="159"/>
        <v>184</v>
      </c>
      <c r="J1281" t="s">
        <v>28</v>
      </c>
      <c r="K1281">
        <v>20270703</v>
      </c>
    </row>
    <row r="1282" spans="1:11" x14ac:dyDescent="0.3">
      <c r="A1282" s="4">
        <v>46572</v>
      </c>
      <c r="B1282">
        <f t="shared" si="155"/>
        <v>2027</v>
      </c>
      <c r="C1282">
        <f t="shared" si="160"/>
        <v>7</v>
      </c>
      <c r="D1282" t="str">
        <f t="shared" si="156"/>
        <v>July</v>
      </c>
      <c r="E1282">
        <f t="shared" si="161"/>
        <v>28</v>
      </c>
      <c r="F1282">
        <f t="shared" si="162"/>
        <v>4</v>
      </c>
      <c r="G1282" t="str">
        <f t="shared" si="157"/>
        <v>Sunday</v>
      </c>
      <c r="H1282" t="b">
        <f t="shared" si="158"/>
        <v>1</v>
      </c>
      <c r="I1282">
        <f t="shared" si="159"/>
        <v>185</v>
      </c>
      <c r="J1282" t="s">
        <v>28</v>
      </c>
      <c r="K1282">
        <v>20270704</v>
      </c>
    </row>
    <row r="1283" spans="1:11" x14ac:dyDescent="0.3">
      <c r="A1283" s="4">
        <v>46573</v>
      </c>
      <c r="B1283">
        <f t="shared" ref="B1283:B1346" si="163">YEAR(A1283)</f>
        <v>2027</v>
      </c>
      <c r="C1283">
        <f t="shared" si="160"/>
        <v>7</v>
      </c>
      <c r="D1283" t="str">
        <f t="shared" ref="D1283:D1346" si="164">TEXT(A1283,"mmmm")</f>
        <v>July</v>
      </c>
      <c r="E1283">
        <f t="shared" si="161"/>
        <v>28</v>
      </c>
      <c r="F1283">
        <f t="shared" si="162"/>
        <v>5</v>
      </c>
      <c r="G1283" t="str">
        <f t="shared" ref="G1283:G1346" si="165">TEXT((A1283),"dddd")</f>
        <v>Monday</v>
      </c>
      <c r="H1283" t="b">
        <f t="shared" ref="H1283:H1346" si="166">IF(OR(G1283="Saturday",G1283="Sunday"),TRUE,FALSE)</f>
        <v>0</v>
      </c>
      <c r="I1283">
        <f t="shared" ref="I1283:I1346" si="167">A1283-DATE(YEAR(A1283),1,1)+1</f>
        <v>186</v>
      </c>
      <c r="J1283" t="s">
        <v>28</v>
      </c>
      <c r="K1283">
        <v>20270705</v>
      </c>
    </row>
    <row r="1284" spans="1:11" x14ac:dyDescent="0.3">
      <c r="A1284" s="4">
        <v>46574</v>
      </c>
      <c r="B1284">
        <f t="shared" si="163"/>
        <v>2027</v>
      </c>
      <c r="C1284">
        <f t="shared" si="160"/>
        <v>7</v>
      </c>
      <c r="D1284" t="str">
        <f t="shared" si="164"/>
        <v>July</v>
      </c>
      <c r="E1284">
        <f t="shared" si="161"/>
        <v>28</v>
      </c>
      <c r="F1284">
        <f t="shared" si="162"/>
        <v>6</v>
      </c>
      <c r="G1284" t="str">
        <f t="shared" si="165"/>
        <v>Tuesday</v>
      </c>
      <c r="H1284" t="b">
        <f t="shared" si="166"/>
        <v>0</v>
      </c>
      <c r="I1284">
        <f t="shared" si="167"/>
        <v>187</v>
      </c>
      <c r="J1284" t="s">
        <v>28</v>
      </c>
      <c r="K1284">
        <v>20270706</v>
      </c>
    </row>
    <row r="1285" spans="1:11" x14ac:dyDescent="0.3">
      <c r="A1285" s="4">
        <v>46575</v>
      </c>
      <c r="B1285">
        <f t="shared" si="163"/>
        <v>2027</v>
      </c>
      <c r="C1285">
        <f t="shared" si="160"/>
        <v>7</v>
      </c>
      <c r="D1285" t="str">
        <f t="shared" si="164"/>
        <v>July</v>
      </c>
      <c r="E1285">
        <f t="shared" si="161"/>
        <v>28</v>
      </c>
      <c r="F1285">
        <f t="shared" si="162"/>
        <v>7</v>
      </c>
      <c r="G1285" t="str">
        <f t="shared" si="165"/>
        <v>Wednesday</v>
      </c>
      <c r="H1285" t="b">
        <f t="shared" si="166"/>
        <v>0</v>
      </c>
      <c r="I1285">
        <f t="shared" si="167"/>
        <v>188</v>
      </c>
      <c r="J1285" t="s">
        <v>28</v>
      </c>
      <c r="K1285">
        <v>20270707</v>
      </c>
    </row>
    <row r="1286" spans="1:11" x14ac:dyDescent="0.3">
      <c r="A1286" s="4">
        <v>46576</v>
      </c>
      <c r="B1286">
        <f t="shared" si="163"/>
        <v>2027</v>
      </c>
      <c r="C1286">
        <f t="shared" si="160"/>
        <v>7</v>
      </c>
      <c r="D1286" t="str">
        <f t="shared" si="164"/>
        <v>July</v>
      </c>
      <c r="E1286">
        <f t="shared" si="161"/>
        <v>28</v>
      </c>
      <c r="F1286">
        <f t="shared" si="162"/>
        <v>8</v>
      </c>
      <c r="G1286" t="str">
        <f t="shared" si="165"/>
        <v>Thursday</v>
      </c>
      <c r="H1286" t="b">
        <f t="shared" si="166"/>
        <v>0</v>
      </c>
      <c r="I1286">
        <f t="shared" si="167"/>
        <v>189</v>
      </c>
      <c r="J1286" t="s">
        <v>28</v>
      </c>
      <c r="K1286">
        <v>20270708</v>
      </c>
    </row>
    <row r="1287" spans="1:11" x14ac:dyDescent="0.3">
      <c r="A1287" s="4">
        <v>46577</v>
      </c>
      <c r="B1287">
        <f t="shared" si="163"/>
        <v>2027</v>
      </c>
      <c r="C1287">
        <f t="shared" si="160"/>
        <v>7</v>
      </c>
      <c r="D1287" t="str">
        <f t="shared" si="164"/>
        <v>July</v>
      </c>
      <c r="E1287">
        <f t="shared" si="161"/>
        <v>28</v>
      </c>
      <c r="F1287">
        <f t="shared" si="162"/>
        <v>9</v>
      </c>
      <c r="G1287" t="str">
        <f t="shared" si="165"/>
        <v>Friday</v>
      </c>
      <c r="H1287" t="b">
        <f t="shared" si="166"/>
        <v>0</v>
      </c>
      <c r="I1287">
        <f t="shared" si="167"/>
        <v>190</v>
      </c>
      <c r="J1287" t="s">
        <v>28</v>
      </c>
      <c r="K1287">
        <v>20270709</v>
      </c>
    </row>
    <row r="1288" spans="1:11" x14ac:dyDescent="0.3">
      <c r="A1288" s="4">
        <v>46578</v>
      </c>
      <c r="B1288">
        <f t="shared" si="163"/>
        <v>2027</v>
      </c>
      <c r="C1288">
        <f t="shared" si="160"/>
        <v>7</v>
      </c>
      <c r="D1288" t="str">
        <f t="shared" si="164"/>
        <v>July</v>
      </c>
      <c r="E1288">
        <f t="shared" si="161"/>
        <v>28</v>
      </c>
      <c r="F1288">
        <f t="shared" si="162"/>
        <v>10</v>
      </c>
      <c r="G1288" t="str">
        <f t="shared" si="165"/>
        <v>Saturday</v>
      </c>
      <c r="H1288" t="b">
        <f t="shared" si="166"/>
        <v>1</v>
      </c>
      <c r="I1288">
        <f t="shared" si="167"/>
        <v>191</v>
      </c>
      <c r="J1288" t="s">
        <v>28</v>
      </c>
      <c r="K1288">
        <v>20270710</v>
      </c>
    </row>
    <row r="1289" spans="1:11" x14ac:dyDescent="0.3">
      <c r="A1289" s="4">
        <v>46579</v>
      </c>
      <c r="B1289">
        <f t="shared" si="163"/>
        <v>2027</v>
      </c>
      <c r="C1289">
        <f t="shared" si="160"/>
        <v>7</v>
      </c>
      <c r="D1289" t="str">
        <f t="shared" si="164"/>
        <v>July</v>
      </c>
      <c r="E1289">
        <f t="shared" si="161"/>
        <v>29</v>
      </c>
      <c r="F1289">
        <f t="shared" si="162"/>
        <v>11</v>
      </c>
      <c r="G1289" t="str">
        <f t="shared" si="165"/>
        <v>Sunday</v>
      </c>
      <c r="H1289" t="b">
        <f t="shared" si="166"/>
        <v>1</v>
      </c>
      <c r="I1289">
        <f t="shared" si="167"/>
        <v>192</v>
      </c>
      <c r="J1289" t="s">
        <v>28</v>
      </c>
      <c r="K1289">
        <v>20270711</v>
      </c>
    </row>
    <row r="1290" spans="1:11" x14ac:dyDescent="0.3">
      <c r="A1290" s="4">
        <v>46580</v>
      </c>
      <c r="B1290">
        <f t="shared" si="163"/>
        <v>2027</v>
      </c>
      <c r="C1290">
        <f t="shared" ref="C1290:C1353" si="168">MONTH(A1290)</f>
        <v>7</v>
      </c>
      <c r="D1290" t="str">
        <f t="shared" si="164"/>
        <v>July</v>
      </c>
      <c r="E1290">
        <f t="shared" ref="E1290:E1353" si="169">WEEKNUM(A1290)</f>
        <v>29</v>
      </c>
      <c r="F1290">
        <f t="shared" ref="F1290:F1353" si="170">DAY(A1290)</f>
        <v>12</v>
      </c>
      <c r="G1290" t="str">
        <f t="shared" si="165"/>
        <v>Monday</v>
      </c>
      <c r="H1290" t="b">
        <f t="shared" si="166"/>
        <v>0</v>
      </c>
      <c r="I1290">
        <f t="shared" si="167"/>
        <v>193</v>
      </c>
      <c r="J1290" t="s">
        <v>28</v>
      </c>
      <c r="K1290">
        <v>20270712</v>
      </c>
    </row>
    <row r="1291" spans="1:11" x14ac:dyDescent="0.3">
      <c r="A1291" s="4">
        <v>46581</v>
      </c>
      <c r="B1291">
        <f t="shared" si="163"/>
        <v>2027</v>
      </c>
      <c r="C1291">
        <f t="shared" si="168"/>
        <v>7</v>
      </c>
      <c r="D1291" t="str">
        <f t="shared" si="164"/>
        <v>July</v>
      </c>
      <c r="E1291">
        <f t="shared" si="169"/>
        <v>29</v>
      </c>
      <c r="F1291">
        <f t="shared" si="170"/>
        <v>13</v>
      </c>
      <c r="G1291" t="str">
        <f t="shared" si="165"/>
        <v>Tuesday</v>
      </c>
      <c r="H1291" t="b">
        <f t="shared" si="166"/>
        <v>0</v>
      </c>
      <c r="I1291">
        <f t="shared" si="167"/>
        <v>194</v>
      </c>
      <c r="J1291" t="s">
        <v>28</v>
      </c>
      <c r="K1291">
        <v>20270713</v>
      </c>
    </row>
    <row r="1292" spans="1:11" x14ac:dyDescent="0.3">
      <c r="A1292" s="4">
        <v>46582</v>
      </c>
      <c r="B1292">
        <f t="shared" si="163"/>
        <v>2027</v>
      </c>
      <c r="C1292">
        <f t="shared" si="168"/>
        <v>7</v>
      </c>
      <c r="D1292" t="str">
        <f t="shared" si="164"/>
        <v>July</v>
      </c>
      <c r="E1292">
        <f t="shared" si="169"/>
        <v>29</v>
      </c>
      <c r="F1292">
        <f t="shared" si="170"/>
        <v>14</v>
      </c>
      <c r="G1292" t="str">
        <f t="shared" si="165"/>
        <v>Wednesday</v>
      </c>
      <c r="H1292" t="b">
        <f t="shared" si="166"/>
        <v>0</v>
      </c>
      <c r="I1292">
        <f t="shared" si="167"/>
        <v>195</v>
      </c>
      <c r="J1292" t="s">
        <v>28</v>
      </c>
      <c r="K1292">
        <v>20270714</v>
      </c>
    </row>
    <row r="1293" spans="1:11" x14ac:dyDescent="0.3">
      <c r="A1293" s="4">
        <v>46583</v>
      </c>
      <c r="B1293">
        <f t="shared" si="163"/>
        <v>2027</v>
      </c>
      <c r="C1293">
        <f t="shared" si="168"/>
        <v>7</v>
      </c>
      <c r="D1293" t="str">
        <f t="shared" si="164"/>
        <v>July</v>
      </c>
      <c r="E1293">
        <f t="shared" si="169"/>
        <v>29</v>
      </c>
      <c r="F1293">
        <f t="shared" si="170"/>
        <v>15</v>
      </c>
      <c r="G1293" t="str">
        <f t="shared" si="165"/>
        <v>Thursday</v>
      </c>
      <c r="H1293" t="b">
        <f t="shared" si="166"/>
        <v>0</v>
      </c>
      <c r="I1293">
        <f t="shared" si="167"/>
        <v>196</v>
      </c>
      <c r="J1293" t="s">
        <v>28</v>
      </c>
      <c r="K1293">
        <v>20270715</v>
      </c>
    </row>
    <row r="1294" spans="1:11" x14ac:dyDescent="0.3">
      <c r="A1294" s="4">
        <v>46584</v>
      </c>
      <c r="B1294">
        <f t="shared" si="163"/>
        <v>2027</v>
      </c>
      <c r="C1294">
        <f t="shared" si="168"/>
        <v>7</v>
      </c>
      <c r="D1294" t="str">
        <f t="shared" si="164"/>
        <v>July</v>
      </c>
      <c r="E1294">
        <f t="shared" si="169"/>
        <v>29</v>
      </c>
      <c r="F1294">
        <f t="shared" si="170"/>
        <v>16</v>
      </c>
      <c r="G1294" t="str">
        <f t="shared" si="165"/>
        <v>Friday</v>
      </c>
      <c r="H1294" t="b">
        <f t="shared" si="166"/>
        <v>0</v>
      </c>
      <c r="I1294">
        <f t="shared" si="167"/>
        <v>197</v>
      </c>
      <c r="J1294" t="s">
        <v>28</v>
      </c>
      <c r="K1294">
        <v>20270716</v>
      </c>
    </row>
    <row r="1295" spans="1:11" x14ac:dyDescent="0.3">
      <c r="A1295" s="4">
        <v>46585</v>
      </c>
      <c r="B1295">
        <f t="shared" si="163"/>
        <v>2027</v>
      </c>
      <c r="C1295">
        <f t="shared" si="168"/>
        <v>7</v>
      </c>
      <c r="D1295" t="str">
        <f t="shared" si="164"/>
        <v>July</v>
      </c>
      <c r="E1295">
        <f t="shared" si="169"/>
        <v>29</v>
      </c>
      <c r="F1295">
        <f t="shared" si="170"/>
        <v>17</v>
      </c>
      <c r="G1295" t="str">
        <f t="shared" si="165"/>
        <v>Saturday</v>
      </c>
      <c r="H1295" t="b">
        <f t="shared" si="166"/>
        <v>1</v>
      </c>
      <c r="I1295">
        <f t="shared" si="167"/>
        <v>198</v>
      </c>
      <c r="J1295" t="s">
        <v>28</v>
      </c>
      <c r="K1295">
        <v>20270717</v>
      </c>
    </row>
    <row r="1296" spans="1:11" x14ac:dyDescent="0.3">
      <c r="A1296" s="4">
        <v>46586</v>
      </c>
      <c r="B1296">
        <f t="shared" si="163"/>
        <v>2027</v>
      </c>
      <c r="C1296">
        <f t="shared" si="168"/>
        <v>7</v>
      </c>
      <c r="D1296" t="str">
        <f t="shared" si="164"/>
        <v>July</v>
      </c>
      <c r="E1296">
        <f t="shared" si="169"/>
        <v>30</v>
      </c>
      <c r="F1296">
        <f t="shared" si="170"/>
        <v>18</v>
      </c>
      <c r="G1296" t="str">
        <f t="shared" si="165"/>
        <v>Sunday</v>
      </c>
      <c r="H1296" t="b">
        <f t="shared" si="166"/>
        <v>1</v>
      </c>
      <c r="I1296">
        <f t="shared" si="167"/>
        <v>199</v>
      </c>
      <c r="J1296" t="s">
        <v>28</v>
      </c>
      <c r="K1296">
        <v>20270718</v>
      </c>
    </row>
    <row r="1297" spans="1:11" x14ac:dyDescent="0.3">
      <c r="A1297" s="4">
        <v>46587</v>
      </c>
      <c r="B1297">
        <f t="shared" si="163"/>
        <v>2027</v>
      </c>
      <c r="C1297">
        <f t="shared" si="168"/>
        <v>7</v>
      </c>
      <c r="D1297" t="str">
        <f t="shared" si="164"/>
        <v>July</v>
      </c>
      <c r="E1297">
        <f t="shared" si="169"/>
        <v>30</v>
      </c>
      <c r="F1297">
        <f t="shared" si="170"/>
        <v>19</v>
      </c>
      <c r="G1297" t="str">
        <f t="shared" si="165"/>
        <v>Monday</v>
      </c>
      <c r="H1297" t="b">
        <f t="shared" si="166"/>
        <v>0</v>
      </c>
      <c r="I1297">
        <f t="shared" si="167"/>
        <v>200</v>
      </c>
      <c r="J1297" t="s">
        <v>28</v>
      </c>
      <c r="K1297">
        <v>20270719</v>
      </c>
    </row>
    <row r="1298" spans="1:11" x14ac:dyDescent="0.3">
      <c r="A1298" s="4">
        <v>46588</v>
      </c>
      <c r="B1298">
        <f t="shared" si="163"/>
        <v>2027</v>
      </c>
      <c r="C1298">
        <f t="shared" si="168"/>
        <v>7</v>
      </c>
      <c r="D1298" t="str">
        <f t="shared" si="164"/>
        <v>July</v>
      </c>
      <c r="E1298">
        <f t="shared" si="169"/>
        <v>30</v>
      </c>
      <c r="F1298">
        <f t="shared" si="170"/>
        <v>20</v>
      </c>
      <c r="G1298" t="str">
        <f t="shared" si="165"/>
        <v>Tuesday</v>
      </c>
      <c r="H1298" t="b">
        <f t="shared" si="166"/>
        <v>0</v>
      </c>
      <c r="I1298">
        <f t="shared" si="167"/>
        <v>201</v>
      </c>
      <c r="J1298" t="s">
        <v>28</v>
      </c>
      <c r="K1298">
        <v>20270720</v>
      </c>
    </row>
    <row r="1299" spans="1:11" x14ac:dyDescent="0.3">
      <c r="A1299" s="4">
        <v>46589</v>
      </c>
      <c r="B1299">
        <f t="shared" si="163"/>
        <v>2027</v>
      </c>
      <c r="C1299">
        <f t="shared" si="168"/>
        <v>7</v>
      </c>
      <c r="D1299" t="str">
        <f t="shared" si="164"/>
        <v>July</v>
      </c>
      <c r="E1299">
        <f t="shared" si="169"/>
        <v>30</v>
      </c>
      <c r="F1299">
        <f t="shared" si="170"/>
        <v>21</v>
      </c>
      <c r="G1299" t="str">
        <f t="shared" si="165"/>
        <v>Wednesday</v>
      </c>
      <c r="H1299" t="b">
        <f t="shared" si="166"/>
        <v>0</v>
      </c>
      <c r="I1299">
        <f t="shared" si="167"/>
        <v>202</v>
      </c>
      <c r="J1299" t="s">
        <v>28</v>
      </c>
      <c r="K1299">
        <v>20270721</v>
      </c>
    </row>
    <row r="1300" spans="1:11" x14ac:dyDescent="0.3">
      <c r="A1300" s="4">
        <v>46590</v>
      </c>
      <c r="B1300">
        <f t="shared" si="163"/>
        <v>2027</v>
      </c>
      <c r="C1300">
        <f t="shared" si="168"/>
        <v>7</v>
      </c>
      <c r="D1300" t="str">
        <f t="shared" si="164"/>
        <v>July</v>
      </c>
      <c r="E1300">
        <f t="shared" si="169"/>
        <v>30</v>
      </c>
      <c r="F1300">
        <f t="shared" si="170"/>
        <v>22</v>
      </c>
      <c r="G1300" t="str">
        <f t="shared" si="165"/>
        <v>Thursday</v>
      </c>
      <c r="H1300" t="b">
        <f t="shared" si="166"/>
        <v>0</v>
      </c>
      <c r="I1300">
        <f t="shared" si="167"/>
        <v>203</v>
      </c>
      <c r="J1300" t="s">
        <v>28</v>
      </c>
      <c r="K1300">
        <v>20270722</v>
      </c>
    </row>
    <row r="1301" spans="1:11" x14ac:dyDescent="0.3">
      <c r="A1301" s="4">
        <v>46591</v>
      </c>
      <c r="B1301">
        <f t="shared" si="163"/>
        <v>2027</v>
      </c>
      <c r="C1301">
        <f t="shared" si="168"/>
        <v>7</v>
      </c>
      <c r="D1301" t="str">
        <f t="shared" si="164"/>
        <v>July</v>
      </c>
      <c r="E1301">
        <f t="shared" si="169"/>
        <v>30</v>
      </c>
      <c r="F1301">
        <f t="shared" si="170"/>
        <v>23</v>
      </c>
      <c r="G1301" t="str">
        <f t="shared" si="165"/>
        <v>Friday</v>
      </c>
      <c r="H1301" t="b">
        <f t="shared" si="166"/>
        <v>0</v>
      </c>
      <c r="I1301">
        <f t="shared" si="167"/>
        <v>204</v>
      </c>
      <c r="J1301" t="s">
        <v>28</v>
      </c>
      <c r="K1301">
        <v>20270723</v>
      </c>
    </row>
    <row r="1302" spans="1:11" x14ac:dyDescent="0.3">
      <c r="A1302" s="4">
        <v>46592</v>
      </c>
      <c r="B1302">
        <f t="shared" si="163"/>
        <v>2027</v>
      </c>
      <c r="C1302">
        <f t="shared" si="168"/>
        <v>7</v>
      </c>
      <c r="D1302" t="str">
        <f t="shared" si="164"/>
        <v>July</v>
      </c>
      <c r="E1302">
        <f t="shared" si="169"/>
        <v>30</v>
      </c>
      <c r="F1302">
        <f t="shared" si="170"/>
        <v>24</v>
      </c>
      <c r="G1302" t="str">
        <f t="shared" si="165"/>
        <v>Saturday</v>
      </c>
      <c r="H1302" t="b">
        <f t="shared" si="166"/>
        <v>1</v>
      </c>
      <c r="I1302">
        <f t="shared" si="167"/>
        <v>205</v>
      </c>
      <c r="J1302" t="s">
        <v>28</v>
      </c>
      <c r="K1302">
        <v>20270724</v>
      </c>
    </row>
    <row r="1303" spans="1:11" x14ac:dyDescent="0.3">
      <c r="A1303" s="4">
        <v>46593</v>
      </c>
      <c r="B1303">
        <f t="shared" si="163"/>
        <v>2027</v>
      </c>
      <c r="C1303">
        <f t="shared" si="168"/>
        <v>7</v>
      </c>
      <c r="D1303" t="str">
        <f t="shared" si="164"/>
        <v>July</v>
      </c>
      <c r="E1303">
        <f t="shared" si="169"/>
        <v>31</v>
      </c>
      <c r="F1303">
        <f t="shared" si="170"/>
        <v>25</v>
      </c>
      <c r="G1303" t="str">
        <f t="shared" si="165"/>
        <v>Sunday</v>
      </c>
      <c r="H1303" t="b">
        <f t="shared" si="166"/>
        <v>1</v>
      </c>
      <c r="I1303">
        <f t="shared" si="167"/>
        <v>206</v>
      </c>
      <c r="J1303" t="s">
        <v>28</v>
      </c>
      <c r="K1303">
        <v>20270725</v>
      </c>
    </row>
    <row r="1304" spans="1:11" x14ac:dyDescent="0.3">
      <c r="A1304" s="4">
        <v>46594</v>
      </c>
      <c r="B1304">
        <f t="shared" si="163"/>
        <v>2027</v>
      </c>
      <c r="C1304">
        <f t="shared" si="168"/>
        <v>7</v>
      </c>
      <c r="D1304" t="str">
        <f t="shared" si="164"/>
        <v>July</v>
      </c>
      <c r="E1304">
        <f t="shared" si="169"/>
        <v>31</v>
      </c>
      <c r="F1304">
        <f t="shared" si="170"/>
        <v>26</v>
      </c>
      <c r="G1304" t="str">
        <f t="shared" si="165"/>
        <v>Monday</v>
      </c>
      <c r="H1304" t="b">
        <f t="shared" si="166"/>
        <v>0</v>
      </c>
      <c r="I1304">
        <f t="shared" si="167"/>
        <v>207</v>
      </c>
      <c r="J1304" t="s">
        <v>28</v>
      </c>
      <c r="K1304">
        <v>20270726</v>
      </c>
    </row>
    <row r="1305" spans="1:11" x14ac:dyDescent="0.3">
      <c r="A1305" s="4">
        <v>46595</v>
      </c>
      <c r="B1305">
        <f t="shared" si="163"/>
        <v>2027</v>
      </c>
      <c r="C1305">
        <f t="shared" si="168"/>
        <v>7</v>
      </c>
      <c r="D1305" t="str">
        <f t="shared" si="164"/>
        <v>July</v>
      </c>
      <c r="E1305">
        <f t="shared" si="169"/>
        <v>31</v>
      </c>
      <c r="F1305">
        <f t="shared" si="170"/>
        <v>27</v>
      </c>
      <c r="G1305" t="str">
        <f t="shared" si="165"/>
        <v>Tuesday</v>
      </c>
      <c r="H1305" t="b">
        <f t="shared" si="166"/>
        <v>0</v>
      </c>
      <c r="I1305">
        <f t="shared" si="167"/>
        <v>208</v>
      </c>
      <c r="J1305" t="s">
        <v>28</v>
      </c>
      <c r="K1305">
        <v>20270727</v>
      </c>
    </row>
    <row r="1306" spans="1:11" x14ac:dyDescent="0.3">
      <c r="A1306" s="4">
        <v>46596</v>
      </c>
      <c r="B1306">
        <f t="shared" si="163"/>
        <v>2027</v>
      </c>
      <c r="C1306">
        <f t="shared" si="168"/>
        <v>7</v>
      </c>
      <c r="D1306" t="str">
        <f t="shared" si="164"/>
        <v>July</v>
      </c>
      <c r="E1306">
        <f t="shared" si="169"/>
        <v>31</v>
      </c>
      <c r="F1306">
        <f t="shared" si="170"/>
        <v>28</v>
      </c>
      <c r="G1306" t="str">
        <f t="shared" si="165"/>
        <v>Wednesday</v>
      </c>
      <c r="H1306" t="b">
        <f t="shared" si="166"/>
        <v>0</v>
      </c>
      <c r="I1306">
        <f t="shared" si="167"/>
        <v>209</v>
      </c>
      <c r="J1306" t="s">
        <v>28</v>
      </c>
      <c r="K1306">
        <v>20270728</v>
      </c>
    </row>
    <row r="1307" spans="1:11" x14ac:dyDescent="0.3">
      <c r="A1307" s="4">
        <v>46597</v>
      </c>
      <c r="B1307">
        <f t="shared" si="163"/>
        <v>2027</v>
      </c>
      <c r="C1307">
        <f t="shared" si="168"/>
        <v>7</v>
      </c>
      <c r="D1307" t="str">
        <f t="shared" si="164"/>
        <v>July</v>
      </c>
      <c r="E1307">
        <f t="shared" si="169"/>
        <v>31</v>
      </c>
      <c r="F1307">
        <f t="shared" si="170"/>
        <v>29</v>
      </c>
      <c r="G1307" t="str">
        <f t="shared" si="165"/>
        <v>Thursday</v>
      </c>
      <c r="H1307" t="b">
        <f t="shared" si="166"/>
        <v>0</v>
      </c>
      <c r="I1307">
        <f t="shared" si="167"/>
        <v>210</v>
      </c>
      <c r="J1307" t="s">
        <v>28</v>
      </c>
      <c r="K1307">
        <v>20270729</v>
      </c>
    </row>
    <row r="1308" spans="1:11" x14ac:dyDescent="0.3">
      <c r="A1308" s="4">
        <v>46598</v>
      </c>
      <c r="B1308">
        <f t="shared" si="163"/>
        <v>2027</v>
      </c>
      <c r="C1308">
        <f t="shared" si="168"/>
        <v>7</v>
      </c>
      <c r="D1308" t="str">
        <f t="shared" si="164"/>
        <v>July</v>
      </c>
      <c r="E1308">
        <f t="shared" si="169"/>
        <v>31</v>
      </c>
      <c r="F1308">
        <f t="shared" si="170"/>
        <v>30</v>
      </c>
      <c r="G1308" t="str">
        <f t="shared" si="165"/>
        <v>Friday</v>
      </c>
      <c r="H1308" t="b">
        <f t="shared" si="166"/>
        <v>0</v>
      </c>
      <c r="I1308">
        <f t="shared" si="167"/>
        <v>211</v>
      </c>
      <c r="J1308" t="s">
        <v>28</v>
      </c>
      <c r="K1308">
        <v>20270730</v>
      </c>
    </row>
    <row r="1309" spans="1:11" x14ac:dyDescent="0.3">
      <c r="A1309" s="4">
        <v>46599</v>
      </c>
      <c r="B1309">
        <f t="shared" si="163"/>
        <v>2027</v>
      </c>
      <c r="C1309">
        <f t="shared" si="168"/>
        <v>7</v>
      </c>
      <c r="D1309" t="str">
        <f t="shared" si="164"/>
        <v>July</v>
      </c>
      <c r="E1309">
        <f t="shared" si="169"/>
        <v>31</v>
      </c>
      <c r="F1309">
        <f t="shared" si="170"/>
        <v>31</v>
      </c>
      <c r="G1309" t="str">
        <f t="shared" si="165"/>
        <v>Saturday</v>
      </c>
      <c r="H1309" t="b">
        <f t="shared" si="166"/>
        <v>1</v>
      </c>
      <c r="I1309">
        <f t="shared" si="167"/>
        <v>212</v>
      </c>
      <c r="J1309" t="s">
        <v>28</v>
      </c>
      <c r="K1309">
        <v>20270731</v>
      </c>
    </row>
    <row r="1310" spans="1:11" x14ac:dyDescent="0.3">
      <c r="A1310" s="4">
        <v>46600</v>
      </c>
      <c r="B1310">
        <f t="shared" si="163"/>
        <v>2027</v>
      </c>
      <c r="C1310">
        <f t="shared" si="168"/>
        <v>8</v>
      </c>
      <c r="D1310" t="str">
        <f t="shared" si="164"/>
        <v>August</v>
      </c>
      <c r="E1310">
        <f t="shared" si="169"/>
        <v>32</v>
      </c>
      <c r="F1310">
        <f t="shared" si="170"/>
        <v>1</v>
      </c>
      <c r="G1310" t="str">
        <f t="shared" si="165"/>
        <v>Sunday</v>
      </c>
      <c r="H1310" t="b">
        <f t="shared" si="166"/>
        <v>1</v>
      </c>
      <c r="I1310">
        <f t="shared" si="167"/>
        <v>213</v>
      </c>
      <c r="J1310" t="s">
        <v>28</v>
      </c>
      <c r="K1310">
        <v>20270801</v>
      </c>
    </row>
    <row r="1311" spans="1:11" x14ac:dyDescent="0.3">
      <c r="A1311" s="4">
        <v>46601</v>
      </c>
      <c r="B1311">
        <f t="shared" si="163"/>
        <v>2027</v>
      </c>
      <c r="C1311">
        <f t="shared" si="168"/>
        <v>8</v>
      </c>
      <c r="D1311" t="str">
        <f t="shared" si="164"/>
        <v>August</v>
      </c>
      <c r="E1311">
        <f t="shared" si="169"/>
        <v>32</v>
      </c>
      <c r="F1311">
        <f t="shared" si="170"/>
        <v>2</v>
      </c>
      <c r="G1311" t="str">
        <f t="shared" si="165"/>
        <v>Monday</v>
      </c>
      <c r="H1311" t="b">
        <f t="shared" si="166"/>
        <v>0</v>
      </c>
      <c r="I1311">
        <f t="shared" si="167"/>
        <v>214</v>
      </c>
      <c r="J1311" t="s">
        <v>28</v>
      </c>
      <c r="K1311">
        <v>20270802</v>
      </c>
    </row>
    <row r="1312" spans="1:11" x14ac:dyDescent="0.3">
      <c r="A1312" s="4">
        <v>46602</v>
      </c>
      <c r="B1312">
        <f t="shared" si="163"/>
        <v>2027</v>
      </c>
      <c r="C1312">
        <f t="shared" si="168"/>
        <v>8</v>
      </c>
      <c r="D1312" t="str">
        <f t="shared" si="164"/>
        <v>August</v>
      </c>
      <c r="E1312">
        <f t="shared" si="169"/>
        <v>32</v>
      </c>
      <c r="F1312">
        <f t="shared" si="170"/>
        <v>3</v>
      </c>
      <c r="G1312" t="str">
        <f t="shared" si="165"/>
        <v>Tuesday</v>
      </c>
      <c r="H1312" t="b">
        <f t="shared" si="166"/>
        <v>0</v>
      </c>
      <c r="I1312">
        <f t="shared" si="167"/>
        <v>215</v>
      </c>
      <c r="J1312" t="s">
        <v>28</v>
      </c>
      <c r="K1312">
        <v>20270803</v>
      </c>
    </row>
    <row r="1313" spans="1:11" x14ac:dyDescent="0.3">
      <c r="A1313" s="4">
        <v>46603</v>
      </c>
      <c r="B1313">
        <f t="shared" si="163"/>
        <v>2027</v>
      </c>
      <c r="C1313">
        <f t="shared" si="168"/>
        <v>8</v>
      </c>
      <c r="D1313" t="str">
        <f t="shared" si="164"/>
        <v>August</v>
      </c>
      <c r="E1313">
        <f t="shared" si="169"/>
        <v>32</v>
      </c>
      <c r="F1313">
        <f t="shared" si="170"/>
        <v>4</v>
      </c>
      <c r="G1313" t="str">
        <f t="shared" si="165"/>
        <v>Wednesday</v>
      </c>
      <c r="H1313" t="b">
        <f t="shared" si="166"/>
        <v>0</v>
      </c>
      <c r="I1313">
        <f t="shared" si="167"/>
        <v>216</v>
      </c>
      <c r="J1313" t="s">
        <v>28</v>
      </c>
      <c r="K1313">
        <v>20270804</v>
      </c>
    </row>
    <row r="1314" spans="1:11" x14ac:dyDescent="0.3">
      <c r="A1314" s="4">
        <v>46604</v>
      </c>
      <c r="B1314">
        <f t="shared" si="163"/>
        <v>2027</v>
      </c>
      <c r="C1314">
        <f t="shared" si="168"/>
        <v>8</v>
      </c>
      <c r="D1314" t="str">
        <f t="shared" si="164"/>
        <v>August</v>
      </c>
      <c r="E1314">
        <f t="shared" si="169"/>
        <v>32</v>
      </c>
      <c r="F1314">
        <f t="shared" si="170"/>
        <v>5</v>
      </c>
      <c r="G1314" t="str">
        <f t="shared" si="165"/>
        <v>Thursday</v>
      </c>
      <c r="H1314" t="b">
        <f t="shared" si="166"/>
        <v>0</v>
      </c>
      <c r="I1314">
        <f t="shared" si="167"/>
        <v>217</v>
      </c>
      <c r="J1314" t="s">
        <v>28</v>
      </c>
      <c r="K1314">
        <v>20270805</v>
      </c>
    </row>
    <row r="1315" spans="1:11" x14ac:dyDescent="0.3">
      <c r="A1315" s="4">
        <v>46605</v>
      </c>
      <c r="B1315">
        <f t="shared" si="163"/>
        <v>2027</v>
      </c>
      <c r="C1315">
        <f t="shared" si="168"/>
        <v>8</v>
      </c>
      <c r="D1315" t="str">
        <f t="shared" si="164"/>
        <v>August</v>
      </c>
      <c r="E1315">
        <f t="shared" si="169"/>
        <v>32</v>
      </c>
      <c r="F1315">
        <f t="shared" si="170"/>
        <v>6</v>
      </c>
      <c r="G1315" t="str">
        <f t="shared" si="165"/>
        <v>Friday</v>
      </c>
      <c r="H1315" t="b">
        <f t="shared" si="166"/>
        <v>0</v>
      </c>
      <c r="I1315">
        <f t="shared" si="167"/>
        <v>218</v>
      </c>
      <c r="J1315" t="s">
        <v>28</v>
      </c>
      <c r="K1315">
        <v>20270806</v>
      </c>
    </row>
    <row r="1316" spans="1:11" x14ac:dyDescent="0.3">
      <c r="A1316" s="4">
        <v>46606</v>
      </c>
      <c r="B1316">
        <f t="shared" si="163"/>
        <v>2027</v>
      </c>
      <c r="C1316">
        <f t="shared" si="168"/>
        <v>8</v>
      </c>
      <c r="D1316" t="str">
        <f t="shared" si="164"/>
        <v>August</v>
      </c>
      <c r="E1316">
        <f t="shared" si="169"/>
        <v>32</v>
      </c>
      <c r="F1316">
        <f t="shared" si="170"/>
        <v>7</v>
      </c>
      <c r="G1316" t="str">
        <f t="shared" si="165"/>
        <v>Saturday</v>
      </c>
      <c r="H1316" t="b">
        <f t="shared" si="166"/>
        <v>1</v>
      </c>
      <c r="I1316">
        <f t="shared" si="167"/>
        <v>219</v>
      </c>
      <c r="J1316" t="s">
        <v>28</v>
      </c>
      <c r="K1316">
        <v>20270807</v>
      </c>
    </row>
    <row r="1317" spans="1:11" x14ac:dyDescent="0.3">
      <c r="A1317" s="4">
        <v>46607</v>
      </c>
      <c r="B1317">
        <f t="shared" si="163"/>
        <v>2027</v>
      </c>
      <c r="C1317">
        <f t="shared" si="168"/>
        <v>8</v>
      </c>
      <c r="D1317" t="str">
        <f t="shared" si="164"/>
        <v>August</v>
      </c>
      <c r="E1317">
        <f t="shared" si="169"/>
        <v>33</v>
      </c>
      <c r="F1317">
        <f t="shared" si="170"/>
        <v>8</v>
      </c>
      <c r="G1317" t="str">
        <f t="shared" si="165"/>
        <v>Sunday</v>
      </c>
      <c r="H1317" t="b">
        <f t="shared" si="166"/>
        <v>1</v>
      </c>
      <c r="I1317">
        <f t="shared" si="167"/>
        <v>220</v>
      </c>
      <c r="J1317" t="s">
        <v>28</v>
      </c>
      <c r="K1317">
        <v>20270808</v>
      </c>
    </row>
    <row r="1318" spans="1:11" x14ac:dyDescent="0.3">
      <c r="A1318" s="4">
        <v>46608</v>
      </c>
      <c r="B1318">
        <f t="shared" si="163"/>
        <v>2027</v>
      </c>
      <c r="C1318">
        <f t="shared" si="168"/>
        <v>8</v>
      </c>
      <c r="D1318" t="str">
        <f t="shared" si="164"/>
        <v>August</v>
      </c>
      <c r="E1318">
        <f t="shared" si="169"/>
        <v>33</v>
      </c>
      <c r="F1318">
        <f t="shared" si="170"/>
        <v>9</v>
      </c>
      <c r="G1318" t="str">
        <f t="shared" si="165"/>
        <v>Monday</v>
      </c>
      <c r="H1318" t="b">
        <f t="shared" si="166"/>
        <v>0</v>
      </c>
      <c r="I1318">
        <f t="shared" si="167"/>
        <v>221</v>
      </c>
      <c r="J1318" t="s">
        <v>28</v>
      </c>
      <c r="K1318">
        <v>20270809</v>
      </c>
    </row>
    <row r="1319" spans="1:11" x14ac:dyDescent="0.3">
      <c r="A1319" s="4">
        <v>46609</v>
      </c>
      <c r="B1319">
        <f t="shared" si="163"/>
        <v>2027</v>
      </c>
      <c r="C1319">
        <f t="shared" si="168"/>
        <v>8</v>
      </c>
      <c r="D1319" t="str">
        <f t="shared" si="164"/>
        <v>August</v>
      </c>
      <c r="E1319">
        <f t="shared" si="169"/>
        <v>33</v>
      </c>
      <c r="F1319">
        <f t="shared" si="170"/>
        <v>10</v>
      </c>
      <c r="G1319" t="str">
        <f t="shared" si="165"/>
        <v>Tuesday</v>
      </c>
      <c r="H1319" t="b">
        <f t="shared" si="166"/>
        <v>0</v>
      </c>
      <c r="I1319">
        <f t="shared" si="167"/>
        <v>222</v>
      </c>
      <c r="J1319" t="s">
        <v>28</v>
      </c>
      <c r="K1319">
        <v>20270810</v>
      </c>
    </row>
    <row r="1320" spans="1:11" x14ac:dyDescent="0.3">
      <c r="A1320" s="4">
        <v>46610</v>
      </c>
      <c r="B1320">
        <f t="shared" si="163"/>
        <v>2027</v>
      </c>
      <c r="C1320">
        <f t="shared" si="168"/>
        <v>8</v>
      </c>
      <c r="D1320" t="str">
        <f t="shared" si="164"/>
        <v>August</v>
      </c>
      <c r="E1320">
        <f t="shared" si="169"/>
        <v>33</v>
      </c>
      <c r="F1320">
        <f t="shared" si="170"/>
        <v>11</v>
      </c>
      <c r="G1320" t="str">
        <f t="shared" si="165"/>
        <v>Wednesday</v>
      </c>
      <c r="H1320" t="b">
        <f t="shared" si="166"/>
        <v>0</v>
      </c>
      <c r="I1320">
        <f t="shared" si="167"/>
        <v>223</v>
      </c>
      <c r="J1320" t="s">
        <v>28</v>
      </c>
      <c r="K1320">
        <v>20270811</v>
      </c>
    </row>
    <row r="1321" spans="1:11" x14ac:dyDescent="0.3">
      <c r="A1321" s="4">
        <v>46611</v>
      </c>
      <c r="B1321">
        <f t="shared" si="163"/>
        <v>2027</v>
      </c>
      <c r="C1321">
        <f t="shared" si="168"/>
        <v>8</v>
      </c>
      <c r="D1321" t="str">
        <f t="shared" si="164"/>
        <v>August</v>
      </c>
      <c r="E1321">
        <f t="shared" si="169"/>
        <v>33</v>
      </c>
      <c r="F1321">
        <f t="shared" si="170"/>
        <v>12</v>
      </c>
      <c r="G1321" t="str">
        <f t="shared" si="165"/>
        <v>Thursday</v>
      </c>
      <c r="H1321" t="b">
        <f t="shared" si="166"/>
        <v>0</v>
      </c>
      <c r="I1321">
        <f t="shared" si="167"/>
        <v>224</v>
      </c>
      <c r="J1321" t="s">
        <v>28</v>
      </c>
      <c r="K1321">
        <v>20270812</v>
      </c>
    </row>
    <row r="1322" spans="1:11" x14ac:dyDescent="0.3">
      <c r="A1322" s="4">
        <v>46612</v>
      </c>
      <c r="B1322">
        <f t="shared" si="163"/>
        <v>2027</v>
      </c>
      <c r="C1322">
        <f t="shared" si="168"/>
        <v>8</v>
      </c>
      <c r="D1322" t="str">
        <f t="shared" si="164"/>
        <v>August</v>
      </c>
      <c r="E1322">
        <f t="shared" si="169"/>
        <v>33</v>
      </c>
      <c r="F1322">
        <f t="shared" si="170"/>
        <v>13</v>
      </c>
      <c r="G1322" t="str">
        <f t="shared" si="165"/>
        <v>Friday</v>
      </c>
      <c r="H1322" t="b">
        <f t="shared" si="166"/>
        <v>0</v>
      </c>
      <c r="I1322">
        <f t="shared" si="167"/>
        <v>225</v>
      </c>
      <c r="J1322" t="s">
        <v>28</v>
      </c>
      <c r="K1322">
        <v>20270813</v>
      </c>
    </row>
    <row r="1323" spans="1:11" x14ac:dyDescent="0.3">
      <c r="A1323" s="4">
        <v>46613</v>
      </c>
      <c r="B1323">
        <f t="shared" si="163"/>
        <v>2027</v>
      </c>
      <c r="C1323">
        <f t="shared" si="168"/>
        <v>8</v>
      </c>
      <c r="D1323" t="str">
        <f t="shared" si="164"/>
        <v>August</v>
      </c>
      <c r="E1323">
        <f t="shared" si="169"/>
        <v>33</v>
      </c>
      <c r="F1323">
        <f t="shared" si="170"/>
        <v>14</v>
      </c>
      <c r="G1323" t="str">
        <f t="shared" si="165"/>
        <v>Saturday</v>
      </c>
      <c r="H1323" t="b">
        <f t="shared" si="166"/>
        <v>1</v>
      </c>
      <c r="I1323">
        <f t="shared" si="167"/>
        <v>226</v>
      </c>
      <c r="J1323" t="s">
        <v>28</v>
      </c>
      <c r="K1323">
        <v>20270814</v>
      </c>
    </row>
    <row r="1324" spans="1:11" x14ac:dyDescent="0.3">
      <c r="A1324" s="4">
        <v>46614</v>
      </c>
      <c r="B1324">
        <f t="shared" si="163"/>
        <v>2027</v>
      </c>
      <c r="C1324">
        <f t="shared" si="168"/>
        <v>8</v>
      </c>
      <c r="D1324" t="str">
        <f t="shared" si="164"/>
        <v>August</v>
      </c>
      <c r="E1324">
        <f t="shared" si="169"/>
        <v>34</v>
      </c>
      <c r="F1324">
        <f t="shared" si="170"/>
        <v>15</v>
      </c>
      <c r="G1324" t="str">
        <f t="shared" si="165"/>
        <v>Sunday</v>
      </c>
      <c r="H1324" t="b">
        <f t="shared" si="166"/>
        <v>1</v>
      </c>
      <c r="I1324">
        <f t="shared" si="167"/>
        <v>227</v>
      </c>
      <c r="J1324" t="s">
        <v>28</v>
      </c>
      <c r="K1324">
        <v>20270815</v>
      </c>
    </row>
    <row r="1325" spans="1:11" x14ac:dyDescent="0.3">
      <c r="A1325" s="4">
        <v>46615</v>
      </c>
      <c r="B1325">
        <f t="shared" si="163"/>
        <v>2027</v>
      </c>
      <c r="C1325">
        <f t="shared" si="168"/>
        <v>8</v>
      </c>
      <c r="D1325" t="str">
        <f t="shared" si="164"/>
        <v>August</v>
      </c>
      <c r="E1325">
        <f t="shared" si="169"/>
        <v>34</v>
      </c>
      <c r="F1325">
        <f t="shared" si="170"/>
        <v>16</v>
      </c>
      <c r="G1325" t="str">
        <f t="shared" si="165"/>
        <v>Monday</v>
      </c>
      <c r="H1325" t="b">
        <f t="shared" si="166"/>
        <v>0</v>
      </c>
      <c r="I1325">
        <f t="shared" si="167"/>
        <v>228</v>
      </c>
      <c r="J1325" t="s">
        <v>28</v>
      </c>
      <c r="K1325">
        <v>20270816</v>
      </c>
    </row>
    <row r="1326" spans="1:11" x14ac:dyDescent="0.3">
      <c r="A1326" s="4">
        <v>46616</v>
      </c>
      <c r="B1326">
        <f t="shared" si="163"/>
        <v>2027</v>
      </c>
      <c r="C1326">
        <f t="shared" si="168"/>
        <v>8</v>
      </c>
      <c r="D1326" t="str">
        <f t="shared" si="164"/>
        <v>August</v>
      </c>
      <c r="E1326">
        <f t="shared" si="169"/>
        <v>34</v>
      </c>
      <c r="F1326">
        <f t="shared" si="170"/>
        <v>17</v>
      </c>
      <c r="G1326" t="str">
        <f t="shared" si="165"/>
        <v>Tuesday</v>
      </c>
      <c r="H1326" t="b">
        <f t="shared" si="166"/>
        <v>0</v>
      </c>
      <c r="I1326">
        <f t="shared" si="167"/>
        <v>229</v>
      </c>
      <c r="J1326" t="s">
        <v>28</v>
      </c>
      <c r="K1326">
        <v>20270817</v>
      </c>
    </row>
    <row r="1327" spans="1:11" x14ac:dyDescent="0.3">
      <c r="A1327" s="4">
        <v>46617</v>
      </c>
      <c r="B1327">
        <f t="shared" si="163"/>
        <v>2027</v>
      </c>
      <c r="C1327">
        <f t="shared" si="168"/>
        <v>8</v>
      </c>
      <c r="D1327" t="str">
        <f t="shared" si="164"/>
        <v>August</v>
      </c>
      <c r="E1327">
        <f t="shared" si="169"/>
        <v>34</v>
      </c>
      <c r="F1327">
        <f t="shared" si="170"/>
        <v>18</v>
      </c>
      <c r="G1327" t="str">
        <f t="shared" si="165"/>
        <v>Wednesday</v>
      </c>
      <c r="H1327" t="b">
        <f t="shared" si="166"/>
        <v>0</v>
      </c>
      <c r="I1327">
        <f t="shared" si="167"/>
        <v>230</v>
      </c>
      <c r="J1327" t="s">
        <v>28</v>
      </c>
      <c r="K1327">
        <v>20270818</v>
      </c>
    </row>
    <row r="1328" spans="1:11" x14ac:dyDescent="0.3">
      <c r="A1328" s="4">
        <v>46618</v>
      </c>
      <c r="B1328">
        <f t="shared" si="163"/>
        <v>2027</v>
      </c>
      <c r="C1328">
        <f t="shared" si="168"/>
        <v>8</v>
      </c>
      <c r="D1328" t="str">
        <f t="shared" si="164"/>
        <v>August</v>
      </c>
      <c r="E1328">
        <f t="shared" si="169"/>
        <v>34</v>
      </c>
      <c r="F1328">
        <f t="shared" si="170"/>
        <v>19</v>
      </c>
      <c r="G1328" t="str">
        <f t="shared" si="165"/>
        <v>Thursday</v>
      </c>
      <c r="H1328" t="b">
        <f t="shared" si="166"/>
        <v>0</v>
      </c>
      <c r="I1328">
        <f t="shared" si="167"/>
        <v>231</v>
      </c>
      <c r="J1328" t="s">
        <v>28</v>
      </c>
      <c r="K1328">
        <v>20270819</v>
      </c>
    </row>
    <row r="1329" spans="1:11" x14ac:dyDescent="0.3">
      <c r="A1329" s="4">
        <v>46619</v>
      </c>
      <c r="B1329">
        <f t="shared" si="163"/>
        <v>2027</v>
      </c>
      <c r="C1329">
        <f t="shared" si="168"/>
        <v>8</v>
      </c>
      <c r="D1329" t="str">
        <f t="shared" si="164"/>
        <v>August</v>
      </c>
      <c r="E1329">
        <f t="shared" si="169"/>
        <v>34</v>
      </c>
      <c r="F1329">
        <f t="shared" si="170"/>
        <v>20</v>
      </c>
      <c r="G1329" t="str">
        <f t="shared" si="165"/>
        <v>Friday</v>
      </c>
      <c r="H1329" t="b">
        <f t="shared" si="166"/>
        <v>0</v>
      </c>
      <c r="I1329">
        <f t="shared" si="167"/>
        <v>232</v>
      </c>
      <c r="J1329" t="s">
        <v>28</v>
      </c>
      <c r="K1329">
        <v>20270820</v>
      </c>
    </row>
    <row r="1330" spans="1:11" x14ac:dyDescent="0.3">
      <c r="A1330" s="4">
        <v>46620</v>
      </c>
      <c r="B1330">
        <f t="shared" si="163"/>
        <v>2027</v>
      </c>
      <c r="C1330">
        <f t="shared" si="168"/>
        <v>8</v>
      </c>
      <c r="D1330" t="str">
        <f t="shared" si="164"/>
        <v>August</v>
      </c>
      <c r="E1330">
        <f t="shared" si="169"/>
        <v>34</v>
      </c>
      <c r="F1330">
        <f t="shared" si="170"/>
        <v>21</v>
      </c>
      <c r="G1330" t="str">
        <f t="shared" si="165"/>
        <v>Saturday</v>
      </c>
      <c r="H1330" t="b">
        <f t="shared" si="166"/>
        <v>1</v>
      </c>
      <c r="I1330">
        <f t="shared" si="167"/>
        <v>233</v>
      </c>
      <c r="J1330" t="s">
        <v>28</v>
      </c>
      <c r="K1330">
        <v>20270821</v>
      </c>
    </row>
    <row r="1331" spans="1:11" x14ac:dyDescent="0.3">
      <c r="A1331" s="4">
        <v>46621</v>
      </c>
      <c r="B1331">
        <f t="shared" si="163"/>
        <v>2027</v>
      </c>
      <c r="C1331">
        <f t="shared" si="168"/>
        <v>8</v>
      </c>
      <c r="D1331" t="str">
        <f t="shared" si="164"/>
        <v>August</v>
      </c>
      <c r="E1331">
        <f t="shared" si="169"/>
        <v>35</v>
      </c>
      <c r="F1331">
        <f t="shared" si="170"/>
        <v>22</v>
      </c>
      <c r="G1331" t="str">
        <f t="shared" si="165"/>
        <v>Sunday</v>
      </c>
      <c r="H1331" t="b">
        <f t="shared" si="166"/>
        <v>1</v>
      </c>
      <c r="I1331">
        <f t="shared" si="167"/>
        <v>234</v>
      </c>
      <c r="J1331" t="s">
        <v>28</v>
      </c>
      <c r="K1331">
        <v>20270822</v>
      </c>
    </row>
    <row r="1332" spans="1:11" x14ac:dyDescent="0.3">
      <c r="A1332" s="4">
        <v>46622</v>
      </c>
      <c r="B1332">
        <f t="shared" si="163"/>
        <v>2027</v>
      </c>
      <c r="C1332">
        <f t="shared" si="168"/>
        <v>8</v>
      </c>
      <c r="D1332" t="str">
        <f t="shared" si="164"/>
        <v>August</v>
      </c>
      <c r="E1332">
        <f t="shared" si="169"/>
        <v>35</v>
      </c>
      <c r="F1332">
        <f t="shared" si="170"/>
        <v>23</v>
      </c>
      <c r="G1332" t="str">
        <f t="shared" si="165"/>
        <v>Monday</v>
      </c>
      <c r="H1332" t="b">
        <f t="shared" si="166"/>
        <v>0</v>
      </c>
      <c r="I1332">
        <f t="shared" si="167"/>
        <v>235</v>
      </c>
      <c r="J1332" t="s">
        <v>28</v>
      </c>
      <c r="K1332">
        <v>20270823</v>
      </c>
    </row>
    <row r="1333" spans="1:11" x14ac:dyDescent="0.3">
      <c r="A1333" s="4">
        <v>46623</v>
      </c>
      <c r="B1333">
        <f t="shared" si="163"/>
        <v>2027</v>
      </c>
      <c r="C1333">
        <f t="shared" si="168"/>
        <v>8</v>
      </c>
      <c r="D1333" t="str">
        <f t="shared" si="164"/>
        <v>August</v>
      </c>
      <c r="E1333">
        <f t="shared" si="169"/>
        <v>35</v>
      </c>
      <c r="F1333">
        <f t="shared" si="170"/>
        <v>24</v>
      </c>
      <c r="G1333" t="str">
        <f t="shared" si="165"/>
        <v>Tuesday</v>
      </c>
      <c r="H1333" t="b">
        <f t="shared" si="166"/>
        <v>0</v>
      </c>
      <c r="I1333">
        <f t="shared" si="167"/>
        <v>236</v>
      </c>
      <c r="J1333" t="s">
        <v>28</v>
      </c>
      <c r="K1333">
        <v>20270824</v>
      </c>
    </row>
    <row r="1334" spans="1:11" x14ac:dyDescent="0.3">
      <c r="A1334" s="4">
        <v>46624</v>
      </c>
      <c r="B1334">
        <f t="shared" si="163"/>
        <v>2027</v>
      </c>
      <c r="C1334">
        <f t="shared" si="168"/>
        <v>8</v>
      </c>
      <c r="D1334" t="str">
        <f t="shared" si="164"/>
        <v>August</v>
      </c>
      <c r="E1334">
        <f t="shared" si="169"/>
        <v>35</v>
      </c>
      <c r="F1334">
        <f t="shared" si="170"/>
        <v>25</v>
      </c>
      <c r="G1334" t="str">
        <f t="shared" si="165"/>
        <v>Wednesday</v>
      </c>
      <c r="H1334" t="b">
        <f t="shared" si="166"/>
        <v>0</v>
      </c>
      <c r="I1334">
        <f t="shared" si="167"/>
        <v>237</v>
      </c>
      <c r="J1334" t="s">
        <v>28</v>
      </c>
      <c r="K1334">
        <v>20270825</v>
      </c>
    </row>
    <row r="1335" spans="1:11" x14ac:dyDescent="0.3">
      <c r="A1335" s="4">
        <v>46625</v>
      </c>
      <c r="B1335">
        <f t="shared" si="163"/>
        <v>2027</v>
      </c>
      <c r="C1335">
        <f t="shared" si="168"/>
        <v>8</v>
      </c>
      <c r="D1335" t="str">
        <f t="shared" si="164"/>
        <v>August</v>
      </c>
      <c r="E1335">
        <f t="shared" si="169"/>
        <v>35</v>
      </c>
      <c r="F1335">
        <f t="shared" si="170"/>
        <v>26</v>
      </c>
      <c r="G1335" t="str">
        <f t="shared" si="165"/>
        <v>Thursday</v>
      </c>
      <c r="H1335" t="b">
        <f t="shared" si="166"/>
        <v>0</v>
      </c>
      <c r="I1335">
        <f t="shared" si="167"/>
        <v>238</v>
      </c>
      <c r="J1335" t="s">
        <v>28</v>
      </c>
      <c r="K1335">
        <v>20270826</v>
      </c>
    </row>
    <row r="1336" spans="1:11" x14ac:dyDescent="0.3">
      <c r="A1336" s="4">
        <v>46626</v>
      </c>
      <c r="B1336">
        <f t="shared" si="163"/>
        <v>2027</v>
      </c>
      <c r="C1336">
        <f t="shared" si="168"/>
        <v>8</v>
      </c>
      <c r="D1336" t="str">
        <f t="shared" si="164"/>
        <v>August</v>
      </c>
      <c r="E1336">
        <f t="shared" si="169"/>
        <v>35</v>
      </c>
      <c r="F1336">
        <f t="shared" si="170"/>
        <v>27</v>
      </c>
      <c r="G1336" t="str">
        <f t="shared" si="165"/>
        <v>Friday</v>
      </c>
      <c r="H1336" t="b">
        <f t="shared" si="166"/>
        <v>0</v>
      </c>
      <c r="I1336">
        <f t="shared" si="167"/>
        <v>239</v>
      </c>
      <c r="J1336" t="s">
        <v>28</v>
      </c>
      <c r="K1336">
        <v>20270827</v>
      </c>
    </row>
    <row r="1337" spans="1:11" x14ac:dyDescent="0.3">
      <c r="A1337" s="4">
        <v>46627</v>
      </c>
      <c r="B1337">
        <f t="shared" si="163"/>
        <v>2027</v>
      </c>
      <c r="C1337">
        <f t="shared" si="168"/>
        <v>8</v>
      </c>
      <c r="D1337" t="str">
        <f t="shared" si="164"/>
        <v>August</v>
      </c>
      <c r="E1337">
        <f t="shared" si="169"/>
        <v>35</v>
      </c>
      <c r="F1337">
        <f t="shared" si="170"/>
        <v>28</v>
      </c>
      <c r="G1337" t="str">
        <f t="shared" si="165"/>
        <v>Saturday</v>
      </c>
      <c r="H1337" t="b">
        <f t="shared" si="166"/>
        <v>1</v>
      </c>
      <c r="I1337">
        <f t="shared" si="167"/>
        <v>240</v>
      </c>
      <c r="J1337" t="s">
        <v>28</v>
      </c>
      <c r="K1337">
        <v>20270828</v>
      </c>
    </row>
    <row r="1338" spans="1:11" x14ac:dyDescent="0.3">
      <c r="A1338" s="4">
        <v>46628</v>
      </c>
      <c r="B1338">
        <f t="shared" si="163"/>
        <v>2027</v>
      </c>
      <c r="C1338">
        <f t="shared" si="168"/>
        <v>8</v>
      </c>
      <c r="D1338" t="str">
        <f t="shared" si="164"/>
        <v>August</v>
      </c>
      <c r="E1338">
        <f t="shared" si="169"/>
        <v>36</v>
      </c>
      <c r="F1338">
        <f t="shared" si="170"/>
        <v>29</v>
      </c>
      <c r="G1338" t="str">
        <f t="shared" si="165"/>
        <v>Sunday</v>
      </c>
      <c r="H1338" t="b">
        <f t="shared" si="166"/>
        <v>1</v>
      </c>
      <c r="I1338">
        <f t="shared" si="167"/>
        <v>241</v>
      </c>
      <c r="J1338" t="s">
        <v>28</v>
      </c>
      <c r="K1338">
        <v>20270829</v>
      </c>
    </row>
    <row r="1339" spans="1:11" x14ac:dyDescent="0.3">
      <c r="A1339" s="4">
        <v>46629</v>
      </c>
      <c r="B1339">
        <f t="shared" si="163"/>
        <v>2027</v>
      </c>
      <c r="C1339">
        <f t="shared" si="168"/>
        <v>8</v>
      </c>
      <c r="D1339" t="str">
        <f t="shared" si="164"/>
        <v>August</v>
      </c>
      <c r="E1339">
        <f t="shared" si="169"/>
        <v>36</v>
      </c>
      <c r="F1339">
        <f t="shared" si="170"/>
        <v>30</v>
      </c>
      <c r="G1339" t="str">
        <f t="shared" si="165"/>
        <v>Monday</v>
      </c>
      <c r="H1339" t="b">
        <f t="shared" si="166"/>
        <v>0</v>
      </c>
      <c r="I1339">
        <f t="shared" si="167"/>
        <v>242</v>
      </c>
      <c r="J1339" t="s">
        <v>28</v>
      </c>
      <c r="K1339">
        <v>20270830</v>
      </c>
    </row>
    <row r="1340" spans="1:11" x14ac:dyDescent="0.3">
      <c r="A1340" s="4">
        <v>46630</v>
      </c>
      <c r="B1340">
        <f t="shared" si="163"/>
        <v>2027</v>
      </c>
      <c r="C1340">
        <f t="shared" si="168"/>
        <v>8</v>
      </c>
      <c r="D1340" t="str">
        <f t="shared" si="164"/>
        <v>August</v>
      </c>
      <c r="E1340">
        <f t="shared" si="169"/>
        <v>36</v>
      </c>
      <c r="F1340">
        <f t="shared" si="170"/>
        <v>31</v>
      </c>
      <c r="G1340" t="str">
        <f t="shared" si="165"/>
        <v>Tuesday</v>
      </c>
      <c r="H1340" t="b">
        <f t="shared" si="166"/>
        <v>0</v>
      </c>
      <c r="I1340">
        <f t="shared" si="167"/>
        <v>243</v>
      </c>
      <c r="J1340" t="s">
        <v>28</v>
      </c>
      <c r="K1340">
        <v>20270831</v>
      </c>
    </row>
    <row r="1341" spans="1:11" x14ac:dyDescent="0.3">
      <c r="A1341" s="4">
        <v>46631</v>
      </c>
      <c r="B1341">
        <f t="shared" si="163"/>
        <v>2027</v>
      </c>
      <c r="C1341">
        <f t="shared" si="168"/>
        <v>9</v>
      </c>
      <c r="D1341" t="str">
        <f t="shared" si="164"/>
        <v>September</v>
      </c>
      <c r="E1341">
        <f t="shared" si="169"/>
        <v>36</v>
      </c>
      <c r="F1341">
        <f t="shared" si="170"/>
        <v>1</v>
      </c>
      <c r="G1341" t="str">
        <f t="shared" si="165"/>
        <v>Wednesday</v>
      </c>
      <c r="H1341" t="b">
        <f t="shared" si="166"/>
        <v>0</v>
      </c>
      <c r="I1341">
        <f t="shared" si="167"/>
        <v>244</v>
      </c>
      <c r="J1341" t="s">
        <v>25</v>
      </c>
      <c r="K1341">
        <v>20270901</v>
      </c>
    </row>
    <row r="1342" spans="1:11" x14ac:dyDescent="0.3">
      <c r="A1342" s="4">
        <v>46632</v>
      </c>
      <c r="B1342">
        <f t="shared" si="163"/>
        <v>2027</v>
      </c>
      <c r="C1342">
        <f t="shared" si="168"/>
        <v>9</v>
      </c>
      <c r="D1342" t="str">
        <f t="shared" si="164"/>
        <v>September</v>
      </c>
      <c r="E1342">
        <f t="shared" si="169"/>
        <v>36</v>
      </c>
      <c r="F1342">
        <f t="shared" si="170"/>
        <v>2</v>
      </c>
      <c r="G1342" t="str">
        <f t="shared" si="165"/>
        <v>Thursday</v>
      </c>
      <c r="H1342" t="b">
        <f t="shared" si="166"/>
        <v>0</v>
      </c>
      <c r="I1342">
        <f t="shared" si="167"/>
        <v>245</v>
      </c>
      <c r="J1342" t="s">
        <v>25</v>
      </c>
      <c r="K1342">
        <v>20270902</v>
      </c>
    </row>
    <row r="1343" spans="1:11" x14ac:dyDescent="0.3">
      <c r="A1343" s="4">
        <v>46633</v>
      </c>
      <c r="B1343">
        <f t="shared" si="163"/>
        <v>2027</v>
      </c>
      <c r="C1343">
        <f t="shared" si="168"/>
        <v>9</v>
      </c>
      <c r="D1343" t="str">
        <f t="shared" si="164"/>
        <v>September</v>
      </c>
      <c r="E1343">
        <f t="shared" si="169"/>
        <v>36</v>
      </c>
      <c r="F1343">
        <f t="shared" si="170"/>
        <v>3</v>
      </c>
      <c r="G1343" t="str">
        <f t="shared" si="165"/>
        <v>Friday</v>
      </c>
      <c r="H1343" t="b">
        <f t="shared" si="166"/>
        <v>0</v>
      </c>
      <c r="I1343">
        <f t="shared" si="167"/>
        <v>246</v>
      </c>
      <c r="J1343" t="s">
        <v>25</v>
      </c>
      <c r="K1343">
        <v>20270903</v>
      </c>
    </row>
    <row r="1344" spans="1:11" x14ac:dyDescent="0.3">
      <c r="A1344" s="4">
        <v>46634</v>
      </c>
      <c r="B1344">
        <f t="shared" si="163"/>
        <v>2027</v>
      </c>
      <c r="C1344">
        <f t="shared" si="168"/>
        <v>9</v>
      </c>
      <c r="D1344" t="str">
        <f t="shared" si="164"/>
        <v>September</v>
      </c>
      <c r="E1344">
        <f t="shared" si="169"/>
        <v>36</v>
      </c>
      <c r="F1344">
        <f t="shared" si="170"/>
        <v>4</v>
      </c>
      <c r="G1344" t="str">
        <f t="shared" si="165"/>
        <v>Saturday</v>
      </c>
      <c r="H1344" t="b">
        <f t="shared" si="166"/>
        <v>1</v>
      </c>
      <c r="I1344">
        <f t="shared" si="167"/>
        <v>247</v>
      </c>
      <c r="J1344" t="s">
        <v>25</v>
      </c>
      <c r="K1344">
        <v>20270904</v>
      </c>
    </row>
    <row r="1345" spans="1:11" x14ac:dyDescent="0.3">
      <c r="A1345" s="4">
        <v>46635</v>
      </c>
      <c r="B1345">
        <f t="shared" si="163"/>
        <v>2027</v>
      </c>
      <c r="C1345">
        <f t="shared" si="168"/>
        <v>9</v>
      </c>
      <c r="D1345" t="str">
        <f t="shared" si="164"/>
        <v>September</v>
      </c>
      <c r="E1345">
        <f t="shared" si="169"/>
        <v>37</v>
      </c>
      <c r="F1345">
        <f t="shared" si="170"/>
        <v>5</v>
      </c>
      <c r="G1345" t="str">
        <f t="shared" si="165"/>
        <v>Sunday</v>
      </c>
      <c r="H1345" t="b">
        <f t="shared" si="166"/>
        <v>1</v>
      </c>
      <c r="I1345">
        <f t="shared" si="167"/>
        <v>248</v>
      </c>
      <c r="J1345" t="s">
        <v>25</v>
      </c>
      <c r="K1345">
        <v>20270905</v>
      </c>
    </row>
    <row r="1346" spans="1:11" x14ac:dyDescent="0.3">
      <c r="A1346" s="4">
        <v>46636</v>
      </c>
      <c r="B1346">
        <f t="shared" si="163"/>
        <v>2027</v>
      </c>
      <c r="C1346">
        <f t="shared" si="168"/>
        <v>9</v>
      </c>
      <c r="D1346" t="str">
        <f t="shared" si="164"/>
        <v>September</v>
      </c>
      <c r="E1346">
        <f t="shared" si="169"/>
        <v>37</v>
      </c>
      <c r="F1346">
        <f t="shared" si="170"/>
        <v>6</v>
      </c>
      <c r="G1346" t="str">
        <f t="shared" si="165"/>
        <v>Monday</v>
      </c>
      <c r="H1346" t="b">
        <f t="shared" si="166"/>
        <v>0</v>
      </c>
      <c r="I1346">
        <f t="shared" si="167"/>
        <v>249</v>
      </c>
      <c r="J1346" t="s">
        <v>25</v>
      </c>
      <c r="K1346">
        <v>20270906</v>
      </c>
    </row>
    <row r="1347" spans="1:11" x14ac:dyDescent="0.3">
      <c r="A1347" s="4">
        <v>46637</v>
      </c>
      <c r="B1347">
        <f t="shared" ref="B1347:B1410" si="171">YEAR(A1347)</f>
        <v>2027</v>
      </c>
      <c r="C1347">
        <f t="shared" si="168"/>
        <v>9</v>
      </c>
      <c r="D1347" t="str">
        <f t="shared" ref="D1347:D1410" si="172">TEXT(A1347,"mmmm")</f>
        <v>September</v>
      </c>
      <c r="E1347">
        <f t="shared" si="169"/>
        <v>37</v>
      </c>
      <c r="F1347">
        <f t="shared" si="170"/>
        <v>7</v>
      </c>
      <c r="G1347" t="str">
        <f t="shared" ref="G1347:G1410" si="173">TEXT((A1347),"dddd")</f>
        <v>Tuesday</v>
      </c>
      <c r="H1347" t="b">
        <f t="shared" ref="H1347:H1410" si="174">IF(OR(G1347="Saturday",G1347="Sunday"),TRUE,FALSE)</f>
        <v>0</v>
      </c>
      <c r="I1347">
        <f t="shared" ref="I1347:I1410" si="175">A1347-DATE(YEAR(A1347),1,1)+1</f>
        <v>250</v>
      </c>
      <c r="J1347" t="s">
        <v>25</v>
      </c>
      <c r="K1347">
        <v>20270907</v>
      </c>
    </row>
    <row r="1348" spans="1:11" x14ac:dyDescent="0.3">
      <c r="A1348" s="4">
        <v>46638</v>
      </c>
      <c r="B1348">
        <f t="shared" si="171"/>
        <v>2027</v>
      </c>
      <c r="C1348">
        <f t="shared" si="168"/>
        <v>9</v>
      </c>
      <c r="D1348" t="str">
        <f t="shared" si="172"/>
        <v>September</v>
      </c>
      <c r="E1348">
        <f t="shared" si="169"/>
        <v>37</v>
      </c>
      <c r="F1348">
        <f t="shared" si="170"/>
        <v>8</v>
      </c>
      <c r="G1348" t="str">
        <f t="shared" si="173"/>
        <v>Wednesday</v>
      </c>
      <c r="H1348" t="b">
        <f t="shared" si="174"/>
        <v>0</v>
      </c>
      <c r="I1348">
        <f t="shared" si="175"/>
        <v>251</v>
      </c>
      <c r="J1348" t="s">
        <v>25</v>
      </c>
      <c r="K1348">
        <v>20270908</v>
      </c>
    </row>
    <row r="1349" spans="1:11" x14ac:dyDescent="0.3">
      <c r="A1349" s="4">
        <v>46639</v>
      </c>
      <c r="B1349">
        <f t="shared" si="171"/>
        <v>2027</v>
      </c>
      <c r="C1349">
        <f t="shared" si="168"/>
        <v>9</v>
      </c>
      <c r="D1349" t="str">
        <f t="shared" si="172"/>
        <v>September</v>
      </c>
      <c r="E1349">
        <f t="shared" si="169"/>
        <v>37</v>
      </c>
      <c r="F1349">
        <f t="shared" si="170"/>
        <v>9</v>
      </c>
      <c r="G1349" t="str">
        <f t="shared" si="173"/>
        <v>Thursday</v>
      </c>
      <c r="H1349" t="b">
        <f t="shared" si="174"/>
        <v>0</v>
      </c>
      <c r="I1349">
        <f t="shared" si="175"/>
        <v>252</v>
      </c>
      <c r="J1349" t="s">
        <v>25</v>
      </c>
      <c r="K1349">
        <v>20270909</v>
      </c>
    </row>
    <row r="1350" spans="1:11" x14ac:dyDescent="0.3">
      <c r="A1350" s="4">
        <v>46640</v>
      </c>
      <c r="B1350">
        <f t="shared" si="171"/>
        <v>2027</v>
      </c>
      <c r="C1350">
        <f t="shared" si="168"/>
        <v>9</v>
      </c>
      <c r="D1350" t="str">
        <f t="shared" si="172"/>
        <v>September</v>
      </c>
      <c r="E1350">
        <f t="shared" si="169"/>
        <v>37</v>
      </c>
      <c r="F1350">
        <f t="shared" si="170"/>
        <v>10</v>
      </c>
      <c r="G1350" t="str">
        <f t="shared" si="173"/>
        <v>Friday</v>
      </c>
      <c r="H1350" t="b">
        <f t="shared" si="174"/>
        <v>0</v>
      </c>
      <c r="I1350">
        <f t="shared" si="175"/>
        <v>253</v>
      </c>
      <c r="J1350" t="s">
        <v>25</v>
      </c>
      <c r="K1350">
        <v>20270910</v>
      </c>
    </row>
    <row r="1351" spans="1:11" x14ac:dyDescent="0.3">
      <c r="A1351" s="4">
        <v>46641</v>
      </c>
      <c r="B1351">
        <f t="shared" si="171"/>
        <v>2027</v>
      </c>
      <c r="C1351">
        <f t="shared" si="168"/>
        <v>9</v>
      </c>
      <c r="D1351" t="str">
        <f t="shared" si="172"/>
        <v>September</v>
      </c>
      <c r="E1351">
        <f t="shared" si="169"/>
        <v>37</v>
      </c>
      <c r="F1351">
        <f t="shared" si="170"/>
        <v>11</v>
      </c>
      <c r="G1351" t="str">
        <f t="shared" si="173"/>
        <v>Saturday</v>
      </c>
      <c r="H1351" t="b">
        <f t="shared" si="174"/>
        <v>1</v>
      </c>
      <c r="I1351">
        <f t="shared" si="175"/>
        <v>254</v>
      </c>
      <c r="J1351" t="s">
        <v>25</v>
      </c>
      <c r="K1351">
        <v>20270911</v>
      </c>
    </row>
    <row r="1352" spans="1:11" x14ac:dyDescent="0.3">
      <c r="A1352" s="4">
        <v>46642</v>
      </c>
      <c r="B1352">
        <f t="shared" si="171"/>
        <v>2027</v>
      </c>
      <c r="C1352">
        <f t="shared" si="168"/>
        <v>9</v>
      </c>
      <c r="D1352" t="str">
        <f t="shared" si="172"/>
        <v>September</v>
      </c>
      <c r="E1352">
        <f t="shared" si="169"/>
        <v>38</v>
      </c>
      <c r="F1352">
        <f t="shared" si="170"/>
        <v>12</v>
      </c>
      <c r="G1352" t="str">
        <f t="shared" si="173"/>
        <v>Sunday</v>
      </c>
      <c r="H1352" t="b">
        <f t="shared" si="174"/>
        <v>1</v>
      </c>
      <c r="I1352">
        <f t="shared" si="175"/>
        <v>255</v>
      </c>
      <c r="J1352" t="s">
        <v>25</v>
      </c>
      <c r="K1352">
        <v>20270912</v>
      </c>
    </row>
    <row r="1353" spans="1:11" x14ac:dyDescent="0.3">
      <c r="A1353" s="4">
        <v>46643</v>
      </c>
      <c r="B1353">
        <f t="shared" si="171"/>
        <v>2027</v>
      </c>
      <c r="C1353">
        <f t="shared" si="168"/>
        <v>9</v>
      </c>
      <c r="D1353" t="str">
        <f t="shared" si="172"/>
        <v>September</v>
      </c>
      <c r="E1353">
        <f t="shared" si="169"/>
        <v>38</v>
      </c>
      <c r="F1353">
        <f t="shared" si="170"/>
        <v>13</v>
      </c>
      <c r="G1353" t="str">
        <f t="shared" si="173"/>
        <v>Monday</v>
      </c>
      <c r="H1353" t="b">
        <f t="shared" si="174"/>
        <v>0</v>
      </c>
      <c r="I1353">
        <f t="shared" si="175"/>
        <v>256</v>
      </c>
      <c r="J1353" t="s">
        <v>25</v>
      </c>
      <c r="K1353">
        <v>20270913</v>
      </c>
    </row>
    <row r="1354" spans="1:11" x14ac:dyDescent="0.3">
      <c r="A1354" s="4">
        <v>46644</v>
      </c>
      <c r="B1354">
        <f t="shared" si="171"/>
        <v>2027</v>
      </c>
      <c r="C1354">
        <f t="shared" ref="C1354:C1417" si="176">MONTH(A1354)</f>
        <v>9</v>
      </c>
      <c r="D1354" t="str">
        <f t="shared" si="172"/>
        <v>September</v>
      </c>
      <c r="E1354">
        <f t="shared" ref="E1354:E1417" si="177">WEEKNUM(A1354)</f>
        <v>38</v>
      </c>
      <c r="F1354">
        <f t="shared" ref="F1354:F1417" si="178">DAY(A1354)</f>
        <v>14</v>
      </c>
      <c r="G1354" t="str">
        <f t="shared" si="173"/>
        <v>Tuesday</v>
      </c>
      <c r="H1354" t="b">
        <f t="shared" si="174"/>
        <v>0</v>
      </c>
      <c r="I1354">
        <f t="shared" si="175"/>
        <v>257</v>
      </c>
      <c r="J1354" t="s">
        <v>25</v>
      </c>
      <c r="K1354">
        <v>20270914</v>
      </c>
    </row>
    <row r="1355" spans="1:11" x14ac:dyDescent="0.3">
      <c r="A1355" s="4">
        <v>46645</v>
      </c>
      <c r="B1355">
        <f t="shared" si="171"/>
        <v>2027</v>
      </c>
      <c r="C1355">
        <f t="shared" si="176"/>
        <v>9</v>
      </c>
      <c r="D1355" t="str">
        <f t="shared" si="172"/>
        <v>September</v>
      </c>
      <c r="E1355">
        <f t="shared" si="177"/>
        <v>38</v>
      </c>
      <c r="F1355">
        <f t="shared" si="178"/>
        <v>15</v>
      </c>
      <c r="G1355" t="str">
        <f t="shared" si="173"/>
        <v>Wednesday</v>
      </c>
      <c r="H1355" t="b">
        <f t="shared" si="174"/>
        <v>0</v>
      </c>
      <c r="I1355">
        <f t="shared" si="175"/>
        <v>258</v>
      </c>
      <c r="J1355" t="s">
        <v>25</v>
      </c>
      <c r="K1355">
        <v>20270915</v>
      </c>
    </row>
    <row r="1356" spans="1:11" x14ac:dyDescent="0.3">
      <c r="A1356" s="4">
        <v>46646</v>
      </c>
      <c r="B1356">
        <f t="shared" si="171"/>
        <v>2027</v>
      </c>
      <c r="C1356">
        <f t="shared" si="176"/>
        <v>9</v>
      </c>
      <c r="D1356" t="str">
        <f t="shared" si="172"/>
        <v>September</v>
      </c>
      <c r="E1356">
        <f t="shared" si="177"/>
        <v>38</v>
      </c>
      <c r="F1356">
        <f t="shared" si="178"/>
        <v>16</v>
      </c>
      <c r="G1356" t="str">
        <f t="shared" si="173"/>
        <v>Thursday</v>
      </c>
      <c r="H1356" t="b">
        <f t="shared" si="174"/>
        <v>0</v>
      </c>
      <c r="I1356">
        <f t="shared" si="175"/>
        <v>259</v>
      </c>
      <c r="J1356" t="s">
        <v>25</v>
      </c>
      <c r="K1356">
        <v>20270916</v>
      </c>
    </row>
    <row r="1357" spans="1:11" x14ac:dyDescent="0.3">
      <c r="A1357" s="4">
        <v>46647</v>
      </c>
      <c r="B1357">
        <f t="shared" si="171"/>
        <v>2027</v>
      </c>
      <c r="C1357">
        <f t="shared" si="176"/>
        <v>9</v>
      </c>
      <c r="D1357" t="str">
        <f t="shared" si="172"/>
        <v>September</v>
      </c>
      <c r="E1357">
        <f t="shared" si="177"/>
        <v>38</v>
      </c>
      <c r="F1357">
        <f t="shared" si="178"/>
        <v>17</v>
      </c>
      <c r="G1357" t="str">
        <f t="shared" si="173"/>
        <v>Friday</v>
      </c>
      <c r="H1357" t="b">
        <f t="shared" si="174"/>
        <v>0</v>
      </c>
      <c r="I1357">
        <f t="shared" si="175"/>
        <v>260</v>
      </c>
      <c r="J1357" t="s">
        <v>25</v>
      </c>
      <c r="K1357">
        <v>20270917</v>
      </c>
    </row>
    <row r="1358" spans="1:11" x14ac:dyDescent="0.3">
      <c r="A1358" s="4">
        <v>46648</v>
      </c>
      <c r="B1358">
        <f t="shared" si="171"/>
        <v>2027</v>
      </c>
      <c r="C1358">
        <f t="shared" si="176"/>
        <v>9</v>
      </c>
      <c r="D1358" t="str">
        <f t="shared" si="172"/>
        <v>September</v>
      </c>
      <c r="E1358">
        <f t="shared" si="177"/>
        <v>38</v>
      </c>
      <c r="F1358">
        <f t="shared" si="178"/>
        <v>18</v>
      </c>
      <c r="G1358" t="str">
        <f t="shared" si="173"/>
        <v>Saturday</v>
      </c>
      <c r="H1358" t="b">
        <f t="shared" si="174"/>
        <v>1</v>
      </c>
      <c r="I1358">
        <f t="shared" si="175"/>
        <v>261</v>
      </c>
      <c r="J1358" t="s">
        <v>25</v>
      </c>
      <c r="K1358">
        <v>20270918</v>
      </c>
    </row>
    <row r="1359" spans="1:11" x14ac:dyDescent="0.3">
      <c r="A1359" s="4">
        <v>46649</v>
      </c>
      <c r="B1359">
        <f t="shared" si="171"/>
        <v>2027</v>
      </c>
      <c r="C1359">
        <f t="shared" si="176"/>
        <v>9</v>
      </c>
      <c r="D1359" t="str">
        <f t="shared" si="172"/>
        <v>September</v>
      </c>
      <c r="E1359">
        <f t="shared" si="177"/>
        <v>39</v>
      </c>
      <c r="F1359">
        <f t="shared" si="178"/>
        <v>19</v>
      </c>
      <c r="G1359" t="str">
        <f t="shared" si="173"/>
        <v>Sunday</v>
      </c>
      <c r="H1359" t="b">
        <f t="shared" si="174"/>
        <v>1</v>
      </c>
      <c r="I1359">
        <f t="shared" si="175"/>
        <v>262</v>
      </c>
      <c r="J1359" t="s">
        <v>25</v>
      </c>
      <c r="K1359">
        <v>20270919</v>
      </c>
    </row>
    <row r="1360" spans="1:11" x14ac:dyDescent="0.3">
      <c r="A1360" s="4">
        <v>46650</v>
      </c>
      <c r="B1360">
        <f t="shared" si="171"/>
        <v>2027</v>
      </c>
      <c r="C1360">
        <f t="shared" si="176"/>
        <v>9</v>
      </c>
      <c r="D1360" t="str">
        <f t="shared" si="172"/>
        <v>September</v>
      </c>
      <c r="E1360">
        <f t="shared" si="177"/>
        <v>39</v>
      </c>
      <c r="F1360">
        <f t="shared" si="178"/>
        <v>20</v>
      </c>
      <c r="G1360" t="str">
        <f t="shared" si="173"/>
        <v>Monday</v>
      </c>
      <c r="H1360" t="b">
        <f t="shared" si="174"/>
        <v>0</v>
      </c>
      <c r="I1360">
        <f t="shared" si="175"/>
        <v>263</v>
      </c>
      <c r="J1360" t="s">
        <v>25</v>
      </c>
      <c r="K1360">
        <v>20270920</v>
      </c>
    </row>
    <row r="1361" spans="1:11" x14ac:dyDescent="0.3">
      <c r="A1361" s="4">
        <v>46651</v>
      </c>
      <c r="B1361">
        <f t="shared" si="171"/>
        <v>2027</v>
      </c>
      <c r="C1361">
        <f t="shared" si="176"/>
        <v>9</v>
      </c>
      <c r="D1361" t="str">
        <f t="shared" si="172"/>
        <v>September</v>
      </c>
      <c r="E1361">
        <f t="shared" si="177"/>
        <v>39</v>
      </c>
      <c r="F1361">
        <f t="shared" si="178"/>
        <v>21</v>
      </c>
      <c r="G1361" t="str">
        <f t="shared" si="173"/>
        <v>Tuesday</v>
      </c>
      <c r="H1361" t="b">
        <f t="shared" si="174"/>
        <v>0</v>
      </c>
      <c r="I1361">
        <f t="shared" si="175"/>
        <v>264</v>
      </c>
      <c r="J1361" t="s">
        <v>25</v>
      </c>
      <c r="K1361">
        <v>20270921</v>
      </c>
    </row>
    <row r="1362" spans="1:11" x14ac:dyDescent="0.3">
      <c r="A1362" s="4">
        <v>46652</v>
      </c>
      <c r="B1362">
        <f t="shared" si="171"/>
        <v>2027</v>
      </c>
      <c r="C1362">
        <f t="shared" si="176"/>
        <v>9</v>
      </c>
      <c r="D1362" t="str">
        <f t="shared" si="172"/>
        <v>September</v>
      </c>
      <c r="E1362">
        <f t="shared" si="177"/>
        <v>39</v>
      </c>
      <c r="F1362">
        <f t="shared" si="178"/>
        <v>22</v>
      </c>
      <c r="G1362" t="str">
        <f t="shared" si="173"/>
        <v>Wednesday</v>
      </c>
      <c r="H1362" t="b">
        <f t="shared" si="174"/>
        <v>0</v>
      </c>
      <c r="I1362">
        <f t="shared" si="175"/>
        <v>265</v>
      </c>
      <c r="J1362" t="s">
        <v>25</v>
      </c>
      <c r="K1362">
        <v>20270922</v>
      </c>
    </row>
    <row r="1363" spans="1:11" x14ac:dyDescent="0.3">
      <c r="A1363" s="4">
        <v>46653</v>
      </c>
      <c r="B1363">
        <f t="shared" si="171"/>
        <v>2027</v>
      </c>
      <c r="C1363">
        <f t="shared" si="176"/>
        <v>9</v>
      </c>
      <c r="D1363" t="str">
        <f t="shared" si="172"/>
        <v>September</v>
      </c>
      <c r="E1363">
        <f t="shared" si="177"/>
        <v>39</v>
      </c>
      <c r="F1363">
        <f t="shared" si="178"/>
        <v>23</v>
      </c>
      <c r="G1363" t="str">
        <f t="shared" si="173"/>
        <v>Thursday</v>
      </c>
      <c r="H1363" t="b">
        <f t="shared" si="174"/>
        <v>0</v>
      </c>
      <c r="I1363">
        <f t="shared" si="175"/>
        <v>266</v>
      </c>
      <c r="J1363" t="s">
        <v>25</v>
      </c>
      <c r="K1363">
        <v>20270923</v>
      </c>
    </row>
    <row r="1364" spans="1:11" x14ac:dyDescent="0.3">
      <c r="A1364" s="4">
        <v>46654</v>
      </c>
      <c r="B1364">
        <f t="shared" si="171"/>
        <v>2027</v>
      </c>
      <c r="C1364">
        <f t="shared" si="176"/>
        <v>9</v>
      </c>
      <c r="D1364" t="str">
        <f t="shared" si="172"/>
        <v>September</v>
      </c>
      <c r="E1364">
        <f t="shared" si="177"/>
        <v>39</v>
      </c>
      <c r="F1364">
        <f t="shared" si="178"/>
        <v>24</v>
      </c>
      <c r="G1364" t="str">
        <f t="shared" si="173"/>
        <v>Friday</v>
      </c>
      <c r="H1364" t="b">
        <f t="shared" si="174"/>
        <v>0</v>
      </c>
      <c r="I1364">
        <f t="shared" si="175"/>
        <v>267</v>
      </c>
      <c r="J1364" t="s">
        <v>25</v>
      </c>
      <c r="K1364">
        <v>20270924</v>
      </c>
    </row>
    <row r="1365" spans="1:11" x14ac:dyDescent="0.3">
      <c r="A1365" s="4">
        <v>46655</v>
      </c>
      <c r="B1365">
        <f t="shared" si="171"/>
        <v>2027</v>
      </c>
      <c r="C1365">
        <f t="shared" si="176"/>
        <v>9</v>
      </c>
      <c r="D1365" t="str">
        <f t="shared" si="172"/>
        <v>September</v>
      </c>
      <c r="E1365">
        <f t="shared" si="177"/>
        <v>39</v>
      </c>
      <c r="F1365">
        <f t="shared" si="178"/>
        <v>25</v>
      </c>
      <c r="G1365" t="str">
        <f t="shared" si="173"/>
        <v>Saturday</v>
      </c>
      <c r="H1365" t="b">
        <f t="shared" si="174"/>
        <v>1</v>
      </c>
      <c r="I1365">
        <f t="shared" si="175"/>
        <v>268</v>
      </c>
      <c r="J1365" t="s">
        <v>25</v>
      </c>
      <c r="K1365">
        <v>20270925</v>
      </c>
    </row>
    <row r="1366" spans="1:11" x14ac:dyDescent="0.3">
      <c r="A1366" s="4">
        <v>46656</v>
      </c>
      <c r="B1366">
        <f t="shared" si="171"/>
        <v>2027</v>
      </c>
      <c r="C1366">
        <f t="shared" si="176"/>
        <v>9</v>
      </c>
      <c r="D1366" t="str">
        <f t="shared" si="172"/>
        <v>September</v>
      </c>
      <c r="E1366">
        <f t="shared" si="177"/>
        <v>40</v>
      </c>
      <c r="F1366">
        <f t="shared" si="178"/>
        <v>26</v>
      </c>
      <c r="G1366" t="str">
        <f t="shared" si="173"/>
        <v>Sunday</v>
      </c>
      <c r="H1366" t="b">
        <f t="shared" si="174"/>
        <v>1</v>
      </c>
      <c r="I1366">
        <f t="shared" si="175"/>
        <v>269</v>
      </c>
      <c r="J1366" t="s">
        <v>25</v>
      </c>
      <c r="K1366">
        <v>20270926</v>
      </c>
    </row>
    <row r="1367" spans="1:11" x14ac:dyDescent="0.3">
      <c r="A1367" s="4">
        <v>46657</v>
      </c>
      <c r="B1367">
        <f t="shared" si="171"/>
        <v>2027</v>
      </c>
      <c r="C1367">
        <f t="shared" si="176"/>
        <v>9</v>
      </c>
      <c r="D1367" t="str">
        <f t="shared" si="172"/>
        <v>September</v>
      </c>
      <c r="E1367">
        <f t="shared" si="177"/>
        <v>40</v>
      </c>
      <c r="F1367">
        <f t="shared" si="178"/>
        <v>27</v>
      </c>
      <c r="G1367" t="str">
        <f t="shared" si="173"/>
        <v>Monday</v>
      </c>
      <c r="H1367" t="b">
        <f t="shared" si="174"/>
        <v>0</v>
      </c>
      <c r="I1367">
        <f t="shared" si="175"/>
        <v>270</v>
      </c>
      <c r="J1367" t="s">
        <v>25</v>
      </c>
      <c r="K1367">
        <v>20270927</v>
      </c>
    </row>
    <row r="1368" spans="1:11" x14ac:dyDescent="0.3">
      <c r="A1368" s="4">
        <v>46658</v>
      </c>
      <c r="B1368">
        <f t="shared" si="171"/>
        <v>2027</v>
      </c>
      <c r="C1368">
        <f t="shared" si="176"/>
        <v>9</v>
      </c>
      <c r="D1368" t="str">
        <f t="shared" si="172"/>
        <v>September</v>
      </c>
      <c r="E1368">
        <f t="shared" si="177"/>
        <v>40</v>
      </c>
      <c r="F1368">
        <f t="shared" si="178"/>
        <v>28</v>
      </c>
      <c r="G1368" t="str">
        <f t="shared" si="173"/>
        <v>Tuesday</v>
      </c>
      <c r="H1368" t="b">
        <f t="shared" si="174"/>
        <v>0</v>
      </c>
      <c r="I1368">
        <f t="shared" si="175"/>
        <v>271</v>
      </c>
      <c r="J1368" t="s">
        <v>25</v>
      </c>
      <c r="K1368">
        <v>20270928</v>
      </c>
    </row>
    <row r="1369" spans="1:11" x14ac:dyDescent="0.3">
      <c r="A1369" s="4">
        <v>46659</v>
      </c>
      <c r="B1369">
        <f t="shared" si="171"/>
        <v>2027</v>
      </c>
      <c r="C1369">
        <f t="shared" si="176"/>
        <v>9</v>
      </c>
      <c r="D1369" t="str">
        <f t="shared" si="172"/>
        <v>September</v>
      </c>
      <c r="E1369">
        <f t="shared" si="177"/>
        <v>40</v>
      </c>
      <c r="F1369">
        <f t="shared" si="178"/>
        <v>29</v>
      </c>
      <c r="G1369" t="str">
        <f t="shared" si="173"/>
        <v>Wednesday</v>
      </c>
      <c r="H1369" t="b">
        <f t="shared" si="174"/>
        <v>0</v>
      </c>
      <c r="I1369">
        <f t="shared" si="175"/>
        <v>272</v>
      </c>
      <c r="J1369" t="s">
        <v>25</v>
      </c>
      <c r="K1369">
        <v>20270929</v>
      </c>
    </row>
    <row r="1370" spans="1:11" x14ac:dyDescent="0.3">
      <c r="A1370" s="4">
        <v>46660</v>
      </c>
      <c r="B1370">
        <f t="shared" si="171"/>
        <v>2027</v>
      </c>
      <c r="C1370">
        <f t="shared" si="176"/>
        <v>9</v>
      </c>
      <c r="D1370" t="str">
        <f t="shared" si="172"/>
        <v>September</v>
      </c>
      <c r="E1370">
        <f t="shared" si="177"/>
        <v>40</v>
      </c>
      <c r="F1370">
        <f t="shared" si="178"/>
        <v>30</v>
      </c>
      <c r="G1370" t="str">
        <f t="shared" si="173"/>
        <v>Thursday</v>
      </c>
      <c r="H1370" t="b">
        <f t="shared" si="174"/>
        <v>0</v>
      </c>
      <c r="I1370">
        <f t="shared" si="175"/>
        <v>273</v>
      </c>
      <c r="J1370" t="s">
        <v>25</v>
      </c>
      <c r="K1370">
        <v>20270930</v>
      </c>
    </row>
    <row r="1371" spans="1:11" x14ac:dyDescent="0.3">
      <c r="A1371" s="4">
        <v>46661</v>
      </c>
      <c r="B1371">
        <f t="shared" si="171"/>
        <v>2027</v>
      </c>
      <c r="C1371">
        <f t="shared" si="176"/>
        <v>10</v>
      </c>
      <c r="D1371" t="str">
        <f t="shared" si="172"/>
        <v>October</v>
      </c>
      <c r="E1371">
        <f t="shared" si="177"/>
        <v>40</v>
      </c>
      <c r="F1371">
        <f t="shared" si="178"/>
        <v>1</v>
      </c>
      <c r="G1371" t="str">
        <f t="shared" si="173"/>
        <v>Friday</v>
      </c>
      <c r="H1371" t="b">
        <f t="shared" si="174"/>
        <v>0</v>
      </c>
      <c r="I1371">
        <f t="shared" si="175"/>
        <v>274</v>
      </c>
      <c r="J1371" t="s">
        <v>25</v>
      </c>
      <c r="K1371">
        <v>20271001</v>
      </c>
    </row>
    <row r="1372" spans="1:11" x14ac:dyDescent="0.3">
      <c r="A1372" s="4">
        <v>46662</v>
      </c>
      <c r="B1372">
        <f t="shared" si="171"/>
        <v>2027</v>
      </c>
      <c r="C1372">
        <f t="shared" si="176"/>
        <v>10</v>
      </c>
      <c r="D1372" t="str">
        <f t="shared" si="172"/>
        <v>October</v>
      </c>
      <c r="E1372">
        <f t="shared" si="177"/>
        <v>40</v>
      </c>
      <c r="F1372">
        <f t="shared" si="178"/>
        <v>2</v>
      </c>
      <c r="G1372" t="str">
        <f t="shared" si="173"/>
        <v>Saturday</v>
      </c>
      <c r="H1372" t="b">
        <f t="shared" si="174"/>
        <v>1</v>
      </c>
      <c r="I1372">
        <f t="shared" si="175"/>
        <v>275</v>
      </c>
      <c r="J1372" t="s">
        <v>25</v>
      </c>
      <c r="K1372">
        <v>20271002</v>
      </c>
    </row>
    <row r="1373" spans="1:11" x14ac:dyDescent="0.3">
      <c r="A1373" s="4">
        <v>46663</v>
      </c>
      <c r="B1373">
        <f t="shared" si="171"/>
        <v>2027</v>
      </c>
      <c r="C1373">
        <f t="shared" si="176"/>
        <v>10</v>
      </c>
      <c r="D1373" t="str">
        <f t="shared" si="172"/>
        <v>October</v>
      </c>
      <c r="E1373">
        <f t="shared" si="177"/>
        <v>41</v>
      </c>
      <c r="F1373">
        <f t="shared" si="178"/>
        <v>3</v>
      </c>
      <c r="G1373" t="str">
        <f t="shared" si="173"/>
        <v>Sunday</v>
      </c>
      <c r="H1373" t="b">
        <f t="shared" si="174"/>
        <v>1</v>
      </c>
      <c r="I1373">
        <f t="shared" si="175"/>
        <v>276</v>
      </c>
      <c r="J1373" t="s">
        <v>25</v>
      </c>
      <c r="K1373">
        <v>20271003</v>
      </c>
    </row>
    <row r="1374" spans="1:11" x14ac:dyDescent="0.3">
      <c r="A1374" s="4">
        <v>46664</v>
      </c>
      <c r="B1374">
        <f t="shared" si="171"/>
        <v>2027</v>
      </c>
      <c r="C1374">
        <f t="shared" si="176"/>
        <v>10</v>
      </c>
      <c r="D1374" t="str">
        <f t="shared" si="172"/>
        <v>October</v>
      </c>
      <c r="E1374">
        <f t="shared" si="177"/>
        <v>41</v>
      </c>
      <c r="F1374">
        <f t="shared" si="178"/>
        <v>4</v>
      </c>
      <c r="G1374" t="str">
        <f t="shared" si="173"/>
        <v>Monday</v>
      </c>
      <c r="H1374" t="b">
        <f t="shared" si="174"/>
        <v>0</v>
      </c>
      <c r="I1374">
        <f t="shared" si="175"/>
        <v>277</v>
      </c>
      <c r="J1374" t="s">
        <v>25</v>
      </c>
      <c r="K1374">
        <v>20271004</v>
      </c>
    </row>
    <row r="1375" spans="1:11" x14ac:dyDescent="0.3">
      <c r="A1375" s="4">
        <v>46665</v>
      </c>
      <c r="B1375">
        <f t="shared" si="171"/>
        <v>2027</v>
      </c>
      <c r="C1375">
        <f t="shared" si="176"/>
        <v>10</v>
      </c>
      <c r="D1375" t="str">
        <f t="shared" si="172"/>
        <v>October</v>
      </c>
      <c r="E1375">
        <f t="shared" si="177"/>
        <v>41</v>
      </c>
      <c r="F1375">
        <f t="shared" si="178"/>
        <v>5</v>
      </c>
      <c r="G1375" t="str">
        <f t="shared" si="173"/>
        <v>Tuesday</v>
      </c>
      <c r="H1375" t="b">
        <f t="shared" si="174"/>
        <v>0</v>
      </c>
      <c r="I1375">
        <f t="shared" si="175"/>
        <v>278</v>
      </c>
      <c r="J1375" t="s">
        <v>25</v>
      </c>
      <c r="K1375">
        <v>20271005</v>
      </c>
    </row>
    <row r="1376" spans="1:11" x14ac:dyDescent="0.3">
      <c r="A1376" s="4">
        <v>46666</v>
      </c>
      <c r="B1376">
        <f t="shared" si="171"/>
        <v>2027</v>
      </c>
      <c r="C1376">
        <f t="shared" si="176"/>
        <v>10</v>
      </c>
      <c r="D1376" t="str">
        <f t="shared" si="172"/>
        <v>October</v>
      </c>
      <c r="E1376">
        <f t="shared" si="177"/>
        <v>41</v>
      </c>
      <c r="F1376">
        <f t="shared" si="178"/>
        <v>6</v>
      </c>
      <c r="G1376" t="str">
        <f t="shared" si="173"/>
        <v>Wednesday</v>
      </c>
      <c r="H1376" t="b">
        <f t="shared" si="174"/>
        <v>0</v>
      </c>
      <c r="I1376">
        <f t="shared" si="175"/>
        <v>279</v>
      </c>
      <c r="J1376" t="s">
        <v>25</v>
      </c>
      <c r="K1376">
        <v>20271006</v>
      </c>
    </row>
    <row r="1377" spans="1:11" x14ac:dyDescent="0.3">
      <c r="A1377" s="4">
        <v>46667</v>
      </c>
      <c r="B1377">
        <f t="shared" si="171"/>
        <v>2027</v>
      </c>
      <c r="C1377">
        <f t="shared" si="176"/>
        <v>10</v>
      </c>
      <c r="D1377" t="str">
        <f t="shared" si="172"/>
        <v>October</v>
      </c>
      <c r="E1377">
        <f t="shared" si="177"/>
        <v>41</v>
      </c>
      <c r="F1377">
        <f t="shared" si="178"/>
        <v>7</v>
      </c>
      <c r="G1377" t="str">
        <f t="shared" si="173"/>
        <v>Thursday</v>
      </c>
      <c r="H1377" t="b">
        <f t="shared" si="174"/>
        <v>0</v>
      </c>
      <c r="I1377">
        <f t="shared" si="175"/>
        <v>280</v>
      </c>
      <c r="J1377" t="s">
        <v>25</v>
      </c>
      <c r="K1377">
        <v>20271007</v>
      </c>
    </row>
    <row r="1378" spans="1:11" x14ac:dyDescent="0.3">
      <c r="A1378" s="4">
        <v>46668</v>
      </c>
      <c r="B1378">
        <f t="shared" si="171"/>
        <v>2027</v>
      </c>
      <c r="C1378">
        <f t="shared" si="176"/>
        <v>10</v>
      </c>
      <c r="D1378" t="str">
        <f t="shared" si="172"/>
        <v>October</v>
      </c>
      <c r="E1378">
        <f t="shared" si="177"/>
        <v>41</v>
      </c>
      <c r="F1378">
        <f t="shared" si="178"/>
        <v>8</v>
      </c>
      <c r="G1378" t="str">
        <f t="shared" si="173"/>
        <v>Friday</v>
      </c>
      <c r="H1378" t="b">
        <f t="shared" si="174"/>
        <v>0</v>
      </c>
      <c r="I1378">
        <f t="shared" si="175"/>
        <v>281</v>
      </c>
      <c r="J1378" t="s">
        <v>25</v>
      </c>
      <c r="K1378">
        <v>20271008</v>
      </c>
    </row>
    <row r="1379" spans="1:11" x14ac:dyDescent="0.3">
      <c r="A1379" s="4">
        <v>46669</v>
      </c>
      <c r="B1379">
        <f t="shared" si="171"/>
        <v>2027</v>
      </c>
      <c r="C1379">
        <f t="shared" si="176"/>
        <v>10</v>
      </c>
      <c r="D1379" t="str">
        <f t="shared" si="172"/>
        <v>October</v>
      </c>
      <c r="E1379">
        <f t="shared" si="177"/>
        <v>41</v>
      </c>
      <c r="F1379">
        <f t="shared" si="178"/>
        <v>9</v>
      </c>
      <c r="G1379" t="str">
        <f t="shared" si="173"/>
        <v>Saturday</v>
      </c>
      <c r="H1379" t="b">
        <f t="shared" si="174"/>
        <v>1</v>
      </c>
      <c r="I1379">
        <f t="shared" si="175"/>
        <v>282</v>
      </c>
      <c r="J1379" t="s">
        <v>25</v>
      </c>
      <c r="K1379">
        <v>20271009</v>
      </c>
    </row>
    <row r="1380" spans="1:11" x14ac:dyDescent="0.3">
      <c r="A1380" s="4">
        <v>46670</v>
      </c>
      <c r="B1380">
        <f t="shared" si="171"/>
        <v>2027</v>
      </c>
      <c r="C1380">
        <f t="shared" si="176"/>
        <v>10</v>
      </c>
      <c r="D1380" t="str">
        <f t="shared" si="172"/>
        <v>October</v>
      </c>
      <c r="E1380">
        <f t="shared" si="177"/>
        <v>42</v>
      </c>
      <c r="F1380">
        <f t="shared" si="178"/>
        <v>10</v>
      </c>
      <c r="G1380" t="str">
        <f t="shared" si="173"/>
        <v>Sunday</v>
      </c>
      <c r="H1380" t="b">
        <f t="shared" si="174"/>
        <v>1</v>
      </c>
      <c r="I1380">
        <f t="shared" si="175"/>
        <v>283</v>
      </c>
      <c r="J1380" t="s">
        <v>25</v>
      </c>
      <c r="K1380">
        <v>20271010</v>
      </c>
    </row>
    <row r="1381" spans="1:11" x14ac:dyDescent="0.3">
      <c r="A1381" s="4">
        <v>46671</v>
      </c>
      <c r="B1381">
        <f t="shared" si="171"/>
        <v>2027</v>
      </c>
      <c r="C1381">
        <f t="shared" si="176"/>
        <v>10</v>
      </c>
      <c r="D1381" t="str">
        <f t="shared" si="172"/>
        <v>October</v>
      </c>
      <c r="E1381">
        <f t="shared" si="177"/>
        <v>42</v>
      </c>
      <c r="F1381">
        <f t="shared" si="178"/>
        <v>11</v>
      </c>
      <c r="G1381" t="str">
        <f t="shared" si="173"/>
        <v>Monday</v>
      </c>
      <c r="H1381" t="b">
        <f t="shared" si="174"/>
        <v>0</v>
      </c>
      <c r="I1381">
        <f t="shared" si="175"/>
        <v>284</v>
      </c>
      <c r="J1381" t="s">
        <v>25</v>
      </c>
      <c r="K1381">
        <v>20271011</v>
      </c>
    </row>
    <row r="1382" spans="1:11" x14ac:dyDescent="0.3">
      <c r="A1382" s="4">
        <v>46672</v>
      </c>
      <c r="B1382">
        <f t="shared" si="171"/>
        <v>2027</v>
      </c>
      <c r="C1382">
        <f t="shared" si="176"/>
        <v>10</v>
      </c>
      <c r="D1382" t="str">
        <f t="shared" si="172"/>
        <v>October</v>
      </c>
      <c r="E1382">
        <f t="shared" si="177"/>
        <v>42</v>
      </c>
      <c r="F1382">
        <f t="shared" si="178"/>
        <v>12</v>
      </c>
      <c r="G1382" t="str">
        <f t="shared" si="173"/>
        <v>Tuesday</v>
      </c>
      <c r="H1382" t="b">
        <f t="shared" si="174"/>
        <v>0</v>
      </c>
      <c r="I1382">
        <f t="shared" si="175"/>
        <v>285</v>
      </c>
      <c r="J1382" t="s">
        <v>25</v>
      </c>
      <c r="K1382">
        <v>20271012</v>
      </c>
    </row>
    <row r="1383" spans="1:11" x14ac:dyDescent="0.3">
      <c r="A1383" s="4">
        <v>46673</v>
      </c>
      <c r="B1383">
        <f t="shared" si="171"/>
        <v>2027</v>
      </c>
      <c r="C1383">
        <f t="shared" si="176"/>
        <v>10</v>
      </c>
      <c r="D1383" t="str">
        <f t="shared" si="172"/>
        <v>October</v>
      </c>
      <c r="E1383">
        <f t="shared" si="177"/>
        <v>42</v>
      </c>
      <c r="F1383">
        <f t="shared" si="178"/>
        <v>13</v>
      </c>
      <c r="G1383" t="str">
        <f t="shared" si="173"/>
        <v>Wednesday</v>
      </c>
      <c r="H1383" t="b">
        <f t="shared" si="174"/>
        <v>0</v>
      </c>
      <c r="I1383">
        <f t="shared" si="175"/>
        <v>286</v>
      </c>
      <c r="J1383" t="s">
        <v>25</v>
      </c>
      <c r="K1383">
        <v>20271013</v>
      </c>
    </row>
    <row r="1384" spans="1:11" x14ac:dyDescent="0.3">
      <c r="A1384" s="4">
        <v>46674</v>
      </c>
      <c r="B1384">
        <f t="shared" si="171"/>
        <v>2027</v>
      </c>
      <c r="C1384">
        <f t="shared" si="176"/>
        <v>10</v>
      </c>
      <c r="D1384" t="str">
        <f t="shared" si="172"/>
        <v>October</v>
      </c>
      <c r="E1384">
        <f t="shared" si="177"/>
        <v>42</v>
      </c>
      <c r="F1384">
        <f t="shared" si="178"/>
        <v>14</v>
      </c>
      <c r="G1384" t="str">
        <f t="shared" si="173"/>
        <v>Thursday</v>
      </c>
      <c r="H1384" t="b">
        <f t="shared" si="174"/>
        <v>0</v>
      </c>
      <c r="I1384">
        <f t="shared" si="175"/>
        <v>287</v>
      </c>
      <c r="J1384" t="s">
        <v>25</v>
      </c>
      <c r="K1384">
        <v>20271014</v>
      </c>
    </row>
    <row r="1385" spans="1:11" x14ac:dyDescent="0.3">
      <c r="A1385" s="4">
        <v>46675</v>
      </c>
      <c r="B1385">
        <f t="shared" si="171"/>
        <v>2027</v>
      </c>
      <c r="C1385">
        <f t="shared" si="176"/>
        <v>10</v>
      </c>
      <c r="D1385" t="str">
        <f t="shared" si="172"/>
        <v>October</v>
      </c>
      <c r="E1385">
        <f t="shared" si="177"/>
        <v>42</v>
      </c>
      <c r="F1385">
        <f t="shared" si="178"/>
        <v>15</v>
      </c>
      <c r="G1385" t="str">
        <f t="shared" si="173"/>
        <v>Friday</v>
      </c>
      <c r="H1385" t="b">
        <f t="shared" si="174"/>
        <v>0</v>
      </c>
      <c r="I1385">
        <f t="shared" si="175"/>
        <v>288</v>
      </c>
      <c r="J1385" t="s">
        <v>25</v>
      </c>
      <c r="K1385">
        <v>20271015</v>
      </c>
    </row>
    <row r="1386" spans="1:11" x14ac:dyDescent="0.3">
      <c r="A1386" s="4">
        <v>46676</v>
      </c>
      <c r="B1386">
        <f t="shared" si="171"/>
        <v>2027</v>
      </c>
      <c r="C1386">
        <f t="shared" si="176"/>
        <v>10</v>
      </c>
      <c r="D1386" t="str">
        <f t="shared" si="172"/>
        <v>October</v>
      </c>
      <c r="E1386">
        <f t="shared" si="177"/>
        <v>42</v>
      </c>
      <c r="F1386">
        <f t="shared" si="178"/>
        <v>16</v>
      </c>
      <c r="G1386" t="str">
        <f t="shared" si="173"/>
        <v>Saturday</v>
      </c>
      <c r="H1386" t="b">
        <f t="shared" si="174"/>
        <v>1</v>
      </c>
      <c r="I1386">
        <f t="shared" si="175"/>
        <v>289</v>
      </c>
      <c r="J1386" t="s">
        <v>25</v>
      </c>
      <c r="K1386">
        <v>20271016</v>
      </c>
    </row>
    <row r="1387" spans="1:11" x14ac:dyDescent="0.3">
      <c r="A1387" s="4">
        <v>46677</v>
      </c>
      <c r="B1387">
        <f t="shared" si="171"/>
        <v>2027</v>
      </c>
      <c r="C1387">
        <f t="shared" si="176"/>
        <v>10</v>
      </c>
      <c r="D1387" t="str">
        <f t="shared" si="172"/>
        <v>October</v>
      </c>
      <c r="E1387">
        <f t="shared" si="177"/>
        <v>43</v>
      </c>
      <c r="F1387">
        <f t="shared" si="178"/>
        <v>17</v>
      </c>
      <c r="G1387" t="str">
        <f t="shared" si="173"/>
        <v>Sunday</v>
      </c>
      <c r="H1387" t="b">
        <f t="shared" si="174"/>
        <v>1</v>
      </c>
      <c r="I1387">
        <f t="shared" si="175"/>
        <v>290</v>
      </c>
      <c r="J1387" t="s">
        <v>25</v>
      </c>
      <c r="K1387">
        <v>20271017</v>
      </c>
    </row>
    <row r="1388" spans="1:11" x14ac:dyDescent="0.3">
      <c r="A1388" s="4">
        <v>46678</v>
      </c>
      <c r="B1388">
        <f t="shared" si="171"/>
        <v>2027</v>
      </c>
      <c r="C1388">
        <f t="shared" si="176"/>
        <v>10</v>
      </c>
      <c r="D1388" t="str">
        <f t="shared" si="172"/>
        <v>October</v>
      </c>
      <c r="E1388">
        <f t="shared" si="177"/>
        <v>43</v>
      </c>
      <c r="F1388">
        <f t="shared" si="178"/>
        <v>18</v>
      </c>
      <c r="G1388" t="str">
        <f t="shared" si="173"/>
        <v>Monday</v>
      </c>
      <c r="H1388" t="b">
        <f t="shared" si="174"/>
        <v>0</v>
      </c>
      <c r="I1388">
        <f t="shared" si="175"/>
        <v>291</v>
      </c>
      <c r="J1388" t="s">
        <v>25</v>
      </c>
      <c r="K1388">
        <v>20271018</v>
      </c>
    </row>
    <row r="1389" spans="1:11" x14ac:dyDescent="0.3">
      <c r="A1389" s="4">
        <v>46679</v>
      </c>
      <c r="B1389">
        <f t="shared" si="171"/>
        <v>2027</v>
      </c>
      <c r="C1389">
        <f t="shared" si="176"/>
        <v>10</v>
      </c>
      <c r="D1389" t="str">
        <f t="shared" si="172"/>
        <v>October</v>
      </c>
      <c r="E1389">
        <f t="shared" si="177"/>
        <v>43</v>
      </c>
      <c r="F1389">
        <f t="shared" si="178"/>
        <v>19</v>
      </c>
      <c r="G1389" t="str">
        <f t="shared" si="173"/>
        <v>Tuesday</v>
      </c>
      <c r="H1389" t="b">
        <f t="shared" si="174"/>
        <v>0</v>
      </c>
      <c r="I1389">
        <f t="shared" si="175"/>
        <v>292</v>
      </c>
      <c r="J1389" t="s">
        <v>25</v>
      </c>
      <c r="K1389">
        <v>20271019</v>
      </c>
    </row>
    <row r="1390" spans="1:11" x14ac:dyDescent="0.3">
      <c r="A1390" s="4">
        <v>46680</v>
      </c>
      <c r="B1390">
        <f t="shared" si="171"/>
        <v>2027</v>
      </c>
      <c r="C1390">
        <f t="shared" si="176"/>
        <v>10</v>
      </c>
      <c r="D1390" t="str">
        <f t="shared" si="172"/>
        <v>October</v>
      </c>
      <c r="E1390">
        <f t="shared" si="177"/>
        <v>43</v>
      </c>
      <c r="F1390">
        <f t="shared" si="178"/>
        <v>20</v>
      </c>
      <c r="G1390" t="str">
        <f t="shared" si="173"/>
        <v>Wednesday</v>
      </c>
      <c r="H1390" t="b">
        <f t="shared" si="174"/>
        <v>0</v>
      </c>
      <c r="I1390">
        <f t="shared" si="175"/>
        <v>293</v>
      </c>
      <c r="J1390" t="s">
        <v>25</v>
      </c>
      <c r="K1390">
        <v>20271020</v>
      </c>
    </row>
    <row r="1391" spans="1:11" x14ac:dyDescent="0.3">
      <c r="A1391" s="4">
        <v>46681</v>
      </c>
      <c r="B1391">
        <f t="shared" si="171"/>
        <v>2027</v>
      </c>
      <c r="C1391">
        <f t="shared" si="176"/>
        <v>10</v>
      </c>
      <c r="D1391" t="str">
        <f t="shared" si="172"/>
        <v>October</v>
      </c>
      <c r="E1391">
        <f t="shared" si="177"/>
        <v>43</v>
      </c>
      <c r="F1391">
        <f t="shared" si="178"/>
        <v>21</v>
      </c>
      <c r="G1391" t="str">
        <f t="shared" si="173"/>
        <v>Thursday</v>
      </c>
      <c r="H1391" t="b">
        <f t="shared" si="174"/>
        <v>0</v>
      </c>
      <c r="I1391">
        <f t="shared" si="175"/>
        <v>294</v>
      </c>
      <c r="J1391" t="s">
        <v>25</v>
      </c>
      <c r="K1391">
        <v>20271021</v>
      </c>
    </row>
    <row r="1392" spans="1:11" x14ac:dyDescent="0.3">
      <c r="A1392" s="4">
        <v>46682</v>
      </c>
      <c r="B1392">
        <f t="shared" si="171"/>
        <v>2027</v>
      </c>
      <c r="C1392">
        <f t="shared" si="176"/>
        <v>10</v>
      </c>
      <c r="D1392" t="str">
        <f t="shared" si="172"/>
        <v>October</v>
      </c>
      <c r="E1392">
        <f t="shared" si="177"/>
        <v>43</v>
      </c>
      <c r="F1392">
        <f t="shared" si="178"/>
        <v>22</v>
      </c>
      <c r="G1392" t="str">
        <f t="shared" si="173"/>
        <v>Friday</v>
      </c>
      <c r="H1392" t="b">
        <f t="shared" si="174"/>
        <v>0</v>
      </c>
      <c r="I1392">
        <f t="shared" si="175"/>
        <v>295</v>
      </c>
      <c r="J1392" t="s">
        <v>25</v>
      </c>
      <c r="K1392">
        <v>20271022</v>
      </c>
    </row>
    <row r="1393" spans="1:11" x14ac:dyDescent="0.3">
      <c r="A1393" s="4">
        <v>46683</v>
      </c>
      <c r="B1393">
        <f t="shared" si="171"/>
        <v>2027</v>
      </c>
      <c r="C1393">
        <f t="shared" si="176"/>
        <v>10</v>
      </c>
      <c r="D1393" t="str">
        <f t="shared" si="172"/>
        <v>October</v>
      </c>
      <c r="E1393">
        <f t="shared" si="177"/>
        <v>43</v>
      </c>
      <c r="F1393">
        <f t="shared" si="178"/>
        <v>23</v>
      </c>
      <c r="G1393" t="str">
        <f t="shared" si="173"/>
        <v>Saturday</v>
      </c>
      <c r="H1393" t="b">
        <f t="shared" si="174"/>
        <v>1</v>
      </c>
      <c r="I1393">
        <f t="shared" si="175"/>
        <v>296</v>
      </c>
      <c r="J1393" t="s">
        <v>25</v>
      </c>
      <c r="K1393">
        <v>20271023</v>
      </c>
    </row>
    <row r="1394" spans="1:11" x14ac:dyDescent="0.3">
      <c r="A1394" s="4">
        <v>46684</v>
      </c>
      <c r="B1394">
        <f t="shared" si="171"/>
        <v>2027</v>
      </c>
      <c r="C1394">
        <f t="shared" si="176"/>
        <v>10</v>
      </c>
      <c r="D1394" t="str">
        <f t="shared" si="172"/>
        <v>October</v>
      </c>
      <c r="E1394">
        <f t="shared" si="177"/>
        <v>44</v>
      </c>
      <c r="F1394">
        <f t="shared" si="178"/>
        <v>24</v>
      </c>
      <c r="G1394" t="str">
        <f t="shared" si="173"/>
        <v>Sunday</v>
      </c>
      <c r="H1394" t="b">
        <f t="shared" si="174"/>
        <v>1</v>
      </c>
      <c r="I1394">
        <f t="shared" si="175"/>
        <v>297</v>
      </c>
      <c r="J1394" t="s">
        <v>25</v>
      </c>
      <c r="K1394">
        <v>20271024</v>
      </c>
    </row>
    <row r="1395" spans="1:11" x14ac:dyDescent="0.3">
      <c r="A1395" s="4">
        <v>46685</v>
      </c>
      <c r="B1395">
        <f t="shared" si="171"/>
        <v>2027</v>
      </c>
      <c r="C1395">
        <f t="shared" si="176"/>
        <v>10</v>
      </c>
      <c r="D1395" t="str">
        <f t="shared" si="172"/>
        <v>October</v>
      </c>
      <c r="E1395">
        <f t="shared" si="177"/>
        <v>44</v>
      </c>
      <c r="F1395">
        <f t="shared" si="178"/>
        <v>25</v>
      </c>
      <c r="G1395" t="str">
        <f t="shared" si="173"/>
        <v>Monday</v>
      </c>
      <c r="H1395" t="b">
        <f t="shared" si="174"/>
        <v>0</v>
      </c>
      <c r="I1395">
        <f t="shared" si="175"/>
        <v>298</v>
      </c>
      <c r="J1395" t="s">
        <v>25</v>
      </c>
      <c r="K1395">
        <v>20271025</v>
      </c>
    </row>
    <row r="1396" spans="1:11" x14ac:dyDescent="0.3">
      <c r="A1396" s="4">
        <v>46686</v>
      </c>
      <c r="B1396">
        <f t="shared" si="171"/>
        <v>2027</v>
      </c>
      <c r="C1396">
        <f t="shared" si="176"/>
        <v>10</v>
      </c>
      <c r="D1396" t="str">
        <f t="shared" si="172"/>
        <v>October</v>
      </c>
      <c r="E1396">
        <f t="shared" si="177"/>
        <v>44</v>
      </c>
      <c r="F1396">
        <f t="shared" si="178"/>
        <v>26</v>
      </c>
      <c r="G1396" t="str">
        <f t="shared" si="173"/>
        <v>Tuesday</v>
      </c>
      <c r="H1396" t="b">
        <f t="shared" si="174"/>
        <v>0</v>
      </c>
      <c r="I1396">
        <f t="shared" si="175"/>
        <v>299</v>
      </c>
      <c r="J1396" t="s">
        <v>25</v>
      </c>
      <c r="K1396">
        <v>20271026</v>
      </c>
    </row>
    <row r="1397" spans="1:11" x14ac:dyDescent="0.3">
      <c r="A1397" s="4">
        <v>46687</v>
      </c>
      <c r="B1397">
        <f t="shared" si="171"/>
        <v>2027</v>
      </c>
      <c r="C1397">
        <f t="shared" si="176"/>
        <v>10</v>
      </c>
      <c r="D1397" t="str">
        <f t="shared" si="172"/>
        <v>October</v>
      </c>
      <c r="E1397">
        <f t="shared" si="177"/>
        <v>44</v>
      </c>
      <c r="F1397">
        <f t="shared" si="178"/>
        <v>27</v>
      </c>
      <c r="G1397" t="str">
        <f t="shared" si="173"/>
        <v>Wednesday</v>
      </c>
      <c r="H1397" t="b">
        <f t="shared" si="174"/>
        <v>0</v>
      </c>
      <c r="I1397">
        <f t="shared" si="175"/>
        <v>300</v>
      </c>
      <c r="J1397" t="s">
        <v>25</v>
      </c>
      <c r="K1397">
        <v>20271027</v>
      </c>
    </row>
    <row r="1398" spans="1:11" x14ac:dyDescent="0.3">
      <c r="A1398" s="4">
        <v>46688</v>
      </c>
      <c r="B1398">
        <f t="shared" si="171"/>
        <v>2027</v>
      </c>
      <c r="C1398">
        <f t="shared" si="176"/>
        <v>10</v>
      </c>
      <c r="D1398" t="str">
        <f t="shared" si="172"/>
        <v>October</v>
      </c>
      <c r="E1398">
        <f t="shared" si="177"/>
        <v>44</v>
      </c>
      <c r="F1398">
        <f t="shared" si="178"/>
        <v>28</v>
      </c>
      <c r="G1398" t="str">
        <f t="shared" si="173"/>
        <v>Thursday</v>
      </c>
      <c r="H1398" t="b">
        <f t="shared" si="174"/>
        <v>0</v>
      </c>
      <c r="I1398">
        <f t="shared" si="175"/>
        <v>301</v>
      </c>
      <c r="J1398" t="s">
        <v>25</v>
      </c>
      <c r="K1398">
        <v>20271028</v>
      </c>
    </row>
    <row r="1399" spans="1:11" x14ac:dyDescent="0.3">
      <c r="A1399" s="4">
        <v>46689</v>
      </c>
      <c r="B1399">
        <f t="shared" si="171"/>
        <v>2027</v>
      </c>
      <c r="C1399">
        <f t="shared" si="176"/>
        <v>10</v>
      </c>
      <c r="D1399" t="str">
        <f t="shared" si="172"/>
        <v>October</v>
      </c>
      <c r="E1399">
        <f t="shared" si="177"/>
        <v>44</v>
      </c>
      <c r="F1399">
        <f t="shared" si="178"/>
        <v>29</v>
      </c>
      <c r="G1399" t="str">
        <f t="shared" si="173"/>
        <v>Friday</v>
      </c>
      <c r="H1399" t="b">
        <f t="shared" si="174"/>
        <v>0</v>
      </c>
      <c r="I1399">
        <f t="shared" si="175"/>
        <v>302</v>
      </c>
      <c r="J1399" t="s">
        <v>25</v>
      </c>
      <c r="K1399">
        <v>20271029</v>
      </c>
    </row>
    <row r="1400" spans="1:11" x14ac:dyDescent="0.3">
      <c r="A1400" s="4">
        <v>46690</v>
      </c>
      <c r="B1400">
        <f t="shared" si="171"/>
        <v>2027</v>
      </c>
      <c r="C1400">
        <f t="shared" si="176"/>
        <v>10</v>
      </c>
      <c r="D1400" t="str">
        <f t="shared" si="172"/>
        <v>October</v>
      </c>
      <c r="E1400">
        <f t="shared" si="177"/>
        <v>44</v>
      </c>
      <c r="F1400">
        <f t="shared" si="178"/>
        <v>30</v>
      </c>
      <c r="G1400" t="str">
        <f t="shared" si="173"/>
        <v>Saturday</v>
      </c>
      <c r="H1400" t="b">
        <f t="shared" si="174"/>
        <v>1</v>
      </c>
      <c r="I1400">
        <f t="shared" si="175"/>
        <v>303</v>
      </c>
      <c r="J1400" t="s">
        <v>25</v>
      </c>
      <c r="K1400">
        <v>20271030</v>
      </c>
    </row>
    <row r="1401" spans="1:11" x14ac:dyDescent="0.3">
      <c r="A1401" s="4">
        <v>46691</v>
      </c>
      <c r="B1401">
        <f t="shared" si="171"/>
        <v>2027</v>
      </c>
      <c r="C1401">
        <f t="shared" si="176"/>
        <v>10</v>
      </c>
      <c r="D1401" t="str">
        <f t="shared" si="172"/>
        <v>October</v>
      </c>
      <c r="E1401">
        <f t="shared" si="177"/>
        <v>45</v>
      </c>
      <c r="F1401">
        <f t="shared" si="178"/>
        <v>31</v>
      </c>
      <c r="G1401" t="str">
        <f t="shared" si="173"/>
        <v>Sunday</v>
      </c>
      <c r="H1401" t="b">
        <f t="shared" si="174"/>
        <v>1</v>
      </c>
      <c r="I1401">
        <f t="shared" si="175"/>
        <v>304</v>
      </c>
      <c r="J1401" t="s">
        <v>25</v>
      </c>
      <c r="K1401">
        <v>20271031</v>
      </c>
    </row>
    <row r="1402" spans="1:11" x14ac:dyDescent="0.3">
      <c r="A1402" s="4">
        <v>46692</v>
      </c>
      <c r="B1402">
        <f t="shared" si="171"/>
        <v>2027</v>
      </c>
      <c r="C1402">
        <f t="shared" si="176"/>
        <v>11</v>
      </c>
      <c r="D1402" t="str">
        <f t="shared" si="172"/>
        <v>November</v>
      </c>
      <c r="E1402">
        <f t="shared" si="177"/>
        <v>45</v>
      </c>
      <c r="F1402">
        <f t="shared" si="178"/>
        <v>1</v>
      </c>
      <c r="G1402" t="str">
        <f t="shared" si="173"/>
        <v>Monday</v>
      </c>
      <c r="H1402" t="b">
        <f t="shared" si="174"/>
        <v>0</v>
      </c>
      <c r="I1402">
        <f t="shared" si="175"/>
        <v>305</v>
      </c>
      <c r="J1402" t="s">
        <v>22</v>
      </c>
      <c r="K1402">
        <v>20271101</v>
      </c>
    </row>
    <row r="1403" spans="1:11" x14ac:dyDescent="0.3">
      <c r="A1403" s="4">
        <v>46693</v>
      </c>
      <c r="B1403">
        <f t="shared" si="171"/>
        <v>2027</v>
      </c>
      <c r="C1403">
        <f t="shared" si="176"/>
        <v>11</v>
      </c>
      <c r="D1403" t="str">
        <f t="shared" si="172"/>
        <v>November</v>
      </c>
      <c r="E1403">
        <f t="shared" si="177"/>
        <v>45</v>
      </c>
      <c r="F1403">
        <f t="shared" si="178"/>
        <v>2</v>
      </c>
      <c r="G1403" t="str">
        <f t="shared" si="173"/>
        <v>Tuesday</v>
      </c>
      <c r="H1403" t="b">
        <f t="shared" si="174"/>
        <v>0</v>
      </c>
      <c r="I1403">
        <f t="shared" si="175"/>
        <v>306</v>
      </c>
      <c r="J1403" t="s">
        <v>22</v>
      </c>
      <c r="K1403">
        <v>20271102</v>
      </c>
    </row>
    <row r="1404" spans="1:11" x14ac:dyDescent="0.3">
      <c r="A1404" s="4">
        <v>46694</v>
      </c>
      <c r="B1404">
        <f t="shared" si="171"/>
        <v>2027</v>
      </c>
      <c r="C1404">
        <f t="shared" si="176"/>
        <v>11</v>
      </c>
      <c r="D1404" t="str">
        <f t="shared" si="172"/>
        <v>November</v>
      </c>
      <c r="E1404">
        <f t="shared" si="177"/>
        <v>45</v>
      </c>
      <c r="F1404">
        <f t="shared" si="178"/>
        <v>3</v>
      </c>
      <c r="G1404" t="str">
        <f t="shared" si="173"/>
        <v>Wednesday</v>
      </c>
      <c r="H1404" t="b">
        <f t="shared" si="174"/>
        <v>0</v>
      </c>
      <c r="I1404">
        <f t="shared" si="175"/>
        <v>307</v>
      </c>
      <c r="J1404" t="s">
        <v>22</v>
      </c>
      <c r="K1404">
        <v>20271103</v>
      </c>
    </row>
    <row r="1405" spans="1:11" x14ac:dyDescent="0.3">
      <c r="A1405" s="4">
        <v>46695</v>
      </c>
      <c r="B1405">
        <f t="shared" si="171"/>
        <v>2027</v>
      </c>
      <c r="C1405">
        <f t="shared" si="176"/>
        <v>11</v>
      </c>
      <c r="D1405" t="str">
        <f t="shared" si="172"/>
        <v>November</v>
      </c>
      <c r="E1405">
        <f t="shared" si="177"/>
        <v>45</v>
      </c>
      <c r="F1405">
        <f t="shared" si="178"/>
        <v>4</v>
      </c>
      <c r="G1405" t="str">
        <f t="shared" si="173"/>
        <v>Thursday</v>
      </c>
      <c r="H1405" t="b">
        <f t="shared" si="174"/>
        <v>0</v>
      </c>
      <c r="I1405">
        <f t="shared" si="175"/>
        <v>308</v>
      </c>
      <c r="J1405" t="s">
        <v>22</v>
      </c>
      <c r="K1405">
        <v>20271104</v>
      </c>
    </row>
    <row r="1406" spans="1:11" x14ac:dyDescent="0.3">
      <c r="A1406" s="4">
        <v>46696</v>
      </c>
      <c r="B1406">
        <f t="shared" si="171"/>
        <v>2027</v>
      </c>
      <c r="C1406">
        <f t="shared" si="176"/>
        <v>11</v>
      </c>
      <c r="D1406" t="str">
        <f t="shared" si="172"/>
        <v>November</v>
      </c>
      <c r="E1406">
        <f t="shared" si="177"/>
        <v>45</v>
      </c>
      <c r="F1406">
        <f t="shared" si="178"/>
        <v>5</v>
      </c>
      <c r="G1406" t="str">
        <f t="shared" si="173"/>
        <v>Friday</v>
      </c>
      <c r="H1406" t="b">
        <f t="shared" si="174"/>
        <v>0</v>
      </c>
      <c r="I1406">
        <f t="shared" si="175"/>
        <v>309</v>
      </c>
      <c r="J1406" t="s">
        <v>22</v>
      </c>
      <c r="K1406">
        <v>20271105</v>
      </c>
    </row>
    <row r="1407" spans="1:11" x14ac:dyDescent="0.3">
      <c r="A1407" s="4">
        <v>46697</v>
      </c>
      <c r="B1407">
        <f t="shared" si="171"/>
        <v>2027</v>
      </c>
      <c r="C1407">
        <f t="shared" si="176"/>
        <v>11</v>
      </c>
      <c r="D1407" t="str">
        <f t="shared" si="172"/>
        <v>November</v>
      </c>
      <c r="E1407">
        <f t="shared" si="177"/>
        <v>45</v>
      </c>
      <c r="F1407">
        <f t="shared" si="178"/>
        <v>6</v>
      </c>
      <c r="G1407" t="str">
        <f t="shared" si="173"/>
        <v>Saturday</v>
      </c>
      <c r="H1407" t="b">
        <f t="shared" si="174"/>
        <v>1</v>
      </c>
      <c r="I1407">
        <f t="shared" si="175"/>
        <v>310</v>
      </c>
      <c r="J1407" t="s">
        <v>22</v>
      </c>
      <c r="K1407">
        <v>20271106</v>
      </c>
    </row>
    <row r="1408" spans="1:11" x14ac:dyDescent="0.3">
      <c r="A1408" s="4">
        <v>46698</v>
      </c>
      <c r="B1408">
        <f t="shared" si="171"/>
        <v>2027</v>
      </c>
      <c r="C1408">
        <f t="shared" si="176"/>
        <v>11</v>
      </c>
      <c r="D1408" t="str">
        <f t="shared" si="172"/>
        <v>November</v>
      </c>
      <c r="E1408">
        <f t="shared" si="177"/>
        <v>46</v>
      </c>
      <c r="F1408">
        <f t="shared" si="178"/>
        <v>7</v>
      </c>
      <c r="G1408" t="str">
        <f t="shared" si="173"/>
        <v>Sunday</v>
      </c>
      <c r="H1408" t="b">
        <f t="shared" si="174"/>
        <v>1</v>
      </c>
      <c r="I1408">
        <f t="shared" si="175"/>
        <v>311</v>
      </c>
      <c r="J1408" t="s">
        <v>22</v>
      </c>
      <c r="K1408">
        <v>20271107</v>
      </c>
    </row>
    <row r="1409" spans="1:11" x14ac:dyDescent="0.3">
      <c r="A1409" s="4">
        <v>46699</v>
      </c>
      <c r="B1409">
        <f t="shared" si="171"/>
        <v>2027</v>
      </c>
      <c r="C1409">
        <f t="shared" si="176"/>
        <v>11</v>
      </c>
      <c r="D1409" t="str">
        <f t="shared" si="172"/>
        <v>November</v>
      </c>
      <c r="E1409">
        <f t="shared" si="177"/>
        <v>46</v>
      </c>
      <c r="F1409">
        <f t="shared" si="178"/>
        <v>8</v>
      </c>
      <c r="G1409" t="str">
        <f t="shared" si="173"/>
        <v>Monday</v>
      </c>
      <c r="H1409" t="b">
        <f t="shared" si="174"/>
        <v>0</v>
      </c>
      <c r="I1409">
        <f t="shared" si="175"/>
        <v>312</v>
      </c>
      <c r="J1409" t="s">
        <v>22</v>
      </c>
      <c r="K1409">
        <v>20271108</v>
      </c>
    </row>
    <row r="1410" spans="1:11" x14ac:dyDescent="0.3">
      <c r="A1410" s="4">
        <v>46700</v>
      </c>
      <c r="B1410">
        <f t="shared" si="171"/>
        <v>2027</v>
      </c>
      <c r="C1410">
        <f t="shared" si="176"/>
        <v>11</v>
      </c>
      <c r="D1410" t="str">
        <f t="shared" si="172"/>
        <v>November</v>
      </c>
      <c r="E1410">
        <f t="shared" si="177"/>
        <v>46</v>
      </c>
      <c r="F1410">
        <f t="shared" si="178"/>
        <v>9</v>
      </c>
      <c r="G1410" t="str">
        <f t="shared" si="173"/>
        <v>Tuesday</v>
      </c>
      <c r="H1410" t="b">
        <f t="shared" si="174"/>
        <v>0</v>
      </c>
      <c r="I1410">
        <f t="shared" si="175"/>
        <v>313</v>
      </c>
      <c r="J1410" t="s">
        <v>22</v>
      </c>
      <c r="K1410">
        <v>20271109</v>
      </c>
    </row>
    <row r="1411" spans="1:11" x14ac:dyDescent="0.3">
      <c r="A1411" s="4">
        <v>46701</v>
      </c>
      <c r="B1411">
        <f t="shared" ref="B1411:B1462" si="179">YEAR(A1411)</f>
        <v>2027</v>
      </c>
      <c r="C1411">
        <f t="shared" si="176"/>
        <v>11</v>
      </c>
      <c r="D1411" t="str">
        <f t="shared" ref="D1411:D1462" si="180">TEXT(A1411,"mmmm")</f>
        <v>November</v>
      </c>
      <c r="E1411">
        <f t="shared" si="177"/>
        <v>46</v>
      </c>
      <c r="F1411">
        <f t="shared" si="178"/>
        <v>10</v>
      </c>
      <c r="G1411" t="str">
        <f t="shared" ref="G1411:G1462" si="181">TEXT((A1411),"dddd")</f>
        <v>Wednesday</v>
      </c>
      <c r="H1411" t="b">
        <f t="shared" ref="H1411:H1462" si="182">IF(OR(G1411="Saturday",G1411="Sunday"),TRUE,FALSE)</f>
        <v>0</v>
      </c>
      <c r="I1411">
        <f t="shared" ref="I1411:I1462" si="183">A1411-DATE(YEAR(A1411),1,1)+1</f>
        <v>314</v>
      </c>
      <c r="J1411" t="s">
        <v>22</v>
      </c>
      <c r="K1411">
        <v>20271110</v>
      </c>
    </row>
    <row r="1412" spans="1:11" x14ac:dyDescent="0.3">
      <c r="A1412" s="4">
        <v>46702</v>
      </c>
      <c r="B1412">
        <f t="shared" si="179"/>
        <v>2027</v>
      </c>
      <c r="C1412">
        <f t="shared" si="176"/>
        <v>11</v>
      </c>
      <c r="D1412" t="str">
        <f t="shared" si="180"/>
        <v>November</v>
      </c>
      <c r="E1412">
        <f t="shared" si="177"/>
        <v>46</v>
      </c>
      <c r="F1412">
        <f t="shared" si="178"/>
        <v>11</v>
      </c>
      <c r="G1412" t="str">
        <f t="shared" si="181"/>
        <v>Thursday</v>
      </c>
      <c r="H1412" t="b">
        <f t="shared" si="182"/>
        <v>0</v>
      </c>
      <c r="I1412">
        <f t="shared" si="183"/>
        <v>315</v>
      </c>
      <c r="J1412" t="s">
        <v>22</v>
      </c>
      <c r="K1412">
        <v>20271111</v>
      </c>
    </row>
    <row r="1413" spans="1:11" x14ac:dyDescent="0.3">
      <c r="A1413" s="4">
        <v>46703</v>
      </c>
      <c r="B1413">
        <f t="shared" si="179"/>
        <v>2027</v>
      </c>
      <c r="C1413">
        <f t="shared" si="176"/>
        <v>11</v>
      </c>
      <c r="D1413" t="str">
        <f t="shared" si="180"/>
        <v>November</v>
      </c>
      <c r="E1413">
        <f t="shared" si="177"/>
        <v>46</v>
      </c>
      <c r="F1413">
        <f t="shared" si="178"/>
        <v>12</v>
      </c>
      <c r="G1413" t="str">
        <f t="shared" si="181"/>
        <v>Friday</v>
      </c>
      <c r="H1413" t="b">
        <f t="shared" si="182"/>
        <v>0</v>
      </c>
      <c r="I1413">
        <f t="shared" si="183"/>
        <v>316</v>
      </c>
      <c r="J1413" t="s">
        <v>22</v>
      </c>
      <c r="K1413">
        <v>20271112</v>
      </c>
    </row>
    <row r="1414" spans="1:11" x14ac:dyDescent="0.3">
      <c r="A1414" s="4">
        <v>46704</v>
      </c>
      <c r="B1414">
        <f t="shared" si="179"/>
        <v>2027</v>
      </c>
      <c r="C1414">
        <f t="shared" si="176"/>
        <v>11</v>
      </c>
      <c r="D1414" t="str">
        <f t="shared" si="180"/>
        <v>November</v>
      </c>
      <c r="E1414">
        <f t="shared" si="177"/>
        <v>46</v>
      </c>
      <c r="F1414">
        <f t="shared" si="178"/>
        <v>13</v>
      </c>
      <c r="G1414" t="str">
        <f t="shared" si="181"/>
        <v>Saturday</v>
      </c>
      <c r="H1414" t="b">
        <f t="shared" si="182"/>
        <v>1</v>
      </c>
      <c r="I1414">
        <f t="shared" si="183"/>
        <v>317</v>
      </c>
      <c r="J1414" t="s">
        <v>22</v>
      </c>
      <c r="K1414">
        <v>20271113</v>
      </c>
    </row>
    <row r="1415" spans="1:11" x14ac:dyDescent="0.3">
      <c r="A1415" s="4">
        <v>46705</v>
      </c>
      <c r="B1415">
        <f t="shared" si="179"/>
        <v>2027</v>
      </c>
      <c r="C1415">
        <f t="shared" si="176"/>
        <v>11</v>
      </c>
      <c r="D1415" t="str">
        <f t="shared" si="180"/>
        <v>November</v>
      </c>
      <c r="E1415">
        <f t="shared" si="177"/>
        <v>47</v>
      </c>
      <c r="F1415">
        <f t="shared" si="178"/>
        <v>14</v>
      </c>
      <c r="G1415" t="str">
        <f t="shared" si="181"/>
        <v>Sunday</v>
      </c>
      <c r="H1415" t="b">
        <f t="shared" si="182"/>
        <v>1</v>
      </c>
      <c r="I1415">
        <f t="shared" si="183"/>
        <v>318</v>
      </c>
      <c r="J1415" t="s">
        <v>22</v>
      </c>
      <c r="K1415">
        <v>20271114</v>
      </c>
    </row>
    <row r="1416" spans="1:11" x14ac:dyDescent="0.3">
      <c r="A1416" s="4">
        <v>46706</v>
      </c>
      <c r="B1416">
        <f t="shared" si="179"/>
        <v>2027</v>
      </c>
      <c r="C1416">
        <f t="shared" si="176"/>
        <v>11</v>
      </c>
      <c r="D1416" t="str">
        <f t="shared" si="180"/>
        <v>November</v>
      </c>
      <c r="E1416">
        <f t="shared" si="177"/>
        <v>47</v>
      </c>
      <c r="F1416">
        <f t="shared" si="178"/>
        <v>15</v>
      </c>
      <c r="G1416" t="str">
        <f t="shared" si="181"/>
        <v>Monday</v>
      </c>
      <c r="H1416" t="b">
        <f t="shared" si="182"/>
        <v>0</v>
      </c>
      <c r="I1416">
        <f t="shared" si="183"/>
        <v>319</v>
      </c>
      <c r="J1416" t="s">
        <v>22</v>
      </c>
      <c r="K1416">
        <v>20271115</v>
      </c>
    </row>
    <row r="1417" spans="1:11" x14ac:dyDescent="0.3">
      <c r="A1417" s="4">
        <v>46707</v>
      </c>
      <c r="B1417">
        <f t="shared" si="179"/>
        <v>2027</v>
      </c>
      <c r="C1417">
        <f t="shared" si="176"/>
        <v>11</v>
      </c>
      <c r="D1417" t="str">
        <f t="shared" si="180"/>
        <v>November</v>
      </c>
      <c r="E1417">
        <f t="shared" si="177"/>
        <v>47</v>
      </c>
      <c r="F1417">
        <f t="shared" si="178"/>
        <v>16</v>
      </c>
      <c r="G1417" t="str">
        <f t="shared" si="181"/>
        <v>Tuesday</v>
      </c>
      <c r="H1417" t="b">
        <f t="shared" si="182"/>
        <v>0</v>
      </c>
      <c r="I1417">
        <f t="shared" si="183"/>
        <v>320</v>
      </c>
      <c r="J1417" t="s">
        <v>22</v>
      </c>
      <c r="K1417">
        <v>20271116</v>
      </c>
    </row>
    <row r="1418" spans="1:11" x14ac:dyDescent="0.3">
      <c r="A1418" s="4">
        <v>46708</v>
      </c>
      <c r="B1418">
        <f t="shared" si="179"/>
        <v>2027</v>
      </c>
      <c r="C1418">
        <f t="shared" ref="C1418:C1462" si="184">MONTH(A1418)</f>
        <v>11</v>
      </c>
      <c r="D1418" t="str">
        <f t="shared" si="180"/>
        <v>November</v>
      </c>
      <c r="E1418">
        <f t="shared" ref="E1418:E1462" si="185">WEEKNUM(A1418)</f>
        <v>47</v>
      </c>
      <c r="F1418">
        <f t="shared" ref="F1418:F1462" si="186">DAY(A1418)</f>
        <v>17</v>
      </c>
      <c r="G1418" t="str">
        <f t="shared" si="181"/>
        <v>Wednesday</v>
      </c>
      <c r="H1418" t="b">
        <f t="shared" si="182"/>
        <v>0</v>
      </c>
      <c r="I1418">
        <f t="shared" si="183"/>
        <v>321</v>
      </c>
      <c r="J1418" t="s">
        <v>22</v>
      </c>
      <c r="K1418">
        <v>20271117</v>
      </c>
    </row>
    <row r="1419" spans="1:11" x14ac:dyDescent="0.3">
      <c r="A1419" s="4">
        <v>46709</v>
      </c>
      <c r="B1419">
        <f t="shared" si="179"/>
        <v>2027</v>
      </c>
      <c r="C1419">
        <f t="shared" si="184"/>
        <v>11</v>
      </c>
      <c r="D1419" t="str">
        <f t="shared" si="180"/>
        <v>November</v>
      </c>
      <c r="E1419">
        <f t="shared" si="185"/>
        <v>47</v>
      </c>
      <c r="F1419">
        <f t="shared" si="186"/>
        <v>18</v>
      </c>
      <c r="G1419" t="str">
        <f t="shared" si="181"/>
        <v>Thursday</v>
      </c>
      <c r="H1419" t="b">
        <f t="shared" si="182"/>
        <v>0</v>
      </c>
      <c r="I1419">
        <f t="shared" si="183"/>
        <v>322</v>
      </c>
      <c r="J1419" t="s">
        <v>22</v>
      </c>
      <c r="K1419">
        <v>20271118</v>
      </c>
    </row>
    <row r="1420" spans="1:11" x14ac:dyDescent="0.3">
      <c r="A1420" s="4">
        <v>46710</v>
      </c>
      <c r="B1420">
        <f t="shared" si="179"/>
        <v>2027</v>
      </c>
      <c r="C1420">
        <f t="shared" si="184"/>
        <v>11</v>
      </c>
      <c r="D1420" t="str">
        <f t="shared" si="180"/>
        <v>November</v>
      </c>
      <c r="E1420">
        <f t="shared" si="185"/>
        <v>47</v>
      </c>
      <c r="F1420">
        <f t="shared" si="186"/>
        <v>19</v>
      </c>
      <c r="G1420" t="str">
        <f t="shared" si="181"/>
        <v>Friday</v>
      </c>
      <c r="H1420" t="b">
        <f t="shared" si="182"/>
        <v>0</v>
      </c>
      <c r="I1420">
        <f t="shared" si="183"/>
        <v>323</v>
      </c>
      <c r="J1420" t="s">
        <v>22</v>
      </c>
      <c r="K1420">
        <v>20271119</v>
      </c>
    </row>
    <row r="1421" spans="1:11" x14ac:dyDescent="0.3">
      <c r="A1421" s="4">
        <v>46711</v>
      </c>
      <c r="B1421">
        <f t="shared" si="179"/>
        <v>2027</v>
      </c>
      <c r="C1421">
        <f t="shared" si="184"/>
        <v>11</v>
      </c>
      <c r="D1421" t="str">
        <f t="shared" si="180"/>
        <v>November</v>
      </c>
      <c r="E1421">
        <f t="shared" si="185"/>
        <v>47</v>
      </c>
      <c r="F1421">
        <f t="shared" si="186"/>
        <v>20</v>
      </c>
      <c r="G1421" t="str">
        <f t="shared" si="181"/>
        <v>Saturday</v>
      </c>
      <c r="H1421" t="b">
        <f t="shared" si="182"/>
        <v>1</v>
      </c>
      <c r="I1421">
        <f t="shared" si="183"/>
        <v>324</v>
      </c>
      <c r="J1421" t="s">
        <v>22</v>
      </c>
      <c r="K1421">
        <v>20271120</v>
      </c>
    </row>
    <row r="1422" spans="1:11" x14ac:dyDescent="0.3">
      <c r="A1422" s="4">
        <v>46712</v>
      </c>
      <c r="B1422">
        <f t="shared" si="179"/>
        <v>2027</v>
      </c>
      <c r="C1422">
        <f t="shared" si="184"/>
        <v>11</v>
      </c>
      <c r="D1422" t="str">
        <f t="shared" si="180"/>
        <v>November</v>
      </c>
      <c r="E1422">
        <f t="shared" si="185"/>
        <v>48</v>
      </c>
      <c r="F1422">
        <f t="shared" si="186"/>
        <v>21</v>
      </c>
      <c r="G1422" t="str">
        <f t="shared" si="181"/>
        <v>Sunday</v>
      </c>
      <c r="H1422" t="b">
        <f t="shared" si="182"/>
        <v>1</v>
      </c>
      <c r="I1422">
        <f t="shared" si="183"/>
        <v>325</v>
      </c>
      <c r="J1422" t="s">
        <v>22</v>
      </c>
      <c r="K1422">
        <v>20271121</v>
      </c>
    </row>
    <row r="1423" spans="1:11" x14ac:dyDescent="0.3">
      <c r="A1423" s="4">
        <v>46713</v>
      </c>
      <c r="B1423">
        <f t="shared" si="179"/>
        <v>2027</v>
      </c>
      <c r="C1423">
        <f t="shared" si="184"/>
        <v>11</v>
      </c>
      <c r="D1423" t="str">
        <f t="shared" si="180"/>
        <v>November</v>
      </c>
      <c r="E1423">
        <f t="shared" si="185"/>
        <v>48</v>
      </c>
      <c r="F1423">
        <f t="shared" si="186"/>
        <v>22</v>
      </c>
      <c r="G1423" t="str">
        <f t="shared" si="181"/>
        <v>Monday</v>
      </c>
      <c r="H1423" t="b">
        <f t="shared" si="182"/>
        <v>0</v>
      </c>
      <c r="I1423">
        <f t="shared" si="183"/>
        <v>326</v>
      </c>
      <c r="J1423" t="s">
        <v>22</v>
      </c>
      <c r="K1423">
        <v>20271122</v>
      </c>
    </row>
    <row r="1424" spans="1:11" x14ac:dyDescent="0.3">
      <c r="A1424" s="4">
        <v>46714</v>
      </c>
      <c r="B1424">
        <f t="shared" si="179"/>
        <v>2027</v>
      </c>
      <c r="C1424">
        <f t="shared" si="184"/>
        <v>11</v>
      </c>
      <c r="D1424" t="str">
        <f t="shared" si="180"/>
        <v>November</v>
      </c>
      <c r="E1424">
        <f t="shared" si="185"/>
        <v>48</v>
      </c>
      <c r="F1424">
        <f t="shared" si="186"/>
        <v>23</v>
      </c>
      <c r="G1424" t="str">
        <f t="shared" si="181"/>
        <v>Tuesday</v>
      </c>
      <c r="H1424" t="b">
        <f t="shared" si="182"/>
        <v>0</v>
      </c>
      <c r="I1424">
        <f t="shared" si="183"/>
        <v>327</v>
      </c>
      <c r="J1424" t="s">
        <v>22</v>
      </c>
      <c r="K1424">
        <v>20271123</v>
      </c>
    </row>
    <row r="1425" spans="1:11" x14ac:dyDescent="0.3">
      <c r="A1425" s="4">
        <v>46715</v>
      </c>
      <c r="B1425">
        <f t="shared" si="179"/>
        <v>2027</v>
      </c>
      <c r="C1425">
        <f t="shared" si="184"/>
        <v>11</v>
      </c>
      <c r="D1425" t="str">
        <f t="shared" si="180"/>
        <v>November</v>
      </c>
      <c r="E1425">
        <f t="shared" si="185"/>
        <v>48</v>
      </c>
      <c r="F1425">
        <f t="shared" si="186"/>
        <v>24</v>
      </c>
      <c r="G1425" t="str">
        <f t="shared" si="181"/>
        <v>Wednesday</v>
      </c>
      <c r="H1425" t="b">
        <f t="shared" si="182"/>
        <v>0</v>
      </c>
      <c r="I1425">
        <f t="shared" si="183"/>
        <v>328</v>
      </c>
      <c r="J1425" t="s">
        <v>22</v>
      </c>
      <c r="K1425">
        <v>20271124</v>
      </c>
    </row>
    <row r="1426" spans="1:11" x14ac:dyDescent="0.3">
      <c r="A1426" s="4">
        <v>46716</v>
      </c>
      <c r="B1426">
        <f t="shared" si="179"/>
        <v>2027</v>
      </c>
      <c r="C1426">
        <f t="shared" si="184"/>
        <v>11</v>
      </c>
      <c r="D1426" t="str">
        <f t="shared" si="180"/>
        <v>November</v>
      </c>
      <c r="E1426">
        <f t="shared" si="185"/>
        <v>48</v>
      </c>
      <c r="F1426">
        <f t="shared" si="186"/>
        <v>25</v>
      </c>
      <c r="G1426" t="str">
        <f t="shared" si="181"/>
        <v>Thursday</v>
      </c>
      <c r="H1426" t="b">
        <f t="shared" si="182"/>
        <v>0</v>
      </c>
      <c r="I1426">
        <f t="shared" si="183"/>
        <v>329</v>
      </c>
      <c r="J1426" t="s">
        <v>22</v>
      </c>
      <c r="K1426">
        <v>20271125</v>
      </c>
    </row>
    <row r="1427" spans="1:11" x14ac:dyDescent="0.3">
      <c r="A1427" s="4">
        <v>46717</v>
      </c>
      <c r="B1427">
        <f t="shared" si="179"/>
        <v>2027</v>
      </c>
      <c r="C1427">
        <f t="shared" si="184"/>
        <v>11</v>
      </c>
      <c r="D1427" t="str">
        <f t="shared" si="180"/>
        <v>November</v>
      </c>
      <c r="E1427">
        <f t="shared" si="185"/>
        <v>48</v>
      </c>
      <c r="F1427">
        <f t="shared" si="186"/>
        <v>26</v>
      </c>
      <c r="G1427" t="str">
        <f t="shared" si="181"/>
        <v>Friday</v>
      </c>
      <c r="H1427" t="b">
        <f t="shared" si="182"/>
        <v>0</v>
      </c>
      <c r="I1427">
        <f t="shared" si="183"/>
        <v>330</v>
      </c>
      <c r="J1427" t="s">
        <v>22</v>
      </c>
      <c r="K1427">
        <v>20271126</v>
      </c>
    </row>
    <row r="1428" spans="1:11" x14ac:dyDescent="0.3">
      <c r="A1428" s="4">
        <v>46718</v>
      </c>
      <c r="B1428">
        <f t="shared" si="179"/>
        <v>2027</v>
      </c>
      <c r="C1428">
        <f t="shared" si="184"/>
        <v>11</v>
      </c>
      <c r="D1428" t="str">
        <f t="shared" si="180"/>
        <v>November</v>
      </c>
      <c r="E1428">
        <f t="shared" si="185"/>
        <v>48</v>
      </c>
      <c r="F1428">
        <f t="shared" si="186"/>
        <v>27</v>
      </c>
      <c r="G1428" t="str">
        <f t="shared" si="181"/>
        <v>Saturday</v>
      </c>
      <c r="H1428" t="b">
        <f t="shared" si="182"/>
        <v>1</v>
      </c>
      <c r="I1428">
        <f t="shared" si="183"/>
        <v>331</v>
      </c>
      <c r="J1428" t="s">
        <v>22</v>
      </c>
      <c r="K1428">
        <v>20271127</v>
      </c>
    </row>
    <row r="1429" spans="1:11" x14ac:dyDescent="0.3">
      <c r="A1429" s="4">
        <v>46719</v>
      </c>
      <c r="B1429">
        <f t="shared" si="179"/>
        <v>2027</v>
      </c>
      <c r="C1429">
        <f t="shared" si="184"/>
        <v>11</v>
      </c>
      <c r="D1429" t="str">
        <f t="shared" si="180"/>
        <v>November</v>
      </c>
      <c r="E1429">
        <f t="shared" si="185"/>
        <v>49</v>
      </c>
      <c r="F1429">
        <f t="shared" si="186"/>
        <v>28</v>
      </c>
      <c r="G1429" t="str">
        <f t="shared" si="181"/>
        <v>Sunday</v>
      </c>
      <c r="H1429" t="b">
        <f t="shared" si="182"/>
        <v>1</v>
      </c>
      <c r="I1429">
        <f t="shared" si="183"/>
        <v>332</v>
      </c>
      <c r="J1429" t="s">
        <v>22</v>
      </c>
      <c r="K1429">
        <v>20271128</v>
      </c>
    </row>
    <row r="1430" spans="1:11" x14ac:dyDescent="0.3">
      <c r="A1430" s="4">
        <v>46720</v>
      </c>
      <c r="B1430">
        <f t="shared" si="179"/>
        <v>2027</v>
      </c>
      <c r="C1430">
        <f t="shared" si="184"/>
        <v>11</v>
      </c>
      <c r="D1430" t="str">
        <f t="shared" si="180"/>
        <v>November</v>
      </c>
      <c r="E1430">
        <f t="shared" si="185"/>
        <v>49</v>
      </c>
      <c r="F1430">
        <f t="shared" si="186"/>
        <v>29</v>
      </c>
      <c r="G1430" t="str">
        <f t="shared" si="181"/>
        <v>Monday</v>
      </c>
      <c r="H1430" t="b">
        <f t="shared" si="182"/>
        <v>0</v>
      </c>
      <c r="I1430">
        <f t="shared" si="183"/>
        <v>333</v>
      </c>
      <c r="J1430" t="s">
        <v>22</v>
      </c>
      <c r="K1430">
        <v>20271129</v>
      </c>
    </row>
    <row r="1431" spans="1:11" x14ac:dyDescent="0.3">
      <c r="A1431" s="4">
        <v>46721</v>
      </c>
      <c r="B1431">
        <f t="shared" si="179"/>
        <v>2027</v>
      </c>
      <c r="C1431">
        <f t="shared" si="184"/>
        <v>11</v>
      </c>
      <c r="D1431" t="str">
        <f t="shared" si="180"/>
        <v>November</v>
      </c>
      <c r="E1431">
        <f t="shared" si="185"/>
        <v>49</v>
      </c>
      <c r="F1431">
        <f t="shared" si="186"/>
        <v>30</v>
      </c>
      <c r="G1431" t="str">
        <f t="shared" si="181"/>
        <v>Tuesday</v>
      </c>
      <c r="H1431" t="b">
        <f t="shared" si="182"/>
        <v>0</v>
      </c>
      <c r="I1431">
        <f t="shared" si="183"/>
        <v>334</v>
      </c>
      <c r="J1431" t="s">
        <v>22</v>
      </c>
      <c r="K1431">
        <v>20271130</v>
      </c>
    </row>
    <row r="1432" spans="1:11" x14ac:dyDescent="0.3">
      <c r="A1432" s="4">
        <v>46722</v>
      </c>
      <c r="B1432">
        <f t="shared" si="179"/>
        <v>2027</v>
      </c>
      <c r="C1432">
        <f t="shared" si="184"/>
        <v>12</v>
      </c>
      <c r="D1432" t="str">
        <f t="shared" si="180"/>
        <v>December</v>
      </c>
      <c r="E1432">
        <f t="shared" si="185"/>
        <v>49</v>
      </c>
      <c r="F1432">
        <f t="shared" si="186"/>
        <v>1</v>
      </c>
      <c r="G1432" t="str">
        <f t="shared" si="181"/>
        <v>Wednesday</v>
      </c>
      <c r="H1432" t="b">
        <f t="shared" si="182"/>
        <v>0</v>
      </c>
      <c r="I1432">
        <f t="shared" si="183"/>
        <v>335</v>
      </c>
      <c r="J1432" t="s">
        <v>22</v>
      </c>
      <c r="K1432">
        <v>20271201</v>
      </c>
    </row>
    <row r="1433" spans="1:11" x14ac:dyDescent="0.3">
      <c r="A1433" s="4">
        <v>46723</v>
      </c>
      <c r="B1433">
        <f t="shared" si="179"/>
        <v>2027</v>
      </c>
      <c r="C1433">
        <f t="shared" si="184"/>
        <v>12</v>
      </c>
      <c r="D1433" t="str">
        <f t="shared" si="180"/>
        <v>December</v>
      </c>
      <c r="E1433">
        <f t="shared" si="185"/>
        <v>49</v>
      </c>
      <c r="F1433">
        <f t="shared" si="186"/>
        <v>2</v>
      </c>
      <c r="G1433" t="str">
        <f t="shared" si="181"/>
        <v>Thursday</v>
      </c>
      <c r="H1433" t="b">
        <f t="shared" si="182"/>
        <v>0</v>
      </c>
      <c r="I1433">
        <f t="shared" si="183"/>
        <v>336</v>
      </c>
      <c r="J1433" t="s">
        <v>22</v>
      </c>
      <c r="K1433">
        <v>20271202</v>
      </c>
    </row>
    <row r="1434" spans="1:11" x14ac:dyDescent="0.3">
      <c r="A1434" s="4">
        <v>46724</v>
      </c>
      <c r="B1434">
        <f t="shared" si="179"/>
        <v>2027</v>
      </c>
      <c r="C1434">
        <f t="shared" si="184"/>
        <v>12</v>
      </c>
      <c r="D1434" t="str">
        <f t="shared" si="180"/>
        <v>December</v>
      </c>
      <c r="E1434">
        <f t="shared" si="185"/>
        <v>49</v>
      </c>
      <c r="F1434">
        <f t="shared" si="186"/>
        <v>3</v>
      </c>
      <c r="G1434" t="str">
        <f t="shared" si="181"/>
        <v>Friday</v>
      </c>
      <c r="H1434" t="b">
        <f t="shared" si="182"/>
        <v>0</v>
      </c>
      <c r="I1434">
        <f t="shared" si="183"/>
        <v>337</v>
      </c>
      <c r="J1434" t="s">
        <v>22</v>
      </c>
      <c r="K1434">
        <v>20271203</v>
      </c>
    </row>
    <row r="1435" spans="1:11" x14ac:dyDescent="0.3">
      <c r="A1435" s="4">
        <v>46725</v>
      </c>
      <c r="B1435">
        <f t="shared" si="179"/>
        <v>2027</v>
      </c>
      <c r="C1435">
        <f t="shared" si="184"/>
        <v>12</v>
      </c>
      <c r="D1435" t="str">
        <f t="shared" si="180"/>
        <v>December</v>
      </c>
      <c r="E1435">
        <f t="shared" si="185"/>
        <v>49</v>
      </c>
      <c r="F1435">
        <f t="shared" si="186"/>
        <v>4</v>
      </c>
      <c r="G1435" t="str">
        <f t="shared" si="181"/>
        <v>Saturday</v>
      </c>
      <c r="H1435" t="b">
        <f t="shared" si="182"/>
        <v>1</v>
      </c>
      <c r="I1435">
        <f t="shared" si="183"/>
        <v>338</v>
      </c>
      <c r="J1435" t="s">
        <v>22</v>
      </c>
      <c r="K1435">
        <v>20271204</v>
      </c>
    </row>
    <row r="1436" spans="1:11" x14ac:dyDescent="0.3">
      <c r="A1436" s="4">
        <v>46726</v>
      </c>
      <c r="B1436">
        <f t="shared" si="179"/>
        <v>2027</v>
      </c>
      <c r="C1436">
        <f t="shared" si="184"/>
        <v>12</v>
      </c>
      <c r="D1436" t="str">
        <f t="shared" si="180"/>
        <v>December</v>
      </c>
      <c r="E1436">
        <f t="shared" si="185"/>
        <v>50</v>
      </c>
      <c r="F1436">
        <f t="shared" si="186"/>
        <v>5</v>
      </c>
      <c r="G1436" t="str">
        <f t="shared" si="181"/>
        <v>Sunday</v>
      </c>
      <c r="H1436" t="b">
        <f t="shared" si="182"/>
        <v>1</v>
      </c>
      <c r="I1436">
        <f t="shared" si="183"/>
        <v>339</v>
      </c>
      <c r="J1436" t="s">
        <v>22</v>
      </c>
      <c r="K1436">
        <v>20271205</v>
      </c>
    </row>
    <row r="1437" spans="1:11" x14ac:dyDescent="0.3">
      <c r="A1437" s="4">
        <v>46727</v>
      </c>
      <c r="B1437">
        <f t="shared" si="179"/>
        <v>2027</v>
      </c>
      <c r="C1437">
        <f t="shared" si="184"/>
        <v>12</v>
      </c>
      <c r="D1437" t="str">
        <f t="shared" si="180"/>
        <v>December</v>
      </c>
      <c r="E1437">
        <f t="shared" si="185"/>
        <v>50</v>
      </c>
      <c r="F1437">
        <f t="shared" si="186"/>
        <v>6</v>
      </c>
      <c r="G1437" t="str">
        <f t="shared" si="181"/>
        <v>Monday</v>
      </c>
      <c r="H1437" t="b">
        <f t="shared" si="182"/>
        <v>0</v>
      </c>
      <c r="I1437">
        <f t="shared" si="183"/>
        <v>340</v>
      </c>
      <c r="J1437" t="s">
        <v>22</v>
      </c>
      <c r="K1437">
        <v>20271206</v>
      </c>
    </row>
    <row r="1438" spans="1:11" x14ac:dyDescent="0.3">
      <c r="A1438" s="4">
        <v>46728</v>
      </c>
      <c r="B1438">
        <f t="shared" si="179"/>
        <v>2027</v>
      </c>
      <c r="C1438">
        <f t="shared" si="184"/>
        <v>12</v>
      </c>
      <c r="D1438" t="str">
        <f t="shared" si="180"/>
        <v>December</v>
      </c>
      <c r="E1438">
        <f t="shared" si="185"/>
        <v>50</v>
      </c>
      <c r="F1438">
        <f t="shared" si="186"/>
        <v>7</v>
      </c>
      <c r="G1438" t="str">
        <f t="shared" si="181"/>
        <v>Tuesday</v>
      </c>
      <c r="H1438" t="b">
        <f t="shared" si="182"/>
        <v>0</v>
      </c>
      <c r="I1438">
        <f t="shared" si="183"/>
        <v>341</v>
      </c>
      <c r="J1438" t="s">
        <v>22</v>
      </c>
      <c r="K1438">
        <v>20271207</v>
      </c>
    </row>
    <row r="1439" spans="1:11" x14ac:dyDescent="0.3">
      <c r="A1439" s="4">
        <v>46729</v>
      </c>
      <c r="B1439">
        <f t="shared" si="179"/>
        <v>2027</v>
      </c>
      <c r="C1439">
        <f t="shared" si="184"/>
        <v>12</v>
      </c>
      <c r="D1439" t="str">
        <f t="shared" si="180"/>
        <v>December</v>
      </c>
      <c r="E1439">
        <f t="shared" si="185"/>
        <v>50</v>
      </c>
      <c r="F1439">
        <f t="shared" si="186"/>
        <v>8</v>
      </c>
      <c r="G1439" t="str">
        <f t="shared" si="181"/>
        <v>Wednesday</v>
      </c>
      <c r="H1439" t="b">
        <f t="shared" si="182"/>
        <v>0</v>
      </c>
      <c r="I1439">
        <f t="shared" si="183"/>
        <v>342</v>
      </c>
      <c r="J1439" t="s">
        <v>22</v>
      </c>
      <c r="K1439">
        <v>20271208</v>
      </c>
    </row>
    <row r="1440" spans="1:11" x14ac:dyDescent="0.3">
      <c r="A1440" s="4">
        <v>46730</v>
      </c>
      <c r="B1440">
        <f t="shared" si="179"/>
        <v>2027</v>
      </c>
      <c r="C1440">
        <f t="shared" si="184"/>
        <v>12</v>
      </c>
      <c r="D1440" t="str">
        <f t="shared" si="180"/>
        <v>December</v>
      </c>
      <c r="E1440">
        <f t="shared" si="185"/>
        <v>50</v>
      </c>
      <c r="F1440">
        <f t="shared" si="186"/>
        <v>9</v>
      </c>
      <c r="G1440" t="str">
        <f t="shared" si="181"/>
        <v>Thursday</v>
      </c>
      <c r="H1440" t="b">
        <f t="shared" si="182"/>
        <v>0</v>
      </c>
      <c r="I1440">
        <f t="shared" si="183"/>
        <v>343</v>
      </c>
      <c r="J1440" t="s">
        <v>22</v>
      </c>
      <c r="K1440">
        <v>20271209</v>
      </c>
    </row>
    <row r="1441" spans="1:11" x14ac:dyDescent="0.3">
      <c r="A1441" s="4">
        <v>46731</v>
      </c>
      <c r="B1441">
        <f t="shared" si="179"/>
        <v>2027</v>
      </c>
      <c r="C1441">
        <f t="shared" si="184"/>
        <v>12</v>
      </c>
      <c r="D1441" t="str">
        <f t="shared" si="180"/>
        <v>December</v>
      </c>
      <c r="E1441">
        <f t="shared" si="185"/>
        <v>50</v>
      </c>
      <c r="F1441">
        <f t="shared" si="186"/>
        <v>10</v>
      </c>
      <c r="G1441" t="str">
        <f t="shared" si="181"/>
        <v>Friday</v>
      </c>
      <c r="H1441" t="b">
        <f t="shared" si="182"/>
        <v>0</v>
      </c>
      <c r="I1441">
        <f t="shared" si="183"/>
        <v>344</v>
      </c>
      <c r="J1441" t="s">
        <v>22</v>
      </c>
      <c r="K1441">
        <v>20271210</v>
      </c>
    </row>
    <row r="1442" spans="1:11" x14ac:dyDescent="0.3">
      <c r="A1442" s="4">
        <v>46732</v>
      </c>
      <c r="B1442">
        <f t="shared" si="179"/>
        <v>2027</v>
      </c>
      <c r="C1442">
        <f t="shared" si="184"/>
        <v>12</v>
      </c>
      <c r="D1442" t="str">
        <f t="shared" si="180"/>
        <v>December</v>
      </c>
      <c r="E1442">
        <f t="shared" si="185"/>
        <v>50</v>
      </c>
      <c r="F1442">
        <f t="shared" si="186"/>
        <v>11</v>
      </c>
      <c r="G1442" t="str">
        <f t="shared" si="181"/>
        <v>Saturday</v>
      </c>
      <c r="H1442" t="b">
        <f t="shared" si="182"/>
        <v>1</v>
      </c>
      <c r="I1442">
        <f t="shared" si="183"/>
        <v>345</v>
      </c>
      <c r="J1442" t="s">
        <v>22</v>
      </c>
      <c r="K1442">
        <v>20271211</v>
      </c>
    </row>
    <row r="1443" spans="1:11" x14ac:dyDescent="0.3">
      <c r="A1443" s="4">
        <v>46733</v>
      </c>
      <c r="B1443">
        <f t="shared" si="179"/>
        <v>2027</v>
      </c>
      <c r="C1443">
        <f t="shared" si="184"/>
        <v>12</v>
      </c>
      <c r="D1443" t="str">
        <f t="shared" si="180"/>
        <v>December</v>
      </c>
      <c r="E1443">
        <f t="shared" si="185"/>
        <v>51</v>
      </c>
      <c r="F1443">
        <f t="shared" si="186"/>
        <v>12</v>
      </c>
      <c r="G1443" t="str">
        <f t="shared" si="181"/>
        <v>Sunday</v>
      </c>
      <c r="H1443" t="b">
        <f t="shared" si="182"/>
        <v>1</v>
      </c>
      <c r="I1443">
        <f t="shared" si="183"/>
        <v>346</v>
      </c>
      <c r="J1443" t="s">
        <v>22</v>
      </c>
      <c r="K1443">
        <v>20271212</v>
      </c>
    </row>
    <row r="1444" spans="1:11" x14ac:dyDescent="0.3">
      <c r="A1444" s="4">
        <v>46734</v>
      </c>
      <c r="B1444">
        <f t="shared" si="179"/>
        <v>2027</v>
      </c>
      <c r="C1444">
        <f t="shared" si="184"/>
        <v>12</v>
      </c>
      <c r="D1444" t="str">
        <f t="shared" si="180"/>
        <v>December</v>
      </c>
      <c r="E1444">
        <f t="shared" si="185"/>
        <v>51</v>
      </c>
      <c r="F1444">
        <f t="shared" si="186"/>
        <v>13</v>
      </c>
      <c r="G1444" t="str">
        <f t="shared" si="181"/>
        <v>Monday</v>
      </c>
      <c r="H1444" t="b">
        <f t="shared" si="182"/>
        <v>0</v>
      </c>
      <c r="I1444">
        <f t="shared" si="183"/>
        <v>347</v>
      </c>
      <c r="J1444" t="s">
        <v>22</v>
      </c>
      <c r="K1444">
        <v>20271213</v>
      </c>
    </row>
    <row r="1445" spans="1:11" x14ac:dyDescent="0.3">
      <c r="A1445" s="4">
        <v>46735</v>
      </c>
      <c r="B1445">
        <f t="shared" si="179"/>
        <v>2027</v>
      </c>
      <c r="C1445">
        <f t="shared" si="184"/>
        <v>12</v>
      </c>
      <c r="D1445" t="str">
        <f t="shared" si="180"/>
        <v>December</v>
      </c>
      <c r="E1445">
        <f t="shared" si="185"/>
        <v>51</v>
      </c>
      <c r="F1445">
        <f t="shared" si="186"/>
        <v>14</v>
      </c>
      <c r="G1445" t="str">
        <f t="shared" si="181"/>
        <v>Tuesday</v>
      </c>
      <c r="H1445" t="b">
        <f t="shared" si="182"/>
        <v>0</v>
      </c>
      <c r="I1445">
        <f t="shared" si="183"/>
        <v>348</v>
      </c>
      <c r="J1445" t="s">
        <v>22</v>
      </c>
      <c r="K1445">
        <v>20271214</v>
      </c>
    </row>
    <row r="1446" spans="1:11" x14ac:dyDescent="0.3">
      <c r="A1446" s="4">
        <v>46736</v>
      </c>
      <c r="B1446">
        <f t="shared" si="179"/>
        <v>2027</v>
      </c>
      <c r="C1446">
        <f t="shared" si="184"/>
        <v>12</v>
      </c>
      <c r="D1446" t="str">
        <f t="shared" si="180"/>
        <v>December</v>
      </c>
      <c r="E1446">
        <f t="shared" si="185"/>
        <v>51</v>
      </c>
      <c r="F1446">
        <f t="shared" si="186"/>
        <v>15</v>
      </c>
      <c r="G1446" t="str">
        <f t="shared" si="181"/>
        <v>Wednesday</v>
      </c>
      <c r="H1446" t="b">
        <f t="shared" si="182"/>
        <v>0</v>
      </c>
      <c r="I1446">
        <f t="shared" si="183"/>
        <v>349</v>
      </c>
      <c r="J1446" t="s">
        <v>22</v>
      </c>
      <c r="K1446">
        <v>20271215</v>
      </c>
    </row>
    <row r="1447" spans="1:11" x14ac:dyDescent="0.3">
      <c r="A1447" s="4">
        <v>46737</v>
      </c>
      <c r="B1447">
        <f t="shared" si="179"/>
        <v>2027</v>
      </c>
      <c r="C1447">
        <f t="shared" si="184"/>
        <v>12</v>
      </c>
      <c r="D1447" t="str">
        <f t="shared" si="180"/>
        <v>December</v>
      </c>
      <c r="E1447">
        <f t="shared" si="185"/>
        <v>51</v>
      </c>
      <c r="F1447">
        <f t="shared" si="186"/>
        <v>16</v>
      </c>
      <c r="G1447" t="str">
        <f t="shared" si="181"/>
        <v>Thursday</v>
      </c>
      <c r="H1447" t="b">
        <f t="shared" si="182"/>
        <v>0</v>
      </c>
      <c r="I1447">
        <f t="shared" si="183"/>
        <v>350</v>
      </c>
      <c r="J1447" t="s">
        <v>22</v>
      </c>
      <c r="K1447">
        <v>20271216</v>
      </c>
    </row>
    <row r="1448" spans="1:11" x14ac:dyDescent="0.3">
      <c r="A1448" s="4">
        <v>46738</v>
      </c>
      <c r="B1448">
        <f t="shared" si="179"/>
        <v>2027</v>
      </c>
      <c r="C1448">
        <f t="shared" si="184"/>
        <v>12</v>
      </c>
      <c r="D1448" t="str">
        <f t="shared" si="180"/>
        <v>December</v>
      </c>
      <c r="E1448">
        <f t="shared" si="185"/>
        <v>51</v>
      </c>
      <c r="F1448">
        <f t="shared" si="186"/>
        <v>17</v>
      </c>
      <c r="G1448" t="str">
        <f t="shared" si="181"/>
        <v>Friday</v>
      </c>
      <c r="H1448" t="b">
        <f t="shared" si="182"/>
        <v>0</v>
      </c>
      <c r="I1448">
        <f t="shared" si="183"/>
        <v>351</v>
      </c>
      <c r="J1448" t="s">
        <v>22</v>
      </c>
      <c r="K1448">
        <v>20271217</v>
      </c>
    </row>
    <row r="1449" spans="1:11" x14ac:dyDescent="0.3">
      <c r="A1449" s="4">
        <v>46739</v>
      </c>
      <c r="B1449">
        <f t="shared" si="179"/>
        <v>2027</v>
      </c>
      <c r="C1449">
        <f t="shared" si="184"/>
        <v>12</v>
      </c>
      <c r="D1449" t="str">
        <f t="shared" si="180"/>
        <v>December</v>
      </c>
      <c r="E1449">
        <f t="shared" si="185"/>
        <v>51</v>
      </c>
      <c r="F1449">
        <f t="shared" si="186"/>
        <v>18</v>
      </c>
      <c r="G1449" t="str">
        <f t="shared" si="181"/>
        <v>Saturday</v>
      </c>
      <c r="H1449" t="b">
        <f t="shared" si="182"/>
        <v>1</v>
      </c>
      <c r="I1449">
        <f t="shared" si="183"/>
        <v>352</v>
      </c>
      <c r="J1449" t="s">
        <v>22</v>
      </c>
      <c r="K1449">
        <v>20271218</v>
      </c>
    </row>
    <row r="1450" spans="1:11" x14ac:dyDescent="0.3">
      <c r="A1450" s="4">
        <v>46740</v>
      </c>
      <c r="B1450">
        <f t="shared" si="179"/>
        <v>2027</v>
      </c>
      <c r="C1450">
        <f t="shared" si="184"/>
        <v>12</v>
      </c>
      <c r="D1450" t="str">
        <f t="shared" si="180"/>
        <v>December</v>
      </c>
      <c r="E1450">
        <f t="shared" si="185"/>
        <v>52</v>
      </c>
      <c r="F1450">
        <f t="shared" si="186"/>
        <v>19</v>
      </c>
      <c r="G1450" t="str">
        <f t="shared" si="181"/>
        <v>Sunday</v>
      </c>
      <c r="H1450" t="b">
        <f t="shared" si="182"/>
        <v>1</v>
      </c>
      <c r="I1450">
        <f t="shared" si="183"/>
        <v>353</v>
      </c>
      <c r="J1450" t="s">
        <v>22</v>
      </c>
      <c r="K1450">
        <v>20271219</v>
      </c>
    </row>
    <row r="1451" spans="1:11" x14ac:dyDescent="0.3">
      <c r="A1451" s="4">
        <v>46741</v>
      </c>
      <c r="B1451">
        <f t="shared" si="179"/>
        <v>2027</v>
      </c>
      <c r="C1451">
        <f t="shared" si="184"/>
        <v>12</v>
      </c>
      <c r="D1451" t="str">
        <f t="shared" si="180"/>
        <v>December</v>
      </c>
      <c r="E1451">
        <f t="shared" si="185"/>
        <v>52</v>
      </c>
      <c r="F1451">
        <f t="shared" si="186"/>
        <v>20</v>
      </c>
      <c r="G1451" t="str">
        <f t="shared" si="181"/>
        <v>Monday</v>
      </c>
      <c r="H1451" t="b">
        <f t="shared" si="182"/>
        <v>0</v>
      </c>
      <c r="I1451">
        <f t="shared" si="183"/>
        <v>354</v>
      </c>
      <c r="J1451" t="s">
        <v>22</v>
      </c>
      <c r="K1451">
        <v>20271220</v>
      </c>
    </row>
    <row r="1452" spans="1:11" x14ac:dyDescent="0.3">
      <c r="A1452" s="4">
        <v>46742</v>
      </c>
      <c r="B1452">
        <f t="shared" si="179"/>
        <v>2027</v>
      </c>
      <c r="C1452">
        <f t="shared" si="184"/>
        <v>12</v>
      </c>
      <c r="D1452" t="str">
        <f t="shared" si="180"/>
        <v>December</v>
      </c>
      <c r="E1452">
        <f t="shared" si="185"/>
        <v>52</v>
      </c>
      <c r="F1452">
        <f t="shared" si="186"/>
        <v>21</v>
      </c>
      <c r="G1452" t="str">
        <f t="shared" si="181"/>
        <v>Tuesday</v>
      </c>
      <c r="H1452" t="b">
        <f t="shared" si="182"/>
        <v>0</v>
      </c>
      <c r="I1452">
        <f t="shared" si="183"/>
        <v>355</v>
      </c>
      <c r="J1452" t="s">
        <v>22</v>
      </c>
      <c r="K1452">
        <v>20271221</v>
      </c>
    </row>
    <row r="1453" spans="1:11" x14ac:dyDescent="0.3">
      <c r="A1453" s="4">
        <v>46743</v>
      </c>
      <c r="B1453">
        <f t="shared" si="179"/>
        <v>2027</v>
      </c>
      <c r="C1453">
        <f t="shared" si="184"/>
        <v>12</v>
      </c>
      <c r="D1453" t="str">
        <f t="shared" si="180"/>
        <v>December</v>
      </c>
      <c r="E1453">
        <f t="shared" si="185"/>
        <v>52</v>
      </c>
      <c r="F1453">
        <f t="shared" si="186"/>
        <v>22</v>
      </c>
      <c r="G1453" t="str">
        <f t="shared" si="181"/>
        <v>Wednesday</v>
      </c>
      <c r="H1453" t="b">
        <f t="shared" si="182"/>
        <v>0</v>
      </c>
      <c r="I1453">
        <f t="shared" si="183"/>
        <v>356</v>
      </c>
      <c r="J1453" t="s">
        <v>22</v>
      </c>
      <c r="K1453">
        <v>20271222</v>
      </c>
    </row>
    <row r="1454" spans="1:11" x14ac:dyDescent="0.3">
      <c r="A1454" s="4">
        <v>46744</v>
      </c>
      <c r="B1454">
        <f t="shared" si="179"/>
        <v>2027</v>
      </c>
      <c r="C1454">
        <f t="shared" si="184"/>
        <v>12</v>
      </c>
      <c r="D1454" t="str">
        <f t="shared" si="180"/>
        <v>December</v>
      </c>
      <c r="E1454">
        <f t="shared" si="185"/>
        <v>52</v>
      </c>
      <c r="F1454">
        <f t="shared" si="186"/>
        <v>23</v>
      </c>
      <c r="G1454" t="str">
        <f t="shared" si="181"/>
        <v>Thursday</v>
      </c>
      <c r="H1454" t="b">
        <f t="shared" si="182"/>
        <v>0</v>
      </c>
      <c r="I1454">
        <f t="shared" si="183"/>
        <v>357</v>
      </c>
      <c r="J1454" t="s">
        <v>22</v>
      </c>
      <c r="K1454">
        <v>20271223</v>
      </c>
    </row>
    <row r="1455" spans="1:11" x14ac:dyDescent="0.3">
      <c r="A1455" s="4">
        <v>46745</v>
      </c>
      <c r="B1455">
        <f t="shared" si="179"/>
        <v>2027</v>
      </c>
      <c r="C1455">
        <f t="shared" si="184"/>
        <v>12</v>
      </c>
      <c r="D1455" t="str">
        <f t="shared" si="180"/>
        <v>December</v>
      </c>
      <c r="E1455">
        <f t="shared" si="185"/>
        <v>52</v>
      </c>
      <c r="F1455">
        <f t="shared" si="186"/>
        <v>24</v>
      </c>
      <c r="G1455" t="str">
        <f t="shared" si="181"/>
        <v>Friday</v>
      </c>
      <c r="H1455" t="b">
        <f t="shared" si="182"/>
        <v>0</v>
      </c>
      <c r="I1455">
        <f t="shared" si="183"/>
        <v>358</v>
      </c>
      <c r="J1455" t="s">
        <v>22</v>
      </c>
      <c r="K1455">
        <v>20271224</v>
      </c>
    </row>
    <row r="1456" spans="1:11" x14ac:dyDescent="0.3">
      <c r="A1456" s="4">
        <v>46746</v>
      </c>
      <c r="B1456">
        <f t="shared" si="179"/>
        <v>2027</v>
      </c>
      <c r="C1456">
        <f t="shared" si="184"/>
        <v>12</v>
      </c>
      <c r="D1456" t="str">
        <f t="shared" si="180"/>
        <v>December</v>
      </c>
      <c r="E1456">
        <f t="shared" si="185"/>
        <v>52</v>
      </c>
      <c r="F1456">
        <f t="shared" si="186"/>
        <v>25</v>
      </c>
      <c r="G1456" t="str">
        <f t="shared" si="181"/>
        <v>Saturday</v>
      </c>
      <c r="H1456" t="b">
        <f t="shared" si="182"/>
        <v>1</v>
      </c>
      <c r="I1456">
        <f t="shared" si="183"/>
        <v>359</v>
      </c>
      <c r="J1456" t="s">
        <v>22</v>
      </c>
      <c r="K1456">
        <v>20271225</v>
      </c>
    </row>
    <row r="1457" spans="1:11" x14ac:dyDescent="0.3">
      <c r="A1457" s="4">
        <v>46747</v>
      </c>
      <c r="B1457">
        <f t="shared" si="179"/>
        <v>2027</v>
      </c>
      <c r="C1457">
        <f t="shared" si="184"/>
        <v>12</v>
      </c>
      <c r="D1457" t="str">
        <f t="shared" si="180"/>
        <v>December</v>
      </c>
      <c r="E1457">
        <f t="shared" si="185"/>
        <v>53</v>
      </c>
      <c r="F1457">
        <f t="shared" si="186"/>
        <v>26</v>
      </c>
      <c r="G1457" t="str">
        <f t="shared" si="181"/>
        <v>Sunday</v>
      </c>
      <c r="H1457" t="b">
        <f t="shared" si="182"/>
        <v>1</v>
      </c>
      <c r="I1457">
        <f t="shared" si="183"/>
        <v>360</v>
      </c>
      <c r="J1457" t="s">
        <v>22</v>
      </c>
      <c r="K1457">
        <v>20271226</v>
      </c>
    </row>
    <row r="1458" spans="1:11" x14ac:dyDescent="0.3">
      <c r="A1458" s="4">
        <v>46748</v>
      </c>
      <c r="B1458">
        <f t="shared" si="179"/>
        <v>2027</v>
      </c>
      <c r="C1458">
        <f t="shared" si="184"/>
        <v>12</v>
      </c>
      <c r="D1458" t="str">
        <f t="shared" si="180"/>
        <v>December</v>
      </c>
      <c r="E1458">
        <f t="shared" si="185"/>
        <v>53</v>
      </c>
      <c r="F1458">
        <f t="shared" si="186"/>
        <v>27</v>
      </c>
      <c r="G1458" t="str">
        <f t="shared" si="181"/>
        <v>Monday</v>
      </c>
      <c r="H1458" t="b">
        <f t="shared" si="182"/>
        <v>0</v>
      </c>
      <c r="I1458">
        <f t="shared" si="183"/>
        <v>361</v>
      </c>
      <c r="J1458" t="s">
        <v>22</v>
      </c>
      <c r="K1458">
        <v>20271227</v>
      </c>
    </row>
    <row r="1459" spans="1:11" x14ac:dyDescent="0.3">
      <c r="A1459" s="4">
        <v>46749</v>
      </c>
      <c r="B1459">
        <f t="shared" si="179"/>
        <v>2027</v>
      </c>
      <c r="C1459">
        <f t="shared" si="184"/>
        <v>12</v>
      </c>
      <c r="D1459" t="str">
        <f t="shared" si="180"/>
        <v>December</v>
      </c>
      <c r="E1459">
        <f t="shared" si="185"/>
        <v>53</v>
      </c>
      <c r="F1459">
        <f t="shared" si="186"/>
        <v>28</v>
      </c>
      <c r="G1459" t="str">
        <f t="shared" si="181"/>
        <v>Tuesday</v>
      </c>
      <c r="H1459" t="b">
        <f t="shared" si="182"/>
        <v>0</v>
      </c>
      <c r="I1459">
        <f t="shared" si="183"/>
        <v>362</v>
      </c>
      <c r="J1459" t="s">
        <v>22</v>
      </c>
      <c r="K1459">
        <v>20271228</v>
      </c>
    </row>
    <row r="1460" spans="1:11" x14ac:dyDescent="0.3">
      <c r="A1460" s="4">
        <v>46750</v>
      </c>
      <c r="B1460">
        <f t="shared" si="179"/>
        <v>2027</v>
      </c>
      <c r="C1460">
        <f t="shared" si="184"/>
        <v>12</v>
      </c>
      <c r="D1460" t="str">
        <f t="shared" si="180"/>
        <v>December</v>
      </c>
      <c r="E1460">
        <f t="shared" si="185"/>
        <v>53</v>
      </c>
      <c r="F1460">
        <f t="shared" si="186"/>
        <v>29</v>
      </c>
      <c r="G1460" t="str">
        <f t="shared" si="181"/>
        <v>Wednesday</v>
      </c>
      <c r="H1460" t="b">
        <f t="shared" si="182"/>
        <v>0</v>
      </c>
      <c r="I1460">
        <f t="shared" si="183"/>
        <v>363</v>
      </c>
      <c r="J1460" t="s">
        <v>22</v>
      </c>
      <c r="K1460">
        <v>20271229</v>
      </c>
    </row>
    <row r="1461" spans="1:11" x14ac:dyDescent="0.3">
      <c r="A1461" s="4">
        <v>46751</v>
      </c>
      <c r="B1461">
        <f t="shared" si="179"/>
        <v>2027</v>
      </c>
      <c r="C1461">
        <f t="shared" si="184"/>
        <v>12</v>
      </c>
      <c r="D1461" t="str">
        <f t="shared" si="180"/>
        <v>December</v>
      </c>
      <c r="E1461">
        <f t="shared" si="185"/>
        <v>53</v>
      </c>
      <c r="F1461">
        <f t="shared" si="186"/>
        <v>30</v>
      </c>
      <c r="G1461" t="str">
        <f t="shared" si="181"/>
        <v>Thursday</v>
      </c>
      <c r="H1461" t="b">
        <f t="shared" si="182"/>
        <v>0</v>
      </c>
      <c r="I1461">
        <f t="shared" si="183"/>
        <v>364</v>
      </c>
      <c r="J1461" t="s">
        <v>22</v>
      </c>
      <c r="K1461">
        <v>20271230</v>
      </c>
    </row>
    <row r="1462" spans="1:11" x14ac:dyDescent="0.3">
      <c r="A1462" s="4">
        <v>46752</v>
      </c>
      <c r="B1462">
        <f t="shared" si="179"/>
        <v>2027</v>
      </c>
      <c r="C1462">
        <f t="shared" si="184"/>
        <v>12</v>
      </c>
      <c r="D1462" t="str">
        <f t="shared" si="180"/>
        <v>December</v>
      </c>
      <c r="E1462">
        <f t="shared" si="185"/>
        <v>53</v>
      </c>
      <c r="F1462">
        <f t="shared" si="186"/>
        <v>31</v>
      </c>
      <c r="G1462" t="str">
        <f t="shared" si="181"/>
        <v>Friday</v>
      </c>
      <c r="H1462" t="b">
        <f t="shared" si="182"/>
        <v>0</v>
      </c>
      <c r="I1462">
        <f t="shared" si="183"/>
        <v>365</v>
      </c>
      <c r="J1462" t="s">
        <v>22</v>
      </c>
      <c r="K1462">
        <v>20271231</v>
      </c>
    </row>
  </sheetData>
  <autoFilter ref="A1:J1462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7EC94-83B7-4405-8C6C-6F07421B8CC8}">
  <dimension ref="A1:E49"/>
  <sheetViews>
    <sheetView tabSelected="1" workbookViewId="0">
      <pane ySplit="1" topLeftCell="A2" activePane="bottomLeft" state="frozen"/>
      <selection pane="bottomLeft" activeCell="D1" sqref="D1:D1048576"/>
    </sheetView>
  </sheetViews>
  <sheetFormatPr defaultRowHeight="14.4" x14ac:dyDescent="0.3"/>
  <cols>
    <col min="2" max="5" width="12" customWidth="1"/>
  </cols>
  <sheetData>
    <row r="1" spans="1:5" x14ac:dyDescent="0.3">
      <c r="A1" s="1" t="s">
        <v>2678</v>
      </c>
      <c r="B1" s="1" t="s">
        <v>13</v>
      </c>
      <c r="C1" s="1" t="s">
        <v>14</v>
      </c>
      <c r="D1" s="1" t="s">
        <v>12</v>
      </c>
      <c r="E1" s="1" t="s">
        <v>20</v>
      </c>
    </row>
    <row r="2" spans="1:5" x14ac:dyDescent="0.3">
      <c r="A2">
        <v>202401</v>
      </c>
      <c r="B2" s="5">
        <v>1</v>
      </c>
      <c r="C2" t="s">
        <v>21</v>
      </c>
      <c r="D2">
        <v>2024</v>
      </c>
      <c r="E2" t="s">
        <v>22</v>
      </c>
    </row>
    <row r="3" spans="1:5" x14ac:dyDescent="0.3">
      <c r="A3">
        <v>202402</v>
      </c>
      <c r="B3" s="5">
        <v>2</v>
      </c>
      <c r="C3" t="s">
        <v>23</v>
      </c>
      <c r="D3">
        <v>2024</v>
      </c>
      <c r="E3" t="s">
        <v>22</v>
      </c>
    </row>
    <row r="4" spans="1:5" x14ac:dyDescent="0.3">
      <c r="A4">
        <v>202403</v>
      </c>
      <c r="B4" s="5">
        <v>3</v>
      </c>
      <c r="C4" t="s">
        <v>24</v>
      </c>
      <c r="D4">
        <v>2024</v>
      </c>
      <c r="E4" t="s">
        <v>25</v>
      </c>
    </row>
    <row r="5" spans="1:5" x14ac:dyDescent="0.3">
      <c r="A5">
        <v>202404</v>
      </c>
      <c r="B5" s="5">
        <v>4</v>
      </c>
      <c r="C5" t="s">
        <v>26</v>
      </c>
      <c r="D5">
        <v>2024</v>
      </c>
      <c r="E5" t="s">
        <v>25</v>
      </c>
    </row>
    <row r="6" spans="1:5" x14ac:dyDescent="0.3">
      <c r="A6">
        <v>202405</v>
      </c>
      <c r="B6" s="5">
        <v>5</v>
      </c>
      <c r="C6" t="s">
        <v>27</v>
      </c>
      <c r="D6">
        <v>2024</v>
      </c>
      <c r="E6" t="s">
        <v>28</v>
      </c>
    </row>
    <row r="7" spans="1:5" x14ac:dyDescent="0.3">
      <c r="A7">
        <v>202406</v>
      </c>
      <c r="B7" s="5">
        <v>6</v>
      </c>
      <c r="C7" t="s">
        <v>29</v>
      </c>
      <c r="D7">
        <v>2024</v>
      </c>
      <c r="E7" t="s">
        <v>28</v>
      </c>
    </row>
    <row r="8" spans="1:5" x14ac:dyDescent="0.3">
      <c r="A8">
        <v>202407</v>
      </c>
      <c r="B8" s="5">
        <v>7</v>
      </c>
      <c r="C8" t="s">
        <v>30</v>
      </c>
      <c r="D8">
        <v>2024</v>
      </c>
      <c r="E8" t="s">
        <v>28</v>
      </c>
    </row>
    <row r="9" spans="1:5" x14ac:dyDescent="0.3">
      <c r="A9">
        <v>202408</v>
      </c>
      <c r="B9" s="5">
        <v>8</v>
      </c>
      <c r="C9" t="s">
        <v>31</v>
      </c>
      <c r="D9">
        <v>2024</v>
      </c>
      <c r="E9" t="s">
        <v>28</v>
      </c>
    </row>
    <row r="10" spans="1:5" x14ac:dyDescent="0.3">
      <c r="A10">
        <v>202409</v>
      </c>
      <c r="B10" s="5">
        <v>9</v>
      </c>
      <c r="C10" t="s">
        <v>32</v>
      </c>
      <c r="D10">
        <v>2024</v>
      </c>
      <c r="E10" t="s">
        <v>25</v>
      </c>
    </row>
    <row r="11" spans="1:5" x14ac:dyDescent="0.3">
      <c r="A11">
        <v>202410</v>
      </c>
      <c r="B11" s="5">
        <v>10</v>
      </c>
      <c r="C11" t="s">
        <v>33</v>
      </c>
      <c r="D11">
        <v>2024</v>
      </c>
      <c r="E11" t="s">
        <v>25</v>
      </c>
    </row>
    <row r="12" spans="1:5" x14ac:dyDescent="0.3">
      <c r="A12">
        <v>202411</v>
      </c>
      <c r="B12" s="5">
        <v>11</v>
      </c>
      <c r="C12" t="s">
        <v>34</v>
      </c>
      <c r="D12">
        <v>2024</v>
      </c>
      <c r="E12" t="s">
        <v>22</v>
      </c>
    </row>
    <row r="13" spans="1:5" x14ac:dyDescent="0.3">
      <c r="A13">
        <v>202412</v>
      </c>
      <c r="B13" s="5">
        <v>12</v>
      </c>
      <c r="C13" t="s">
        <v>35</v>
      </c>
      <c r="D13">
        <v>2024</v>
      </c>
      <c r="E13" t="s">
        <v>22</v>
      </c>
    </row>
    <row r="14" spans="1:5" x14ac:dyDescent="0.3">
      <c r="A14">
        <v>202501</v>
      </c>
      <c r="B14" s="5">
        <v>1</v>
      </c>
      <c r="C14" t="s">
        <v>21</v>
      </c>
      <c r="D14">
        <v>2025</v>
      </c>
      <c r="E14" t="s">
        <v>22</v>
      </c>
    </row>
    <row r="15" spans="1:5" x14ac:dyDescent="0.3">
      <c r="A15">
        <v>202502</v>
      </c>
      <c r="B15" s="5">
        <v>2</v>
      </c>
      <c r="C15" t="s">
        <v>23</v>
      </c>
      <c r="D15">
        <v>2025</v>
      </c>
      <c r="E15" t="s">
        <v>22</v>
      </c>
    </row>
    <row r="16" spans="1:5" x14ac:dyDescent="0.3">
      <c r="A16">
        <v>202503</v>
      </c>
      <c r="B16" s="5">
        <v>3</v>
      </c>
      <c r="C16" t="s">
        <v>24</v>
      </c>
      <c r="D16">
        <v>2025</v>
      </c>
      <c r="E16" t="s">
        <v>25</v>
      </c>
    </row>
    <row r="17" spans="1:5" x14ac:dyDescent="0.3">
      <c r="A17">
        <v>202504</v>
      </c>
      <c r="B17" s="5">
        <v>4</v>
      </c>
      <c r="C17" t="s">
        <v>26</v>
      </c>
      <c r="D17">
        <v>2025</v>
      </c>
      <c r="E17" t="s">
        <v>25</v>
      </c>
    </row>
    <row r="18" spans="1:5" x14ac:dyDescent="0.3">
      <c r="A18">
        <v>202505</v>
      </c>
      <c r="B18" s="5">
        <v>5</v>
      </c>
      <c r="C18" t="s">
        <v>27</v>
      </c>
      <c r="D18">
        <v>2025</v>
      </c>
      <c r="E18" t="s">
        <v>28</v>
      </c>
    </row>
    <row r="19" spans="1:5" x14ac:dyDescent="0.3">
      <c r="A19">
        <v>202506</v>
      </c>
      <c r="B19" s="5">
        <v>6</v>
      </c>
      <c r="C19" t="s">
        <v>29</v>
      </c>
      <c r="D19">
        <v>2025</v>
      </c>
      <c r="E19" t="s">
        <v>28</v>
      </c>
    </row>
    <row r="20" spans="1:5" x14ac:dyDescent="0.3">
      <c r="A20">
        <v>202507</v>
      </c>
      <c r="B20" s="5">
        <v>7</v>
      </c>
      <c r="C20" t="s">
        <v>30</v>
      </c>
      <c r="D20">
        <v>2025</v>
      </c>
      <c r="E20" t="s">
        <v>28</v>
      </c>
    </row>
    <row r="21" spans="1:5" x14ac:dyDescent="0.3">
      <c r="A21">
        <v>202508</v>
      </c>
      <c r="B21" s="5">
        <v>8</v>
      </c>
      <c r="C21" t="s">
        <v>31</v>
      </c>
      <c r="D21">
        <v>2025</v>
      </c>
      <c r="E21" t="s">
        <v>28</v>
      </c>
    </row>
    <row r="22" spans="1:5" x14ac:dyDescent="0.3">
      <c r="A22">
        <v>202509</v>
      </c>
      <c r="B22" s="5">
        <v>9</v>
      </c>
      <c r="C22" t="s">
        <v>32</v>
      </c>
      <c r="D22">
        <v>2025</v>
      </c>
      <c r="E22" t="s">
        <v>25</v>
      </c>
    </row>
    <row r="23" spans="1:5" x14ac:dyDescent="0.3">
      <c r="A23">
        <v>202510</v>
      </c>
      <c r="B23" s="5">
        <v>10</v>
      </c>
      <c r="C23" t="s">
        <v>33</v>
      </c>
      <c r="D23">
        <v>2025</v>
      </c>
      <c r="E23" t="s">
        <v>25</v>
      </c>
    </row>
    <row r="24" spans="1:5" x14ac:dyDescent="0.3">
      <c r="A24">
        <v>202511</v>
      </c>
      <c r="B24" s="5">
        <v>11</v>
      </c>
      <c r="C24" t="s">
        <v>34</v>
      </c>
      <c r="D24">
        <v>2025</v>
      </c>
      <c r="E24" t="s">
        <v>22</v>
      </c>
    </row>
    <row r="25" spans="1:5" x14ac:dyDescent="0.3">
      <c r="A25">
        <v>202512</v>
      </c>
      <c r="B25" s="5">
        <v>12</v>
      </c>
      <c r="C25" t="s">
        <v>35</v>
      </c>
      <c r="D25">
        <v>2025</v>
      </c>
      <c r="E25" t="s">
        <v>22</v>
      </c>
    </row>
    <row r="26" spans="1:5" x14ac:dyDescent="0.3">
      <c r="A26">
        <v>202601</v>
      </c>
      <c r="B26" s="5">
        <v>1</v>
      </c>
      <c r="C26" t="s">
        <v>21</v>
      </c>
      <c r="D26">
        <v>2026</v>
      </c>
      <c r="E26" t="s">
        <v>22</v>
      </c>
    </row>
    <row r="27" spans="1:5" x14ac:dyDescent="0.3">
      <c r="A27">
        <v>202602</v>
      </c>
      <c r="B27" s="5">
        <v>2</v>
      </c>
      <c r="C27" t="s">
        <v>23</v>
      </c>
      <c r="D27">
        <v>2026</v>
      </c>
      <c r="E27" t="s">
        <v>22</v>
      </c>
    </row>
    <row r="28" spans="1:5" x14ac:dyDescent="0.3">
      <c r="A28">
        <v>202603</v>
      </c>
      <c r="B28" s="5">
        <v>3</v>
      </c>
      <c r="C28" t="s">
        <v>24</v>
      </c>
      <c r="D28">
        <v>2026</v>
      </c>
      <c r="E28" t="s">
        <v>25</v>
      </c>
    </row>
    <row r="29" spans="1:5" x14ac:dyDescent="0.3">
      <c r="A29">
        <v>202604</v>
      </c>
      <c r="B29" s="5">
        <v>4</v>
      </c>
      <c r="C29" t="s">
        <v>26</v>
      </c>
      <c r="D29">
        <v>2026</v>
      </c>
      <c r="E29" t="s">
        <v>25</v>
      </c>
    </row>
    <row r="30" spans="1:5" x14ac:dyDescent="0.3">
      <c r="A30">
        <v>202605</v>
      </c>
      <c r="B30" s="5">
        <v>5</v>
      </c>
      <c r="C30" t="s">
        <v>27</v>
      </c>
      <c r="D30">
        <v>2026</v>
      </c>
      <c r="E30" t="s">
        <v>28</v>
      </c>
    </row>
    <row r="31" spans="1:5" x14ac:dyDescent="0.3">
      <c r="A31">
        <v>202606</v>
      </c>
      <c r="B31" s="5">
        <v>6</v>
      </c>
      <c r="C31" t="s">
        <v>29</v>
      </c>
      <c r="D31">
        <v>2026</v>
      </c>
      <c r="E31" t="s">
        <v>28</v>
      </c>
    </row>
    <row r="32" spans="1:5" x14ac:dyDescent="0.3">
      <c r="A32">
        <v>202607</v>
      </c>
      <c r="B32" s="5">
        <v>7</v>
      </c>
      <c r="C32" t="s">
        <v>30</v>
      </c>
      <c r="D32">
        <v>2026</v>
      </c>
      <c r="E32" t="s">
        <v>28</v>
      </c>
    </row>
    <row r="33" spans="1:5" x14ac:dyDescent="0.3">
      <c r="A33">
        <v>202608</v>
      </c>
      <c r="B33" s="5">
        <v>8</v>
      </c>
      <c r="C33" t="s">
        <v>31</v>
      </c>
      <c r="D33">
        <v>2026</v>
      </c>
      <c r="E33" t="s">
        <v>28</v>
      </c>
    </row>
    <row r="34" spans="1:5" x14ac:dyDescent="0.3">
      <c r="A34">
        <v>202609</v>
      </c>
      <c r="B34" s="5">
        <v>9</v>
      </c>
      <c r="C34" t="s">
        <v>32</v>
      </c>
      <c r="D34">
        <v>2026</v>
      </c>
      <c r="E34" t="s">
        <v>25</v>
      </c>
    </row>
    <row r="35" spans="1:5" x14ac:dyDescent="0.3">
      <c r="A35">
        <v>202610</v>
      </c>
      <c r="B35" s="5">
        <v>10</v>
      </c>
      <c r="C35" t="s">
        <v>33</v>
      </c>
      <c r="D35">
        <v>2026</v>
      </c>
      <c r="E35" t="s">
        <v>25</v>
      </c>
    </row>
    <row r="36" spans="1:5" x14ac:dyDescent="0.3">
      <c r="A36">
        <v>202611</v>
      </c>
      <c r="B36" s="5">
        <v>11</v>
      </c>
      <c r="C36" t="s">
        <v>34</v>
      </c>
      <c r="D36">
        <v>2026</v>
      </c>
      <c r="E36" t="s">
        <v>22</v>
      </c>
    </row>
    <row r="37" spans="1:5" x14ac:dyDescent="0.3">
      <c r="A37">
        <v>202612</v>
      </c>
      <c r="B37" s="5">
        <v>12</v>
      </c>
      <c r="C37" t="s">
        <v>35</v>
      </c>
      <c r="D37">
        <v>2026</v>
      </c>
      <c r="E37" t="s">
        <v>22</v>
      </c>
    </row>
    <row r="38" spans="1:5" x14ac:dyDescent="0.3">
      <c r="A38">
        <v>202701</v>
      </c>
      <c r="B38" s="5">
        <v>1</v>
      </c>
      <c r="C38" t="s">
        <v>21</v>
      </c>
      <c r="D38">
        <v>2027</v>
      </c>
      <c r="E38" t="s">
        <v>22</v>
      </c>
    </row>
    <row r="39" spans="1:5" x14ac:dyDescent="0.3">
      <c r="A39">
        <v>202702</v>
      </c>
      <c r="B39" s="5">
        <v>2</v>
      </c>
      <c r="C39" t="s">
        <v>23</v>
      </c>
      <c r="D39">
        <v>2027</v>
      </c>
      <c r="E39" t="s">
        <v>22</v>
      </c>
    </row>
    <row r="40" spans="1:5" x14ac:dyDescent="0.3">
      <c r="A40">
        <v>202703</v>
      </c>
      <c r="B40" s="5">
        <v>3</v>
      </c>
      <c r="C40" t="s">
        <v>24</v>
      </c>
      <c r="D40">
        <v>2027</v>
      </c>
      <c r="E40" t="s">
        <v>25</v>
      </c>
    </row>
    <row r="41" spans="1:5" x14ac:dyDescent="0.3">
      <c r="A41">
        <v>202704</v>
      </c>
      <c r="B41" s="5">
        <v>4</v>
      </c>
      <c r="C41" t="s">
        <v>26</v>
      </c>
      <c r="D41">
        <v>2027</v>
      </c>
      <c r="E41" t="s">
        <v>25</v>
      </c>
    </row>
    <row r="42" spans="1:5" x14ac:dyDescent="0.3">
      <c r="A42">
        <v>202705</v>
      </c>
      <c r="B42" s="5">
        <v>5</v>
      </c>
      <c r="C42" t="s">
        <v>27</v>
      </c>
      <c r="D42">
        <v>2027</v>
      </c>
      <c r="E42" t="s">
        <v>28</v>
      </c>
    </row>
    <row r="43" spans="1:5" x14ac:dyDescent="0.3">
      <c r="A43">
        <v>202706</v>
      </c>
      <c r="B43" s="5">
        <v>6</v>
      </c>
      <c r="C43" t="s">
        <v>29</v>
      </c>
      <c r="D43">
        <v>2027</v>
      </c>
      <c r="E43" t="s">
        <v>28</v>
      </c>
    </row>
    <row r="44" spans="1:5" x14ac:dyDescent="0.3">
      <c r="A44">
        <v>202707</v>
      </c>
      <c r="B44" s="5">
        <v>7</v>
      </c>
      <c r="C44" t="s">
        <v>30</v>
      </c>
      <c r="D44">
        <v>2027</v>
      </c>
      <c r="E44" t="s">
        <v>28</v>
      </c>
    </row>
    <row r="45" spans="1:5" x14ac:dyDescent="0.3">
      <c r="A45">
        <v>202708</v>
      </c>
      <c r="B45" s="5">
        <v>8</v>
      </c>
      <c r="C45" t="s">
        <v>31</v>
      </c>
      <c r="D45">
        <v>2027</v>
      </c>
      <c r="E45" t="s">
        <v>28</v>
      </c>
    </row>
    <row r="46" spans="1:5" x14ac:dyDescent="0.3">
      <c r="A46">
        <v>202709</v>
      </c>
      <c r="B46" s="5">
        <v>9</v>
      </c>
      <c r="C46" t="s">
        <v>32</v>
      </c>
      <c r="D46">
        <v>2027</v>
      </c>
      <c r="E46" t="s">
        <v>25</v>
      </c>
    </row>
    <row r="47" spans="1:5" x14ac:dyDescent="0.3">
      <c r="A47">
        <v>202710</v>
      </c>
      <c r="B47" s="5">
        <v>10</v>
      </c>
      <c r="C47" t="s">
        <v>33</v>
      </c>
      <c r="D47">
        <v>2027</v>
      </c>
      <c r="E47" t="s">
        <v>25</v>
      </c>
    </row>
    <row r="48" spans="1:5" x14ac:dyDescent="0.3">
      <c r="A48">
        <v>202711</v>
      </c>
      <c r="B48" s="5">
        <v>11</v>
      </c>
      <c r="C48" t="s">
        <v>34</v>
      </c>
      <c r="D48">
        <v>2027</v>
      </c>
      <c r="E48" t="s">
        <v>22</v>
      </c>
    </row>
    <row r="49" spans="1:5" x14ac:dyDescent="0.3">
      <c r="A49">
        <v>202712</v>
      </c>
      <c r="B49" s="5">
        <v>12</v>
      </c>
      <c r="C49" t="s">
        <v>35</v>
      </c>
      <c r="D49">
        <v>2027</v>
      </c>
      <c r="E49" t="s">
        <v>22</v>
      </c>
    </row>
  </sheetData>
  <autoFilter ref="B1:E49" xr:uid="{00000000-0009-0000-0000-000001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25" customWidth="1"/>
    <col min="3" max="3" width="12" customWidth="1"/>
    <col min="4" max="4" width="29" customWidth="1"/>
    <col min="5" max="5" width="12" customWidth="1"/>
    <col min="6" max="7" width="15" customWidth="1"/>
  </cols>
  <sheetData>
    <row r="1" spans="1:7" x14ac:dyDescent="0.3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</row>
    <row r="2" spans="1:7" x14ac:dyDescent="0.3">
      <c r="A2" t="s">
        <v>43</v>
      </c>
      <c r="B2" t="s">
        <v>44</v>
      </c>
      <c r="C2" t="s">
        <v>45</v>
      </c>
      <c r="D2" t="s">
        <v>46</v>
      </c>
      <c r="E2" t="s">
        <v>47</v>
      </c>
      <c r="F2">
        <v>22000</v>
      </c>
      <c r="G2" t="s">
        <v>48</v>
      </c>
    </row>
    <row r="3" spans="1:7" x14ac:dyDescent="0.3">
      <c r="A3" t="s">
        <v>49</v>
      </c>
      <c r="B3" t="s">
        <v>50</v>
      </c>
      <c r="C3" t="s">
        <v>51</v>
      </c>
      <c r="D3" t="s">
        <v>52</v>
      </c>
      <c r="E3" t="s">
        <v>53</v>
      </c>
      <c r="F3">
        <v>18000</v>
      </c>
      <c r="G3" t="s">
        <v>54</v>
      </c>
    </row>
    <row r="4" spans="1:7" x14ac:dyDescent="0.3">
      <c r="A4" t="s">
        <v>55</v>
      </c>
      <c r="B4" t="s">
        <v>56</v>
      </c>
      <c r="C4" t="s">
        <v>57</v>
      </c>
      <c r="D4" t="s">
        <v>58</v>
      </c>
      <c r="E4" t="s">
        <v>59</v>
      </c>
      <c r="F4">
        <v>14000</v>
      </c>
      <c r="G4" t="s">
        <v>54</v>
      </c>
    </row>
    <row r="5" spans="1:7" x14ac:dyDescent="0.3">
      <c r="A5" t="s">
        <v>60</v>
      </c>
      <c r="B5" t="s">
        <v>61</v>
      </c>
      <c r="C5" t="s">
        <v>62</v>
      </c>
      <c r="D5" t="s">
        <v>63</v>
      </c>
      <c r="E5" t="s">
        <v>64</v>
      </c>
      <c r="F5">
        <v>10000</v>
      </c>
      <c r="G5" t="s">
        <v>54</v>
      </c>
    </row>
  </sheetData>
  <autoFilter ref="A1:G5" xr:uid="{00000000-0009-0000-0000-000002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5" customWidth="1"/>
    <col min="3" max="3" width="13" customWidth="1"/>
    <col min="4" max="4" width="22" customWidth="1"/>
    <col min="5" max="5" width="38" customWidth="1"/>
  </cols>
  <sheetData>
    <row r="1" spans="1:5" x14ac:dyDescent="0.3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</row>
    <row r="2" spans="1:5" x14ac:dyDescent="0.3">
      <c r="A2" t="s">
        <v>70</v>
      </c>
      <c r="B2" t="s">
        <v>71</v>
      </c>
      <c r="C2" t="s">
        <v>72</v>
      </c>
      <c r="D2" t="s">
        <v>73</v>
      </c>
      <c r="E2" t="s">
        <v>74</v>
      </c>
    </row>
    <row r="3" spans="1:5" x14ac:dyDescent="0.3">
      <c r="A3" t="s">
        <v>75</v>
      </c>
      <c r="B3" t="s">
        <v>76</v>
      </c>
      <c r="C3" t="s">
        <v>72</v>
      </c>
      <c r="D3" t="s">
        <v>77</v>
      </c>
      <c r="E3" t="s">
        <v>78</v>
      </c>
    </row>
    <row r="4" spans="1:5" x14ac:dyDescent="0.3">
      <c r="A4" t="s">
        <v>79</v>
      </c>
      <c r="B4" t="s">
        <v>80</v>
      </c>
      <c r="C4" t="s">
        <v>81</v>
      </c>
      <c r="D4" t="s">
        <v>77</v>
      </c>
      <c r="E4" t="s">
        <v>82</v>
      </c>
    </row>
    <row r="5" spans="1:5" x14ac:dyDescent="0.3">
      <c r="A5" t="s">
        <v>83</v>
      </c>
      <c r="B5" t="s">
        <v>84</v>
      </c>
      <c r="C5" t="s">
        <v>85</v>
      </c>
      <c r="D5" t="s">
        <v>73</v>
      </c>
      <c r="E5" t="s">
        <v>86</v>
      </c>
    </row>
  </sheetData>
  <autoFilter ref="A1:E5" xr:uid="{00000000-0009-0000-0000-000003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5" customWidth="1"/>
    <col min="3" max="3" width="12" customWidth="1"/>
    <col min="4" max="4" width="20" customWidth="1"/>
    <col min="5" max="6" width="14" customWidth="1"/>
    <col min="7" max="7" width="15" customWidth="1"/>
    <col min="8" max="8" width="13" customWidth="1"/>
    <col min="9" max="9" width="21" customWidth="1"/>
    <col min="10" max="10" width="12" customWidth="1"/>
    <col min="11" max="11" width="15" customWidth="1"/>
    <col min="12" max="12" width="18" customWidth="1"/>
  </cols>
  <sheetData>
    <row r="1" spans="1:12" x14ac:dyDescent="0.3">
      <c r="A1" s="1" t="s">
        <v>87</v>
      </c>
      <c r="B1" s="1" t="s">
        <v>88</v>
      </c>
      <c r="C1" s="1" t="s">
        <v>89</v>
      </c>
      <c r="D1" s="1" t="s">
        <v>40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</row>
    <row r="2" spans="1:12" x14ac:dyDescent="0.3">
      <c r="A2" t="s">
        <v>98</v>
      </c>
      <c r="B2" t="s">
        <v>99</v>
      </c>
      <c r="C2" t="s">
        <v>100</v>
      </c>
      <c r="D2" t="s">
        <v>52</v>
      </c>
      <c r="E2" t="s">
        <v>101</v>
      </c>
      <c r="F2" t="s">
        <v>102</v>
      </c>
      <c r="G2" s="2">
        <v>45292</v>
      </c>
      <c r="H2" s="2">
        <v>46387</v>
      </c>
      <c r="I2">
        <v>11</v>
      </c>
      <c r="J2">
        <v>0.82399999999999995</v>
      </c>
      <c r="K2">
        <v>0.97</v>
      </c>
      <c r="L2" t="s">
        <v>103</v>
      </c>
    </row>
    <row r="3" spans="1:12" x14ac:dyDescent="0.3">
      <c r="A3" t="s">
        <v>104</v>
      </c>
      <c r="B3" t="s">
        <v>105</v>
      </c>
      <c r="C3" t="s">
        <v>100</v>
      </c>
      <c r="D3" t="s">
        <v>106</v>
      </c>
      <c r="E3" t="s">
        <v>107</v>
      </c>
      <c r="F3" t="s">
        <v>102</v>
      </c>
      <c r="G3" s="2">
        <v>45292</v>
      </c>
      <c r="H3" s="2">
        <v>46387</v>
      </c>
      <c r="I3">
        <v>8</v>
      </c>
      <c r="J3">
        <v>0.96</v>
      </c>
      <c r="K3">
        <v>0.98599999999999999</v>
      </c>
      <c r="L3" t="s">
        <v>103</v>
      </c>
    </row>
    <row r="4" spans="1:12" x14ac:dyDescent="0.3">
      <c r="A4" t="s">
        <v>108</v>
      </c>
      <c r="B4" t="s">
        <v>109</v>
      </c>
      <c r="C4" t="s">
        <v>100</v>
      </c>
      <c r="D4" t="s">
        <v>57</v>
      </c>
      <c r="E4" t="s">
        <v>110</v>
      </c>
      <c r="F4" t="s">
        <v>111</v>
      </c>
      <c r="G4" s="2">
        <v>45292</v>
      </c>
      <c r="H4" s="2">
        <v>46387</v>
      </c>
      <c r="I4">
        <v>9</v>
      </c>
      <c r="J4">
        <v>0.88200000000000001</v>
      </c>
      <c r="K4">
        <v>0.98099999999999998</v>
      </c>
      <c r="L4" t="s">
        <v>112</v>
      </c>
    </row>
    <row r="5" spans="1:12" x14ac:dyDescent="0.3">
      <c r="A5" t="s">
        <v>113</v>
      </c>
      <c r="B5" t="s">
        <v>114</v>
      </c>
      <c r="C5" t="s">
        <v>100</v>
      </c>
      <c r="D5" t="s">
        <v>63</v>
      </c>
      <c r="E5" t="s">
        <v>101</v>
      </c>
      <c r="F5" t="s">
        <v>102</v>
      </c>
      <c r="G5" s="2">
        <v>45292</v>
      </c>
      <c r="H5" s="2">
        <v>46387</v>
      </c>
      <c r="I5">
        <v>17</v>
      </c>
      <c r="J5">
        <v>0.89500000000000002</v>
      </c>
      <c r="K5">
        <v>0.96399999999999997</v>
      </c>
      <c r="L5" t="s">
        <v>103</v>
      </c>
    </row>
    <row r="6" spans="1:12" x14ac:dyDescent="0.3">
      <c r="A6" t="s">
        <v>115</v>
      </c>
      <c r="B6" t="s">
        <v>116</v>
      </c>
      <c r="C6" t="s">
        <v>100</v>
      </c>
      <c r="D6" t="s">
        <v>106</v>
      </c>
      <c r="E6" t="s">
        <v>101</v>
      </c>
      <c r="F6" t="s">
        <v>117</v>
      </c>
      <c r="G6" s="2">
        <v>45292</v>
      </c>
      <c r="H6" s="2">
        <v>46387</v>
      </c>
      <c r="I6">
        <v>15</v>
      </c>
      <c r="J6">
        <v>0.86</v>
      </c>
      <c r="K6">
        <v>0.97199999999999998</v>
      </c>
      <c r="L6" t="s">
        <v>118</v>
      </c>
    </row>
    <row r="7" spans="1:12" x14ac:dyDescent="0.3">
      <c r="A7" t="s">
        <v>119</v>
      </c>
      <c r="B7" t="s">
        <v>120</v>
      </c>
      <c r="C7" t="s">
        <v>100</v>
      </c>
      <c r="D7" t="s">
        <v>57</v>
      </c>
      <c r="E7" t="s">
        <v>110</v>
      </c>
      <c r="F7" t="s">
        <v>117</v>
      </c>
      <c r="G7" s="2">
        <v>45292</v>
      </c>
      <c r="H7" s="2">
        <v>46387</v>
      </c>
      <c r="I7">
        <v>12</v>
      </c>
      <c r="J7">
        <v>0.88200000000000001</v>
      </c>
      <c r="K7">
        <v>0.98699999999999999</v>
      </c>
      <c r="L7" t="s">
        <v>118</v>
      </c>
    </row>
    <row r="8" spans="1:12" x14ac:dyDescent="0.3">
      <c r="A8" t="s">
        <v>121</v>
      </c>
      <c r="B8" t="s">
        <v>122</v>
      </c>
      <c r="C8" t="s">
        <v>100</v>
      </c>
      <c r="D8" t="s">
        <v>57</v>
      </c>
      <c r="E8" t="s">
        <v>123</v>
      </c>
      <c r="F8" t="s">
        <v>111</v>
      </c>
      <c r="G8" s="2">
        <v>45292</v>
      </c>
      <c r="H8" s="2">
        <v>46387</v>
      </c>
      <c r="I8">
        <v>15</v>
      </c>
      <c r="J8">
        <v>0.77800000000000002</v>
      </c>
      <c r="K8">
        <v>0.94</v>
      </c>
      <c r="L8" t="s">
        <v>124</v>
      </c>
    </row>
    <row r="9" spans="1:12" x14ac:dyDescent="0.3">
      <c r="A9" t="s">
        <v>125</v>
      </c>
      <c r="B9" t="s">
        <v>126</v>
      </c>
      <c r="C9" t="s">
        <v>100</v>
      </c>
      <c r="D9" t="s">
        <v>63</v>
      </c>
      <c r="E9" t="s">
        <v>123</v>
      </c>
      <c r="F9" t="s">
        <v>117</v>
      </c>
      <c r="G9" s="2">
        <v>45292</v>
      </c>
      <c r="H9" s="2">
        <v>46387</v>
      </c>
      <c r="I9">
        <v>23</v>
      </c>
      <c r="J9">
        <v>0.75700000000000001</v>
      </c>
      <c r="K9">
        <v>0.96699999999999997</v>
      </c>
      <c r="L9" t="s">
        <v>127</v>
      </c>
    </row>
    <row r="10" spans="1:12" x14ac:dyDescent="0.3">
      <c r="A10" t="s">
        <v>128</v>
      </c>
      <c r="B10" t="s">
        <v>129</v>
      </c>
      <c r="C10" t="s">
        <v>100</v>
      </c>
      <c r="D10" t="s">
        <v>52</v>
      </c>
      <c r="E10" t="s">
        <v>110</v>
      </c>
      <c r="F10" t="s">
        <v>130</v>
      </c>
      <c r="G10" s="2">
        <v>45292</v>
      </c>
      <c r="H10" s="2">
        <v>46387</v>
      </c>
      <c r="I10">
        <v>13</v>
      </c>
      <c r="J10">
        <v>0.88900000000000001</v>
      </c>
      <c r="K10">
        <v>0.97799999999999998</v>
      </c>
      <c r="L10" t="s">
        <v>127</v>
      </c>
    </row>
    <row r="11" spans="1:12" x14ac:dyDescent="0.3">
      <c r="A11" t="s">
        <v>131</v>
      </c>
      <c r="B11" t="s">
        <v>132</v>
      </c>
      <c r="C11" t="s">
        <v>100</v>
      </c>
      <c r="D11" t="s">
        <v>52</v>
      </c>
      <c r="E11" t="s">
        <v>101</v>
      </c>
      <c r="F11" t="s">
        <v>130</v>
      </c>
      <c r="G11" s="2">
        <v>45292</v>
      </c>
      <c r="H11" s="2">
        <v>46387</v>
      </c>
      <c r="I11">
        <v>11</v>
      </c>
      <c r="J11">
        <v>0.82699999999999996</v>
      </c>
      <c r="K11">
        <v>0.96</v>
      </c>
      <c r="L11" t="s">
        <v>124</v>
      </c>
    </row>
    <row r="12" spans="1:12" x14ac:dyDescent="0.3">
      <c r="A12" t="s">
        <v>133</v>
      </c>
      <c r="B12" t="s">
        <v>134</v>
      </c>
      <c r="C12" t="s">
        <v>100</v>
      </c>
      <c r="D12" t="s">
        <v>57</v>
      </c>
      <c r="E12" t="s">
        <v>101</v>
      </c>
      <c r="F12" t="s">
        <v>130</v>
      </c>
      <c r="G12" s="2">
        <v>45292</v>
      </c>
      <c r="H12" s="2">
        <v>46387</v>
      </c>
      <c r="I12">
        <v>15</v>
      </c>
      <c r="J12">
        <v>0.84499999999999997</v>
      </c>
      <c r="K12">
        <v>0.96299999999999997</v>
      </c>
      <c r="L12" t="s">
        <v>112</v>
      </c>
    </row>
    <row r="13" spans="1:12" x14ac:dyDescent="0.3">
      <c r="A13" t="s">
        <v>135</v>
      </c>
      <c r="B13" t="s">
        <v>136</v>
      </c>
      <c r="C13" t="s">
        <v>100</v>
      </c>
      <c r="D13" t="s">
        <v>57</v>
      </c>
      <c r="E13" t="s">
        <v>123</v>
      </c>
      <c r="F13" t="s">
        <v>117</v>
      </c>
      <c r="G13" s="2">
        <v>45292</v>
      </c>
      <c r="H13" s="2">
        <v>46387</v>
      </c>
      <c r="I13">
        <v>20</v>
      </c>
      <c r="J13">
        <v>0.78700000000000003</v>
      </c>
      <c r="K13">
        <v>0.96099999999999997</v>
      </c>
      <c r="L13" t="s">
        <v>137</v>
      </c>
    </row>
    <row r="14" spans="1:12" x14ac:dyDescent="0.3">
      <c r="A14" t="s">
        <v>138</v>
      </c>
      <c r="B14" t="s">
        <v>139</v>
      </c>
      <c r="C14" t="s">
        <v>100</v>
      </c>
      <c r="D14" t="s">
        <v>63</v>
      </c>
      <c r="E14" t="s">
        <v>110</v>
      </c>
      <c r="F14" t="s">
        <v>102</v>
      </c>
      <c r="G14" s="2">
        <v>45292</v>
      </c>
      <c r="H14" s="2">
        <v>46387</v>
      </c>
      <c r="I14">
        <v>14</v>
      </c>
      <c r="J14">
        <v>0.91100000000000003</v>
      </c>
      <c r="K14">
        <v>0.97599999999999998</v>
      </c>
      <c r="L14" t="s">
        <v>127</v>
      </c>
    </row>
    <row r="15" spans="1:12" x14ac:dyDescent="0.3">
      <c r="A15" t="s">
        <v>140</v>
      </c>
      <c r="B15" t="s">
        <v>141</v>
      </c>
      <c r="C15" t="s">
        <v>100</v>
      </c>
      <c r="D15" t="s">
        <v>52</v>
      </c>
      <c r="E15" t="s">
        <v>110</v>
      </c>
      <c r="F15" t="s">
        <v>117</v>
      </c>
      <c r="G15" s="2">
        <v>45292</v>
      </c>
      <c r="H15" s="2">
        <v>46387</v>
      </c>
      <c r="I15">
        <v>10</v>
      </c>
      <c r="J15">
        <v>0.89</v>
      </c>
      <c r="K15">
        <v>0.98599999999999999</v>
      </c>
      <c r="L15" t="s">
        <v>118</v>
      </c>
    </row>
    <row r="16" spans="1:12" x14ac:dyDescent="0.3">
      <c r="A16" t="s">
        <v>142</v>
      </c>
      <c r="B16" t="s">
        <v>143</v>
      </c>
      <c r="C16" t="s">
        <v>100</v>
      </c>
      <c r="D16" t="s">
        <v>52</v>
      </c>
      <c r="E16" t="s">
        <v>110</v>
      </c>
      <c r="F16" t="s">
        <v>102</v>
      </c>
      <c r="G16" s="2">
        <v>45292</v>
      </c>
      <c r="H16" s="2">
        <v>46387</v>
      </c>
      <c r="I16">
        <v>9</v>
      </c>
      <c r="J16">
        <v>0.88300000000000001</v>
      </c>
      <c r="K16">
        <v>0.98</v>
      </c>
      <c r="L16" t="s">
        <v>103</v>
      </c>
    </row>
    <row r="17" spans="1:12" x14ac:dyDescent="0.3">
      <c r="A17" t="s">
        <v>144</v>
      </c>
      <c r="B17" t="s">
        <v>145</v>
      </c>
      <c r="C17" t="s">
        <v>100</v>
      </c>
      <c r="D17" t="s">
        <v>46</v>
      </c>
      <c r="E17" t="s">
        <v>110</v>
      </c>
      <c r="F17" t="s">
        <v>130</v>
      </c>
      <c r="G17" s="2">
        <v>45292</v>
      </c>
      <c r="H17" s="2">
        <v>46387</v>
      </c>
      <c r="I17">
        <v>13</v>
      </c>
      <c r="J17">
        <v>0.90400000000000003</v>
      </c>
      <c r="K17">
        <v>0.98199999999999998</v>
      </c>
      <c r="L17" t="s">
        <v>124</v>
      </c>
    </row>
    <row r="18" spans="1:12" x14ac:dyDescent="0.3">
      <c r="A18" t="s">
        <v>146</v>
      </c>
      <c r="B18" t="s">
        <v>147</v>
      </c>
      <c r="C18" t="s">
        <v>100</v>
      </c>
      <c r="D18" t="s">
        <v>57</v>
      </c>
      <c r="E18" t="s">
        <v>123</v>
      </c>
      <c r="F18" t="s">
        <v>102</v>
      </c>
      <c r="G18" s="2">
        <v>45292</v>
      </c>
      <c r="H18" s="2">
        <v>46387</v>
      </c>
      <c r="I18">
        <v>15</v>
      </c>
      <c r="J18">
        <v>0.77600000000000002</v>
      </c>
      <c r="K18">
        <v>0.95899999999999996</v>
      </c>
      <c r="L18" t="s">
        <v>124</v>
      </c>
    </row>
    <row r="19" spans="1:12" x14ac:dyDescent="0.3">
      <c r="A19" t="s">
        <v>148</v>
      </c>
      <c r="B19" t="s">
        <v>149</v>
      </c>
      <c r="C19" t="s">
        <v>100</v>
      </c>
      <c r="D19" t="s">
        <v>106</v>
      </c>
      <c r="E19" t="s">
        <v>123</v>
      </c>
      <c r="F19" t="s">
        <v>130</v>
      </c>
      <c r="G19" s="2">
        <v>45292</v>
      </c>
      <c r="H19" s="2">
        <v>46387</v>
      </c>
      <c r="I19">
        <v>24</v>
      </c>
      <c r="J19">
        <v>0.82399999999999995</v>
      </c>
      <c r="K19">
        <v>0.94199999999999995</v>
      </c>
      <c r="L19" t="s">
        <v>112</v>
      </c>
    </row>
    <row r="20" spans="1:12" x14ac:dyDescent="0.3">
      <c r="A20" t="s">
        <v>150</v>
      </c>
      <c r="B20" t="s">
        <v>151</v>
      </c>
      <c r="C20" t="s">
        <v>100</v>
      </c>
      <c r="D20" t="s">
        <v>57</v>
      </c>
      <c r="E20" t="s">
        <v>110</v>
      </c>
      <c r="F20" t="s">
        <v>130</v>
      </c>
      <c r="G20" s="2">
        <v>45292</v>
      </c>
      <c r="H20" s="2">
        <v>46387</v>
      </c>
      <c r="I20">
        <v>11</v>
      </c>
      <c r="J20">
        <v>0.91500000000000004</v>
      </c>
      <c r="K20">
        <v>0.98299999999999998</v>
      </c>
      <c r="L20" t="s">
        <v>137</v>
      </c>
    </row>
    <row r="21" spans="1:12" x14ac:dyDescent="0.3">
      <c r="A21" t="s">
        <v>152</v>
      </c>
      <c r="B21" t="s">
        <v>153</v>
      </c>
      <c r="C21" t="s">
        <v>100</v>
      </c>
      <c r="D21" t="s">
        <v>106</v>
      </c>
      <c r="E21" t="s">
        <v>101</v>
      </c>
      <c r="F21" t="s">
        <v>117</v>
      </c>
      <c r="G21" s="2">
        <v>45292</v>
      </c>
      <c r="H21" s="2">
        <v>46387</v>
      </c>
      <c r="I21">
        <v>17</v>
      </c>
      <c r="J21">
        <v>0.83199999999999996</v>
      </c>
      <c r="K21">
        <v>0.96699999999999997</v>
      </c>
      <c r="L21" t="s">
        <v>118</v>
      </c>
    </row>
    <row r="22" spans="1:12" x14ac:dyDescent="0.3">
      <c r="A22" t="s">
        <v>154</v>
      </c>
      <c r="B22" t="s">
        <v>155</v>
      </c>
      <c r="C22" t="s">
        <v>100</v>
      </c>
      <c r="D22" t="s">
        <v>46</v>
      </c>
      <c r="E22" t="s">
        <v>101</v>
      </c>
      <c r="F22" t="s">
        <v>130</v>
      </c>
      <c r="G22" s="2">
        <v>45292</v>
      </c>
      <c r="H22" s="2">
        <v>46387</v>
      </c>
      <c r="I22">
        <v>11</v>
      </c>
      <c r="J22">
        <v>0.86099999999999999</v>
      </c>
      <c r="K22">
        <v>0.98</v>
      </c>
      <c r="L22" t="s">
        <v>124</v>
      </c>
    </row>
    <row r="23" spans="1:12" x14ac:dyDescent="0.3">
      <c r="A23" t="s">
        <v>156</v>
      </c>
      <c r="B23" t="s">
        <v>157</v>
      </c>
      <c r="C23" t="s">
        <v>100</v>
      </c>
      <c r="D23" t="s">
        <v>57</v>
      </c>
      <c r="E23" t="s">
        <v>107</v>
      </c>
      <c r="F23" t="s">
        <v>102</v>
      </c>
      <c r="G23" s="2">
        <v>45292</v>
      </c>
      <c r="H23" s="2">
        <v>46387</v>
      </c>
      <c r="I23">
        <v>8</v>
      </c>
      <c r="J23">
        <v>0.94099999999999995</v>
      </c>
      <c r="K23">
        <v>0.99399999999999999</v>
      </c>
      <c r="L23" t="s">
        <v>112</v>
      </c>
    </row>
    <row r="24" spans="1:12" x14ac:dyDescent="0.3">
      <c r="A24" t="s">
        <v>158</v>
      </c>
      <c r="B24" t="s">
        <v>159</v>
      </c>
      <c r="C24" t="s">
        <v>100</v>
      </c>
      <c r="D24" t="s">
        <v>106</v>
      </c>
      <c r="E24" t="s">
        <v>101</v>
      </c>
      <c r="F24" t="s">
        <v>130</v>
      </c>
      <c r="G24" s="2">
        <v>45292</v>
      </c>
      <c r="H24" s="2">
        <v>46387</v>
      </c>
      <c r="I24">
        <v>18</v>
      </c>
      <c r="J24">
        <v>0.88100000000000001</v>
      </c>
      <c r="K24">
        <v>0.97699999999999998</v>
      </c>
      <c r="L24" t="s">
        <v>124</v>
      </c>
    </row>
    <row r="25" spans="1:12" x14ac:dyDescent="0.3">
      <c r="A25" t="s">
        <v>160</v>
      </c>
      <c r="B25" t="s">
        <v>161</v>
      </c>
      <c r="C25" t="s">
        <v>100</v>
      </c>
      <c r="D25" t="s">
        <v>106</v>
      </c>
      <c r="E25" t="s">
        <v>101</v>
      </c>
      <c r="F25" t="s">
        <v>130</v>
      </c>
      <c r="G25" s="2">
        <v>45292</v>
      </c>
      <c r="H25" s="2">
        <v>46387</v>
      </c>
      <c r="I25">
        <v>16</v>
      </c>
      <c r="J25">
        <v>0.86</v>
      </c>
      <c r="K25">
        <v>0.97099999999999997</v>
      </c>
      <c r="L25" t="s">
        <v>127</v>
      </c>
    </row>
    <row r="26" spans="1:12" x14ac:dyDescent="0.3">
      <c r="A26" t="s">
        <v>162</v>
      </c>
      <c r="B26" t="s">
        <v>163</v>
      </c>
      <c r="C26" t="s">
        <v>100</v>
      </c>
      <c r="D26" t="s">
        <v>52</v>
      </c>
      <c r="E26" t="s">
        <v>107</v>
      </c>
      <c r="F26" t="s">
        <v>130</v>
      </c>
      <c r="G26" s="2">
        <v>45292</v>
      </c>
      <c r="H26" s="2">
        <v>46387</v>
      </c>
      <c r="I26">
        <v>7</v>
      </c>
      <c r="J26">
        <v>0.96399999999999997</v>
      </c>
      <c r="K26">
        <v>0.99299999999999999</v>
      </c>
      <c r="L26" t="s">
        <v>118</v>
      </c>
    </row>
    <row r="27" spans="1:12" x14ac:dyDescent="0.3">
      <c r="A27" t="s">
        <v>164</v>
      </c>
      <c r="B27" t="s">
        <v>165</v>
      </c>
      <c r="C27" t="s">
        <v>100</v>
      </c>
      <c r="D27" t="s">
        <v>57</v>
      </c>
      <c r="E27" t="s">
        <v>110</v>
      </c>
      <c r="F27" t="s">
        <v>102</v>
      </c>
      <c r="G27" s="2">
        <v>45292</v>
      </c>
      <c r="H27" s="2">
        <v>46387</v>
      </c>
      <c r="I27">
        <v>13</v>
      </c>
      <c r="J27">
        <v>0.91200000000000003</v>
      </c>
      <c r="K27">
        <v>0.98599999999999999</v>
      </c>
      <c r="L27" t="s">
        <v>124</v>
      </c>
    </row>
    <row r="28" spans="1:12" x14ac:dyDescent="0.3">
      <c r="A28" t="s">
        <v>166</v>
      </c>
      <c r="B28" t="s">
        <v>167</v>
      </c>
      <c r="C28" t="s">
        <v>100</v>
      </c>
      <c r="D28" t="s">
        <v>52</v>
      </c>
      <c r="E28" t="s">
        <v>107</v>
      </c>
      <c r="F28" t="s">
        <v>111</v>
      </c>
      <c r="G28" s="2">
        <v>45292</v>
      </c>
      <c r="H28" s="2">
        <v>46387</v>
      </c>
      <c r="I28">
        <v>9</v>
      </c>
      <c r="J28">
        <v>0.94599999999999995</v>
      </c>
      <c r="K28">
        <v>0.99099999999999999</v>
      </c>
      <c r="L28" t="s">
        <v>118</v>
      </c>
    </row>
    <row r="29" spans="1:12" x14ac:dyDescent="0.3">
      <c r="A29" t="s">
        <v>168</v>
      </c>
      <c r="B29" t="s">
        <v>169</v>
      </c>
      <c r="C29" t="s">
        <v>100</v>
      </c>
      <c r="D29" t="s">
        <v>52</v>
      </c>
      <c r="E29" t="s">
        <v>107</v>
      </c>
      <c r="F29" t="s">
        <v>117</v>
      </c>
      <c r="G29" s="2">
        <v>45292</v>
      </c>
      <c r="H29" s="2">
        <v>46387</v>
      </c>
      <c r="I29">
        <v>10</v>
      </c>
      <c r="J29">
        <v>0.96599999999999997</v>
      </c>
      <c r="K29">
        <v>0.98899999999999999</v>
      </c>
      <c r="L29" t="s">
        <v>103</v>
      </c>
    </row>
    <row r="30" spans="1:12" x14ac:dyDescent="0.3">
      <c r="A30" t="s">
        <v>170</v>
      </c>
      <c r="B30" t="s">
        <v>171</v>
      </c>
      <c r="C30" t="s">
        <v>100</v>
      </c>
      <c r="D30" t="s">
        <v>52</v>
      </c>
      <c r="E30" t="s">
        <v>101</v>
      </c>
      <c r="F30" t="s">
        <v>111</v>
      </c>
      <c r="G30" s="2">
        <v>45292</v>
      </c>
      <c r="H30" s="2">
        <v>46387</v>
      </c>
      <c r="I30">
        <v>13</v>
      </c>
      <c r="J30">
        <v>0.84499999999999997</v>
      </c>
      <c r="K30">
        <v>0.96299999999999997</v>
      </c>
      <c r="L30" t="s">
        <v>103</v>
      </c>
    </row>
    <row r="31" spans="1:12" x14ac:dyDescent="0.3">
      <c r="A31" t="s">
        <v>172</v>
      </c>
      <c r="B31" t="s">
        <v>173</v>
      </c>
      <c r="C31" t="s">
        <v>100</v>
      </c>
      <c r="D31" t="s">
        <v>106</v>
      </c>
      <c r="E31" t="s">
        <v>101</v>
      </c>
      <c r="F31" t="s">
        <v>130</v>
      </c>
      <c r="G31" s="2">
        <v>45292</v>
      </c>
      <c r="H31" s="2">
        <v>46387</v>
      </c>
      <c r="I31">
        <v>12</v>
      </c>
      <c r="J31">
        <v>0.88400000000000001</v>
      </c>
      <c r="K31">
        <v>0.96899999999999997</v>
      </c>
      <c r="L31" t="s">
        <v>103</v>
      </c>
    </row>
    <row r="32" spans="1:12" x14ac:dyDescent="0.3">
      <c r="A32" t="s">
        <v>174</v>
      </c>
      <c r="B32" t="s">
        <v>175</v>
      </c>
      <c r="C32" t="s">
        <v>100</v>
      </c>
      <c r="D32" t="s">
        <v>52</v>
      </c>
      <c r="E32" t="s">
        <v>110</v>
      </c>
      <c r="F32" t="s">
        <v>111</v>
      </c>
      <c r="G32" s="2">
        <v>45292</v>
      </c>
      <c r="H32" s="2">
        <v>46387</v>
      </c>
      <c r="I32">
        <v>10</v>
      </c>
      <c r="J32">
        <v>0.90200000000000002</v>
      </c>
      <c r="K32">
        <v>0.98099999999999998</v>
      </c>
      <c r="L32" t="s">
        <v>124</v>
      </c>
    </row>
    <row r="33" spans="1:12" x14ac:dyDescent="0.3">
      <c r="A33" t="s">
        <v>176</v>
      </c>
      <c r="B33" t="s">
        <v>177</v>
      </c>
      <c r="C33" t="s">
        <v>100</v>
      </c>
      <c r="D33" t="s">
        <v>63</v>
      </c>
      <c r="E33" t="s">
        <v>107</v>
      </c>
      <c r="F33" t="s">
        <v>102</v>
      </c>
      <c r="G33" s="2">
        <v>45292</v>
      </c>
      <c r="H33" s="2">
        <v>46387</v>
      </c>
      <c r="I33">
        <v>7</v>
      </c>
      <c r="J33">
        <v>0.97699999999999998</v>
      </c>
      <c r="K33">
        <v>0.99099999999999999</v>
      </c>
      <c r="L33" t="s">
        <v>124</v>
      </c>
    </row>
    <row r="34" spans="1:12" x14ac:dyDescent="0.3">
      <c r="A34" t="s">
        <v>178</v>
      </c>
      <c r="B34" t="s">
        <v>179</v>
      </c>
      <c r="C34" t="s">
        <v>180</v>
      </c>
      <c r="D34" t="s">
        <v>181</v>
      </c>
      <c r="E34" t="s">
        <v>110</v>
      </c>
      <c r="F34" t="s">
        <v>102</v>
      </c>
      <c r="G34" s="2">
        <v>45292</v>
      </c>
      <c r="H34" s="2">
        <v>46387</v>
      </c>
      <c r="I34">
        <v>12</v>
      </c>
      <c r="J34">
        <v>0.93100000000000005</v>
      </c>
      <c r="K34">
        <v>0.98099999999999998</v>
      </c>
      <c r="L34" t="s">
        <v>124</v>
      </c>
    </row>
    <row r="35" spans="1:12" x14ac:dyDescent="0.3">
      <c r="A35" t="s">
        <v>182</v>
      </c>
      <c r="B35" t="s">
        <v>183</v>
      </c>
      <c r="C35" t="s">
        <v>180</v>
      </c>
      <c r="D35" t="s">
        <v>181</v>
      </c>
      <c r="E35" t="s">
        <v>107</v>
      </c>
      <c r="F35" t="s">
        <v>102</v>
      </c>
      <c r="G35" s="2">
        <v>45292</v>
      </c>
      <c r="H35" s="2">
        <v>46387</v>
      </c>
      <c r="I35">
        <v>10</v>
      </c>
      <c r="J35">
        <v>0.95199999999999996</v>
      </c>
      <c r="K35">
        <v>0.98899999999999999</v>
      </c>
      <c r="L35" t="s">
        <v>118</v>
      </c>
    </row>
    <row r="36" spans="1:12" x14ac:dyDescent="0.3">
      <c r="A36" t="s">
        <v>184</v>
      </c>
      <c r="B36" t="s">
        <v>185</v>
      </c>
      <c r="C36" t="s">
        <v>180</v>
      </c>
      <c r="D36" t="s">
        <v>181</v>
      </c>
      <c r="E36" t="s">
        <v>101</v>
      </c>
      <c r="F36" t="s">
        <v>102</v>
      </c>
      <c r="G36" s="2">
        <v>45292</v>
      </c>
      <c r="H36" s="2">
        <v>46387</v>
      </c>
      <c r="I36">
        <v>17</v>
      </c>
      <c r="J36">
        <v>0.85899999999999999</v>
      </c>
      <c r="K36">
        <v>0.97699999999999998</v>
      </c>
      <c r="L36" t="s">
        <v>127</v>
      </c>
    </row>
    <row r="37" spans="1:12" x14ac:dyDescent="0.3">
      <c r="A37" t="s">
        <v>186</v>
      </c>
      <c r="B37" t="s">
        <v>187</v>
      </c>
      <c r="C37" t="s">
        <v>188</v>
      </c>
      <c r="D37" t="s">
        <v>181</v>
      </c>
      <c r="E37" t="s">
        <v>101</v>
      </c>
      <c r="F37" t="s">
        <v>102</v>
      </c>
      <c r="G37" s="2">
        <v>45292</v>
      </c>
      <c r="H37" s="2">
        <v>46387</v>
      </c>
      <c r="I37">
        <v>16</v>
      </c>
      <c r="J37">
        <v>0.88400000000000001</v>
      </c>
      <c r="K37">
        <v>0.96899999999999997</v>
      </c>
      <c r="L37" t="s">
        <v>127</v>
      </c>
    </row>
    <row r="38" spans="1:12" x14ac:dyDescent="0.3">
      <c r="A38" t="s">
        <v>189</v>
      </c>
      <c r="B38" t="s">
        <v>190</v>
      </c>
      <c r="C38" t="s">
        <v>188</v>
      </c>
      <c r="D38" t="s">
        <v>181</v>
      </c>
      <c r="E38" t="s">
        <v>101</v>
      </c>
      <c r="F38" t="s">
        <v>102</v>
      </c>
      <c r="G38" s="2">
        <v>45292</v>
      </c>
      <c r="H38" s="2">
        <v>46387</v>
      </c>
      <c r="I38">
        <v>13</v>
      </c>
      <c r="J38">
        <v>0.878</v>
      </c>
      <c r="K38">
        <v>0.97099999999999997</v>
      </c>
      <c r="L38" t="s">
        <v>137</v>
      </c>
    </row>
    <row r="39" spans="1:12" x14ac:dyDescent="0.3">
      <c r="A39" t="s">
        <v>191</v>
      </c>
      <c r="B39" t="s">
        <v>192</v>
      </c>
      <c r="C39" t="s">
        <v>193</v>
      </c>
      <c r="D39" t="s">
        <v>181</v>
      </c>
      <c r="E39" t="s">
        <v>107</v>
      </c>
      <c r="F39" t="s">
        <v>111</v>
      </c>
      <c r="G39" s="2">
        <v>45292</v>
      </c>
      <c r="H39" s="2">
        <v>46387</v>
      </c>
      <c r="I39">
        <v>8</v>
      </c>
      <c r="J39">
        <v>0.96799999999999997</v>
      </c>
      <c r="K39">
        <v>0.98599999999999999</v>
      </c>
      <c r="L39" t="s">
        <v>124</v>
      </c>
    </row>
    <row r="40" spans="1:12" x14ac:dyDescent="0.3">
      <c r="A40" t="s">
        <v>194</v>
      </c>
      <c r="B40" t="s">
        <v>195</v>
      </c>
      <c r="C40" t="s">
        <v>193</v>
      </c>
      <c r="D40" t="s">
        <v>181</v>
      </c>
      <c r="E40" t="s">
        <v>110</v>
      </c>
      <c r="F40" t="s">
        <v>117</v>
      </c>
      <c r="G40" s="2">
        <v>45292</v>
      </c>
      <c r="H40" s="2">
        <v>46387</v>
      </c>
      <c r="I40">
        <v>14</v>
      </c>
      <c r="J40">
        <v>0.92700000000000005</v>
      </c>
      <c r="K40">
        <v>0.97799999999999998</v>
      </c>
      <c r="L40" t="s">
        <v>118</v>
      </c>
    </row>
    <row r="41" spans="1:12" x14ac:dyDescent="0.3">
      <c r="A41" t="s">
        <v>196</v>
      </c>
      <c r="B41" t="s">
        <v>197</v>
      </c>
      <c r="C41" t="s">
        <v>198</v>
      </c>
      <c r="D41" t="s">
        <v>181</v>
      </c>
      <c r="E41" t="s">
        <v>123</v>
      </c>
      <c r="F41" t="s">
        <v>102</v>
      </c>
      <c r="G41" s="2">
        <v>45292</v>
      </c>
      <c r="H41" s="2">
        <v>46387</v>
      </c>
      <c r="I41">
        <v>25</v>
      </c>
      <c r="J41">
        <v>0.79600000000000004</v>
      </c>
      <c r="K41">
        <v>0.93200000000000005</v>
      </c>
      <c r="L41" t="s">
        <v>124</v>
      </c>
    </row>
  </sheetData>
  <autoFilter ref="A1:L41" xr:uid="{00000000-0009-0000-0000-000004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7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4" customWidth="1"/>
    <col min="3" max="3" width="15" customWidth="1"/>
    <col min="4" max="4" width="12" customWidth="1"/>
    <col min="5" max="5" width="29" customWidth="1"/>
    <col min="6" max="6" width="12" customWidth="1"/>
    <col min="7" max="7" width="17" customWidth="1"/>
    <col min="8" max="8" width="14" customWidth="1"/>
    <col min="9" max="9" width="13" customWidth="1"/>
  </cols>
  <sheetData>
    <row r="1" spans="1:9" x14ac:dyDescent="0.3">
      <c r="A1" s="1" t="s">
        <v>199</v>
      </c>
      <c r="B1" s="1" t="s">
        <v>200</v>
      </c>
      <c r="C1" s="1" t="s">
        <v>201</v>
      </c>
      <c r="D1" s="1" t="s">
        <v>38</v>
      </c>
      <c r="E1" s="1" t="s">
        <v>39</v>
      </c>
      <c r="F1" s="1" t="s">
        <v>40</v>
      </c>
      <c r="G1" s="1" t="s">
        <v>202</v>
      </c>
      <c r="H1" s="1" t="s">
        <v>91</v>
      </c>
      <c r="I1" s="1" t="s">
        <v>203</v>
      </c>
    </row>
    <row r="2" spans="1:9" x14ac:dyDescent="0.3">
      <c r="A2" t="s">
        <v>204</v>
      </c>
      <c r="B2" t="s">
        <v>205</v>
      </c>
      <c r="C2" t="s">
        <v>76</v>
      </c>
      <c r="D2" t="s">
        <v>57</v>
      </c>
      <c r="E2" t="s">
        <v>58</v>
      </c>
      <c r="F2" t="s">
        <v>59</v>
      </c>
      <c r="G2" t="s">
        <v>206</v>
      </c>
      <c r="H2" t="s">
        <v>207</v>
      </c>
      <c r="I2" s="2">
        <v>45292</v>
      </c>
    </row>
    <row r="3" spans="1:9" x14ac:dyDescent="0.3">
      <c r="A3" t="s">
        <v>208</v>
      </c>
      <c r="B3" t="s">
        <v>209</v>
      </c>
      <c r="C3" t="s">
        <v>76</v>
      </c>
      <c r="D3" t="s">
        <v>210</v>
      </c>
      <c r="E3" t="s">
        <v>52</v>
      </c>
      <c r="F3" t="s">
        <v>59</v>
      </c>
      <c r="G3" t="s">
        <v>211</v>
      </c>
      <c r="H3" t="s">
        <v>212</v>
      </c>
      <c r="I3" s="2">
        <v>45292</v>
      </c>
    </row>
    <row r="4" spans="1:9" x14ac:dyDescent="0.3">
      <c r="A4" t="s">
        <v>213</v>
      </c>
      <c r="B4" t="s">
        <v>214</v>
      </c>
      <c r="C4" t="s">
        <v>76</v>
      </c>
      <c r="D4" t="s">
        <v>57</v>
      </c>
      <c r="E4" t="s">
        <v>58</v>
      </c>
      <c r="F4" t="s">
        <v>59</v>
      </c>
      <c r="G4" t="s">
        <v>211</v>
      </c>
      <c r="H4" t="s">
        <v>212</v>
      </c>
      <c r="I4" s="2">
        <v>45292</v>
      </c>
    </row>
    <row r="5" spans="1:9" x14ac:dyDescent="0.3">
      <c r="A5" t="s">
        <v>215</v>
      </c>
      <c r="B5" t="s">
        <v>216</v>
      </c>
      <c r="C5" t="s">
        <v>80</v>
      </c>
      <c r="D5" t="s">
        <v>51</v>
      </c>
      <c r="E5" t="s">
        <v>52</v>
      </c>
      <c r="F5" t="s">
        <v>53</v>
      </c>
      <c r="G5" t="s">
        <v>211</v>
      </c>
      <c r="H5" t="s">
        <v>212</v>
      </c>
      <c r="I5" s="2">
        <v>45292</v>
      </c>
    </row>
    <row r="6" spans="1:9" x14ac:dyDescent="0.3">
      <c r="A6" t="s">
        <v>217</v>
      </c>
      <c r="B6" t="s">
        <v>218</v>
      </c>
      <c r="C6" t="s">
        <v>76</v>
      </c>
      <c r="D6" t="s">
        <v>210</v>
      </c>
      <c r="E6" t="s">
        <v>52</v>
      </c>
      <c r="F6" t="s">
        <v>59</v>
      </c>
      <c r="G6" t="s">
        <v>206</v>
      </c>
      <c r="H6" t="s">
        <v>219</v>
      </c>
      <c r="I6" s="2">
        <v>45292</v>
      </c>
    </row>
    <row r="7" spans="1:9" x14ac:dyDescent="0.3">
      <c r="A7" t="s">
        <v>220</v>
      </c>
      <c r="B7" t="s">
        <v>221</v>
      </c>
      <c r="C7" t="s">
        <v>71</v>
      </c>
      <c r="D7" t="s">
        <v>210</v>
      </c>
      <c r="E7" t="s">
        <v>52</v>
      </c>
      <c r="F7" t="s">
        <v>59</v>
      </c>
      <c r="G7" t="s">
        <v>222</v>
      </c>
      <c r="H7" t="s">
        <v>212</v>
      </c>
      <c r="I7" s="2">
        <v>45292</v>
      </c>
    </row>
    <row r="8" spans="1:9" x14ac:dyDescent="0.3">
      <c r="A8" t="s">
        <v>223</v>
      </c>
      <c r="B8" t="s">
        <v>224</v>
      </c>
      <c r="C8" t="s">
        <v>76</v>
      </c>
      <c r="D8" t="s">
        <v>51</v>
      </c>
      <c r="E8" t="s">
        <v>52</v>
      </c>
      <c r="F8" t="s">
        <v>53</v>
      </c>
      <c r="G8" t="s">
        <v>222</v>
      </c>
      <c r="H8" t="s">
        <v>219</v>
      </c>
      <c r="I8" s="2">
        <v>45292</v>
      </c>
    </row>
    <row r="9" spans="1:9" x14ac:dyDescent="0.3">
      <c r="A9" t="s">
        <v>225</v>
      </c>
      <c r="B9" t="s">
        <v>226</v>
      </c>
      <c r="C9" t="s">
        <v>76</v>
      </c>
      <c r="D9" t="s">
        <v>45</v>
      </c>
      <c r="E9" t="s">
        <v>46</v>
      </c>
      <c r="F9" t="s">
        <v>47</v>
      </c>
      <c r="G9" t="s">
        <v>206</v>
      </c>
      <c r="H9" t="s">
        <v>219</v>
      </c>
      <c r="I9" s="2">
        <v>45292</v>
      </c>
    </row>
    <row r="10" spans="1:9" x14ac:dyDescent="0.3">
      <c r="A10" t="s">
        <v>227</v>
      </c>
      <c r="B10" t="s">
        <v>228</v>
      </c>
      <c r="C10" t="s">
        <v>76</v>
      </c>
      <c r="D10" t="s">
        <v>62</v>
      </c>
      <c r="E10" t="s">
        <v>63</v>
      </c>
      <c r="F10" t="s">
        <v>64</v>
      </c>
      <c r="G10" t="s">
        <v>222</v>
      </c>
      <c r="H10" t="s">
        <v>219</v>
      </c>
      <c r="I10" s="2">
        <v>45292</v>
      </c>
    </row>
    <row r="11" spans="1:9" x14ac:dyDescent="0.3">
      <c r="A11" t="s">
        <v>229</v>
      </c>
      <c r="B11" t="s">
        <v>230</v>
      </c>
      <c r="C11" t="s">
        <v>80</v>
      </c>
      <c r="D11" t="s">
        <v>51</v>
      </c>
      <c r="E11" t="s">
        <v>52</v>
      </c>
      <c r="F11" t="s">
        <v>53</v>
      </c>
      <c r="G11" t="s">
        <v>222</v>
      </c>
      <c r="H11" t="s">
        <v>231</v>
      </c>
      <c r="I11" s="2">
        <v>45292</v>
      </c>
    </row>
    <row r="12" spans="1:9" x14ac:dyDescent="0.3">
      <c r="A12" t="s">
        <v>232</v>
      </c>
      <c r="B12" t="s">
        <v>233</v>
      </c>
      <c r="C12" t="s">
        <v>71</v>
      </c>
      <c r="D12" t="s">
        <v>51</v>
      </c>
      <c r="E12" t="s">
        <v>52</v>
      </c>
      <c r="F12" t="s">
        <v>53</v>
      </c>
      <c r="G12" t="s">
        <v>211</v>
      </c>
      <c r="H12" t="s">
        <v>219</v>
      </c>
      <c r="I12" s="2">
        <v>45292</v>
      </c>
    </row>
    <row r="13" spans="1:9" x14ac:dyDescent="0.3">
      <c r="A13" t="s">
        <v>234</v>
      </c>
      <c r="B13" t="s">
        <v>235</v>
      </c>
      <c r="C13" t="s">
        <v>76</v>
      </c>
      <c r="D13" t="s">
        <v>45</v>
      </c>
      <c r="E13" t="s">
        <v>46</v>
      </c>
      <c r="F13" t="s">
        <v>47</v>
      </c>
      <c r="G13" t="s">
        <v>211</v>
      </c>
      <c r="H13" t="s">
        <v>231</v>
      </c>
      <c r="I13" s="2">
        <v>45292</v>
      </c>
    </row>
    <row r="14" spans="1:9" x14ac:dyDescent="0.3">
      <c r="A14" t="s">
        <v>236</v>
      </c>
      <c r="B14" t="s">
        <v>237</v>
      </c>
      <c r="C14" t="s">
        <v>76</v>
      </c>
      <c r="D14" t="s">
        <v>57</v>
      </c>
      <c r="E14" t="s">
        <v>58</v>
      </c>
      <c r="F14" t="s">
        <v>59</v>
      </c>
      <c r="G14" t="s">
        <v>206</v>
      </c>
      <c r="H14" t="s">
        <v>207</v>
      </c>
      <c r="I14" s="2">
        <v>45292</v>
      </c>
    </row>
    <row r="15" spans="1:9" x14ac:dyDescent="0.3">
      <c r="A15" t="s">
        <v>238</v>
      </c>
      <c r="B15" t="s">
        <v>239</v>
      </c>
      <c r="C15" t="s">
        <v>76</v>
      </c>
      <c r="D15" t="s">
        <v>45</v>
      </c>
      <c r="E15" t="s">
        <v>46</v>
      </c>
      <c r="F15" t="s">
        <v>47</v>
      </c>
      <c r="G15" t="s">
        <v>211</v>
      </c>
      <c r="H15" t="s">
        <v>219</v>
      </c>
      <c r="I15" s="2">
        <v>45292</v>
      </c>
    </row>
    <row r="16" spans="1:9" x14ac:dyDescent="0.3">
      <c r="A16" t="s">
        <v>240</v>
      </c>
      <c r="B16" t="s">
        <v>241</v>
      </c>
      <c r="C16" t="s">
        <v>76</v>
      </c>
      <c r="D16" t="s">
        <v>51</v>
      </c>
      <c r="E16" t="s">
        <v>52</v>
      </c>
      <c r="F16" t="s">
        <v>53</v>
      </c>
      <c r="G16" t="s">
        <v>222</v>
      </c>
      <c r="H16" t="s">
        <v>219</v>
      </c>
      <c r="I16" s="2">
        <v>45292</v>
      </c>
    </row>
    <row r="17" spans="1:9" x14ac:dyDescent="0.3">
      <c r="A17" t="s">
        <v>242</v>
      </c>
      <c r="B17" t="s">
        <v>243</v>
      </c>
      <c r="C17" t="s">
        <v>76</v>
      </c>
      <c r="D17" t="s">
        <v>210</v>
      </c>
      <c r="E17" t="s">
        <v>52</v>
      </c>
      <c r="F17" t="s">
        <v>59</v>
      </c>
      <c r="G17" t="s">
        <v>206</v>
      </c>
      <c r="H17" t="s">
        <v>207</v>
      </c>
      <c r="I17" s="2">
        <v>45292</v>
      </c>
    </row>
    <row r="18" spans="1:9" x14ac:dyDescent="0.3">
      <c r="A18" t="s">
        <v>244</v>
      </c>
      <c r="B18" t="s">
        <v>245</v>
      </c>
      <c r="C18" t="s">
        <v>76</v>
      </c>
      <c r="D18" t="s">
        <v>210</v>
      </c>
      <c r="E18" t="s">
        <v>52</v>
      </c>
      <c r="F18" t="s">
        <v>59</v>
      </c>
      <c r="G18" t="s">
        <v>211</v>
      </c>
      <c r="H18" t="s">
        <v>207</v>
      </c>
      <c r="I18" s="2">
        <v>45292</v>
      </c>
    </row>
    <row r="19" spans="1:9" x14ac:dyDescent="0.3">
      <c r="A19" t="s">
        <v>246</v>
      </c>
      <c r="B19" t="s">
        <v>247</v>
      </c>
      <c r="C19" t="s">
        <v>71</v>
      </c>
      <c r="D19" t="s">
        <v>51</v>
      </c>
      <c r="E19" t="s">
        <v>52</v>
      </c>
      <c r="F19" t="s">
        <v>53</v>
      </c>
      <c r="G19" t="s">
        <v>222</v>
      </c>
      <c r="H19" t="s">
        <v>207</v>
      </c>
      <c r="I19" s="2">
        <v>45292</v>
      </c>
    </row>
    <row r="20" spans="1:9" x14ac:dyDescent="0.3">
      <c r="A20" t="s">
        <v>248</v>
      </c>
      <c r="B20" t="s">
        <v>249</v>
      </c>
      <c r="C20" t="s">
        <v>76</v>
      </c>
      <c r="D20" t="s">
        <v>57</v>
      </c>
      <c r="E20" t="s">
        <v>58</v>
      </c>
      <c r="F20" t="s">
        <v>59</v>
      </c>
      <c r="G20" t="s">
        <v>222</v>
      </c>
      <c r="H20" t="s">
        <v>207</v>
      </c>
      <c r="I20" s="2">
        <v>45292</v>
      </c>
    </row>
    <row r="21" spans="1:9" x14ac:dyDescent="0.3">
      <c r="A21" t="s">
        <v>250</v>
      </c>
      <c r="B21" t="s">
        <v>251</v>
      </c>
      <c r="C21" t="s">
        <v>80</v>
      </c>
      <c r="D21" t="s">
        <v>45</v>
      </c>
      <c r="E21" t="s">
        <v>46</v>
      </c>
      <c r="F21" t="s">
        <v>47</v>
      </c>
      <c r="G21" t="s">
        <v>206</v>
      </c>
      <c r="H21" t="s">
        <v>219</v>
      </c>
      <c r="I21" s="2">
        <v>45292</v>
      </c>
    </row>
    <row r="22" spans="1:9" x14ac:dyDescent="0.3">
      <c r="A22" t="s">
        <v>252</v>
      </c>
      <c r="B22" t="s">
        <v>253</v>
      </c>
      <c r="C22" t="s">
        <v>76</v>
      </c>
      <c r="D22" t="s">
        <v>45</v>
      </c>
      <c r="E22" t="s">
        <v>46</v>
      </c>
      <c r="F22" t="s">
        <v>47</v>
      </c>
      <c r="G22" t="s">
        <v>206</v>
      </c>
      <c r="H22" t="s">
        <v>207</v>
      </c>
      <c r="I22" s="2">
        <v>45292</v>
      </c>
    </row>
    <row r="23" spans="1:9" x14ac:dyDescent="0.3">
      <c r="A23" t="s">
        <v>254</v>
      </c>
      <c r="B23" t="s">
        <v>255</v>
      </c>
      <c r="C23" t="s">
        <v>76</v>
      </c>
      <c r="D23" t="s">
        <v>62</v>
      </c>
      <c r="E23" t="s">
        <v>63</v>
      </c>
      <c r="F23" t="s">
        <v>64</v>
      </c>
      <c r="G23" t="s">
        <v>206</v>
      </c>
      <c r="H23" t="s">
        <v>231</v>
      </c>
      <c r="I23" s="2">
        <v>45292</v>
      </c>
    </row>
    <row r="24" spans="1:9" x14ac:dyDescent="0.3">
      <c r="A24" t="s">
        <v>256</v>
      </c>
      <c r="B24" t="s">
        <v>257</v>
      </c>
      <c r="C24" t="s">
        <v>76</v>
      </c>
      <c r="D24" t="s">
        <v>51</v>
      </c>
      <c r="E24" t="s">
        <v>52</v>
      </c>
      <c r="F24" t="s">
        <v>53</v>
      </c>
      <c r="G24" t="s">
        <v>211</v>
      </c>
      <c r="H24" t="s">
        <v>231</v>
      </c>
      <c r="I24" s="2">
        <v>45292</v>
      </c>
    </row>
    <row r="25" spans="1:9" x14ac:dyDescent="0.3">
      <c r="A25" t="s">
        <v>258</v>
      </c>
      <c r="B25" t="s">
        <v>259</v>
      </c>
      <c r="C25" t="s">
        <v>80</v>
      </c>
      <c r="D25" t="s">
        <v>62</v>
      </c>
      <c r="E25" t="s">
        <v>63</v>
      </c>
      <c r="F25" t="s">
        <v>64</v>
      </c>
      <c r="G25" t="s">
        <v>211</v>
      </c>
      <c r="H25" t="s">
        <v>231</v>
      </c>
      <c r="I25" s="2">
        <v>45292</v>
      </c>
    </row>
    <row r="26" spans="1:9" x14ac:dyDescent="0.3">
      <c r="A26" t="s">
        <v>260</v>
      </c>
      <c r="B26" t="s">
        <v>261</v>
      </c>
      <c r="C26" t="s">
        <v>76</v>
      </c>
      <c r="D26" t="s">
        <v>62</v>
      </c>
      <c r="E26" t="s">
        <v>63</v>
      </c>
      <c r="F26" t="s">
        <v>64</v>
      </c>
      <c r="G26" t="s">
        <v>222</v>
      </c>
      <c r="H26" t="s">
        <v>219</v>
      </c>
      <c r="I26" s="2">
        <v>45292</v>
      </c>
    </row>
    <row r="27" spans="1:9" x14ac:dyDescent="0.3">
      <c r="A27" t="s">
        <v>262</v>
      </c>
      <c r="B27" t="s">
        <v>263</v>
      </c>
      <c r="C27" t="s">
        <v>76</v>
      </c>
      <c r="D27" t="s">
        <v>51</v>
      </c>
      <c r="E27" t="s">
        <v>52</v>
      </c>
      <c r="F27" t="s">
        <v>53</v>
      </c>
      <c r="G27" t="s">
        <v>222</v>
      </c>
      <c r="H27" t="s">
        <v>212</v>
      </c>
      <c r="I27" s="2">
        <v>45292</v>
      </c>
    </row>
    <row r="28" spans="1:9" x14ac:dyDescent="0.3">
      <c r="A28" t="s">
        <v>264</v>
      </c>
      <c r="B28" t="s">
        <v>265</v>
      </c>
      <c r="C28" t="s">
        <v>84</v>
      </c>
      <c r="D28" t="s">
        <v>57</v>
      </c>
      <c r="E28" t="s">
        <v>58</v>
      </c>
      <c r="F28" t="s">
        <v>59</v>
      </c>
      <c r="G28" t="s">
        <v>222</v>
      </c>
      <c r="H28" t="s">
        <v>212</v>
      </c>
      <c r="I28" s="2">
        <v>45292</v>
      </c>
    </row>
    <row r="29" spans="1:9" x14ac:dyDescent="0.3">
      <c r="A29" t="s">
        <v>266</v>
      </c>
      <c r="B29" t="s">
        <v>267</v>
      </c>
      <c r="C29" t="s">
        <v>76</v>
      </c>
      <c r="D29" t="s">
        <v>45</v>
      </c>
      <c r="E29" t="s">
        <v>46</v>
      </c>
      <c r="F29" t="s">
        <v>47</v>
      </c>
      <c r="G29" t="s">
        <v>211</v>
      </c>
      <c r="H29" t="s">
        <v>212</v>
      </c>
      <c r="I29" s="2">
        <v>45292</v>
      </c>
    </row>
    <row r="30" spans="1:9" x14ac:dyDescent="0.3">
      <c r="A30" t="s">
        <v>268</v>
      </c>
      <c r="B30" t="s">
        <v>269</v>
      </c>
      <c r="C30" t="s">
        <v>76</v>
      </c>
      <c r="D30" t="s">
        <v>57</v>
      </c>
      <c r="E30" t="s">
        <v>58</v>
      </c>
      <c r="F30" t="s">
        <v>59</v>
      </c>
      <c r="G30" t="s">
        <v>206</v>
      </c>
      <c r="H30" t="s">
        <v>207</v>
      </c>
      <c r="I30" s="2">
        <v>45292</v>
      </c>
    </row>
    <row r="31" spans="1:9" x14ac:dyDescent="0.3">
      <c r="A31" t="s">
        <v>270</v>
      </c>
      <c r="B31" t="s">
        <v>271</v>
      </c>
      <c r="C31" t="s">
        <v>71</v>
      </c>
      <c r="D31" t="s">
        <v>45</v>
      </c>
      <c r="E31" t="s">
        <v>46</v>
      </c>
      <c r="F31" t="s">
        <v>47</v>
      </c>
      <c r="G31" t="s">
        <v>211</v>
      </c>
      <c r="H31" t="s">
        <v>219</v>
      </c>
      <c r="I31" s="2">
        <v>45292</v>
      </c>
    </row>
    <row r="32" spans="1:9" x14ac:dyDescent="0.3">
      <c r="A32" t="s">
        <v>272</v>
      </c>
      <c r="B32" t="s">
        <v>273</v>
      </c>
      <c r="C32" t="s">
        <v>76</v>
      </c>
      <c r="D32" t="s">
        <v>51</v>
      </c>
      <c r="E32" t="s">
        <v>52</v>
      </c>
      <c r="F32" t="s">
        <v>53</v>
      </c>
      <c r="G32" t="s">
        <v>222</v>
      </c>
      <c r="H32" t="s">
        <v>207</v>
      </c>
      <c r="I32" s="2">
        <v>45292</v>
      </c>
    </row>
    <row r="33" spans="1:9" x14ac:dyDescent="0.3">
      <c r="A33" t="s">
        <v>274</v>
      </c>
      <c r="B33" t="s">
        <v>275</v>
      </c>
      <c r="C33" t="s">
        <v>76</v>
      </c>
      <c r="D33" t="s">
        <v>57</v>
      </c>
      <c r="E33" t="s">
        <v>58</v>
      </c>
      <c r="F33" t="s">
        <v>59</v>
      </c>
      <c r="G33" t="s">
        <v>206</v>
      </c>
      <c r="H33" t="s">
        <v>219</v>
      </c>
      <c r="I33" s="2">
        <v>45292</v>
      </c>
    </row>
    <row r="34" spans="1:9" x14ac:dyDescent="0.3">
      <c r="A34" t="s">
        <v>276</v>
      </c>
      <c r="B34" t="s">
        <v>277</v>
      </c>
      <c r="C34" t="s">
        <v>76</v>
      </c>
      <c r="D34" t="s">
        <v>210</v>
      </c>
      <c r="E34" t="s">
        <v>52</v>
      </c>
      <c r="F34" t="s">
        <v>59</v>
      </c>
      <c r="G34" t="s">
        <v>211</v>
      </c>
      <c r="H34" t="s">
        <v>219</v>
      </c>
      <c r="I34" s="2">
        <v>45292</v>
      </c>
    </row>
    <row r="35" spans="1:9" x14ac:dyDescent="0.3">
      <c r="A35" t="s">
        <v>278</v>
      </c>
      <c r="B35" t="s">
        <v>279</v>
      </c>
      <c r="C35" t="s">
        <v>76</v>
      </c>
      <c r="D35" t="s">
        <v>57</v>
      </c>
      <c r="E35" t="s">
        <v>58</v>
      </c>
      <c r="F35" t="s">
        <v>59</v>
      </c>
      <c r="G35" t="s">
        <v>211</v>
      </c>
      <c r="H35" t="s">
        <v>219</v>
      </c>
      <c r="I35" s="2">
        <v>45292</v>
      </c>
    </row>
    <row r="36" spans="1:9" x14ac:dyDescent="0.3">
      <c r="A36" t="s">
        <v>280</v>
      </c>
      <c r="B36" t="s">
        <v>281</v>
      </c>
      <c r="C36" t="s">
        <v>71</v>
      </c>
      <c r="D36" t="s">
        <v>45</v>
      </c>
      <c r="E36" t="s">
        <v>46</v>
      </c>
      <c r="F36" t="s">
        <v>47</v>
      </c>
      <c r="G36" t="s">
        <v>222</v>
      </c>
      <c r="H36" t="s">
        <v>231</v>
      </c>
      <c r="I36" s="2">
        <v>45292</v>
      </c>
    </row>
    <row r="37" spans="1:9" x14ac:dyDescent="0.3">
      <c r="A37" t="s">
        <v>282</v>
      </c>
      <c r="B37" t="s">
        <v>283</v>
      </c>
      <c r="C37" t="s">
        <v>80</v>
      </c>
      <c r="D37" t="s">
        <v>57</v>
      </c>
      <c r="E37" t="s">
        <v>58</v>
      </c>
      <c r="F37" t="s">
        <v>59</v>
      </c>
      <c r="G37" t="s">
        <v>211</v>
      </c>
      <c r="H37" t="s">
        <v>219</v>
      </c>
      <c r="I37" s="2">
        <v>45292</v>
      </c>
    </row>
    <row r="38" spans="1:9" x14ac:dyDescent="0.3">
      <c r="A38" t="s">
        <v>284</v>
      </c>
      <c r="B38" t="s">
        <v>285</v>
      </c>
      <c r="C38" t="s">
        <v>76</v>
      </c>
      <c r="D38" t="s">
        <v>210</v>
      </c>
      <c r="E38" t="s">
        <v>52</v>
      </c>
      <c r="F38" t="s">
        <v>59</v>
      </c>
      <c r="G38" t="s">
        <v>206</v>
      </c>
      <c r="H38" t="s">
        <v>207</v>
      </c>
      <c r="I38" s="2">
        <v>45292</v>
      </c>
    </row>
    <row r="39" spans="1:9" x14ac:dyDescent="0.3">
      <c r="A39" t="s">
        <v>286</v>
      </c>
      <c r="B39" t="s">
        <v>287</v>
      </c>
      <c r="C39" t="s">
        <v>84</v>
      </c>
      <c r="D39" t="s">
        <v>210</v>
      </c>
      <c r="E39" t="s">
        <v>52</v>
      </c>
      <c r="F39" t="s">
        <v>59</v>
      </c>
      <c r="G39" t="s">
        <v>222</v>
      </c>
      <c r="H39" t="s">
        <v>231</v>
      </c>
      <c r="I39" s="2">
        <v>45292</v>
      </c>
    </row>
    <row r="40" spans="1:9" x14ac:dyDescent="0.3">
      <c r="A40" t="s">
        <v>288</v>
      </c>
      <c r="B40" t="s">
        <v>289</v>
      </c>
      <c r="C40" t="s">
        <v>76</v>
      </c>
      <c r="D40" t="s">
        <v>210</v>
      </c>
      <c r="E40" t="s">
        <v>52</v>
      </c>
      <c r="F40" t="s">
        <v>59</v>
      </c>
      <c r="G40" t="s">
        <v>211</v>
      </c>
      <c r="H40" t="s">
        <v>231</v>
      </c>
      <c r="I40" s="2">
        <v>45292</v>
      </c>
    </row>
    <row r="41" spans="1:9" x14ac:dyDescent="0.3">
      <c r="A41" t="s">
        <v>290</v>
      </c>
      <c r="B41" t="s">
        <v>291</v>
      </c>
      <c r="C41" t="s">
        <v>76</v>
      </c>
      <c r="D41" t="s">
        <v>210</v>
      </c>
      <c r="E41" t="s">
        <v>52</v>
      </c>
      <c r="F41" t="s">
        <v>59</v>
      </c>
      <c r="G41" t="s">
        <v>206</v>
      </c>
      <c r="H41" t="s">
        <v>207</v>
      </c>
      <c r="I41" s="2">
        <v>45292</v>
      </c>
    </row>
    <row r="42" spans="1:9" x14ac:dyDescent="0.3">
      <c r="A42" t="s">
        <v>292</v>
      </c>
      <c r="B42" t="s">
        <v>293</v>
      </c>
      <c r="C42" t="s">
        <v>76</v>
      </c>
      <c r="D42" t="s">
        <v>210</v>
      </c>
      <c r="E42" t="s">
        <v>52</v>
      </c>
      <c r="F42" t="s">
        <v>59</v>
      </c>
      <c r="G42" t="s">
        <v>206</v>
      </c>
      <c r="H42" t="s">
        <v>219</v>
      </c>
      <c r="I42" s="2">
        <v>45292</v>
      </c>
    </row>
    <row r="43" spans="1:9" x14ac:dyDescent="0.3">
      <c r="A43" t="s">
        <v>294</v>
      </c>
      <c r="B43" t="s">
        <v>295</v>
      </c>
      <c r="C43" t="s">
        <v>71</v>
      </c>
      <c r="D43" t="s">
        <v>57</v>
      </c>
      <c r="E43" t="s">
        <v>58</v>
      </c>
      <c r="F43" t="s">
        <v>59</v>
      </c>
      <c r="G43" t="s">
        <v>206</v>
      </c>
      <c r="H43" t="s">
        <v>207</v>
      </c>
      <c r="I43" s="2">
        <v>45292</v>
      </c>
    </row>
    <row r="44" spans="1:9" x14ac:dyDescent="0.3">
      <c r="A44" t="s">
        <v>296</v>
      </c>
      <c r="B44" t="s">
        <v>297</v>
      </c>
      <c r="C44" t="s">
        <v>71</v>
      </c>
      <c r="D44" t="s">
        <v>45</v>
      </c>
      <c r="E44" t="s">
        <v>46</v>
      </c>
      <c r="F44" t="s">
        <v>47</v>
      </c>
      <c r="G44" t="s">
        <v>211</v>
      </c>
      <c r="H44" t="s">
        <v>207</v>
      </c>
      <c r="I44" s="2">
        <v>45292</v>
      </c>
    </row>
    <row r="45" spans="1:9" x14ac:dyDescent="0.3">
      <c r="A45" t="s">
        <v>298</v>
      </c>
      <c r="B45" t="s">
        <v>299</v>
      </c>
      <c r="C45" t="s">
        <v>84</v>
      </c>
      <c r="D45" t="s">
        <v>45</v>
      </c>
      <c r="E45" t="s">
        <v>46</v>
      </c>
      <c r="F45" t="s">
        <v>47</v>
      </c>
      <c r="G45" t="s">
        <v>222</v>
      </c>
      <c r="H45" t="s">
        <v>212</v>
      </c>
      <c r="I45" s="2">
        <v>45292</v>
      </c>
    </row>
    <row r="46" spans="1:9" x14ac:dyDescent="0.3">
      <c r="A46" t="s">
        <v>300</v>
      </c>
      <c r="B46" t="s">
        <v>301</v>
      </c>
      <c r="C46" t="s">
        <v>71</v>
      </c>
      <c r="D46" t="s">
        <v>51</v>
      </c>
      <c r="E46" t="s">
        <v>52</v>
      </c>
      <c r="F46" t="s">
        <v>53</v>
      </c>
      <c r="G46" t="s">
        <v>211</v>
      </c>
      <c r="H46" t="s">
        <v>219</v>
      </c>
      <c r="I46" s="2">
        <v>45292</v>
      </c>
    </row>
    <row r="47" spans="1:9" x14ac:dyDescent="0.3">
      <c r="A47" t="s">
        <v>302</v>
      </c>
      <c r="B47" t="s">
        <v>303</v>
      </c>
      <c r="C47" t="s">
        <v>80</v>
      </c>
      <c r="D47" t="s">
        <v>62</v>
      </c>
      <c r="E47" t="s">
        <v>63</v>
      </c>
      <c r="F47" t="s">
        <v>64</v>
      </c>
      <c r="G47" t="s">
        <v>211</v>
      </c>
      <c r="H47" t="s">
        <v>212</v>
      </c>
      <c r="I47" s="2">
        <v>45292</v>
      </c>
    </row>
    <row r="48" spans="1:9" x14ac:dyDescent="0.3">
      <c r="A48" t="s">
        <v>304</v>
      </c>
      <c r="B48" t="s">
        <v>305</v>
      </c>
      <c r="C48" t="s">
        <v>76</v>
      </c>
      <c r="D48" t="s">
        <v>57</v>
      </c>
      <c r="E48" t="s">
        <v>58</v>
      </c>
      <c r="F48" t="s">
        <v>59</v>
      </c>
      <c r="G48" t="s">
        <v>206</v>
      </c>
      <c r="H48" t="s">
        <v>212</v>
      </c>
      <c r="I48" s="2">
        <v>45292</v>
      </c>
    </row>
    <row r="49" spans="1:9" x14ac:dyDescent="0.3">
      <c r="A49" t="s">
        <v>306</v>
      </c>
      <c r="B49" t="s">
        <v>307</v>
      </c>
      <c r="C49" t="s">
        <v>76</v>
      </c>
      <c r="D49" t="s">
        <v>51</v>
      </c>
      <c r="E49" t="s">
        <v>52</v>
      </c>
      <c r="F49" t="s">
        <v>53</v>
      </c>
      <c r="G49" t="s">
        <v>211</v>
      </c>
      <c r="H49" t="s">
        <v>231</v>
      </c>
      <c r="I49" s="2">
        <v>45292</v>
      </c>
    </row>
    <row r="50" spans="1:9" x14ac:dyDescent="0.3">
      <c r="A50" t="s">
        <v>308</v>
      </c>
      <c r="B50" t="s">
        <v>309</v>
      </c>
      <c r="C50" t="s">
        <v>71</v>
      </c>
      <c r="D50" t="s">
        <v>57</v>
      </c>
      <c r="E50" t="s">
        <v>58</v>
      </c>
      <c r="F50" t="s">
        <v>59</v>
      </c>
      <c r="G50" t="s">
        <v>222</v>
      </c>
      <c r="H50" t="s">
        <v>207</v>
      </c>
      <c r="I50" s="2">
        <v>45292</v>
      </c>
    </row>
    <row r="51" spans="1:9" x14ac:dyDescent="0.3">
      <c r="A51" t="s">
        <v>310</v>
      </c>
      <c r="B51" t="s">
        <v>311</v>
      </c>
      <c r="C51" t="s">
        <v>76</v>
      </c>
      <c r="D51" t="s">
        <v>45</v>
      </c>
      <c r="E51" t="s">
        <v>46</v>
      </c>
      <c r="F51" t="s">
        <v>47</v>
      </c>
      <c r="G51" t="s">
        <v>211</v>
      </c>
      <c r="H51" t="s">
        <v>212</v>
      </c>
      <c r="I51" s="2">
        <v>45292</v>
      </c>
    </row>
    <row r="52" spans="1:9" x14ac:dyDescent="0.3">
      <c r="A52" t="s">
        <v>312</v>
      </c>
      <c r="B52" t="s">
        <v>313</v>
      </c>
      <c r="C52" t="s">
        <v>80</v>
      </c>
      <c r="D52" t="s">
        <v>51</v>
      </c>
      <c r="E52" t="s">
        <v>52</v>
      </c>
      <c r="F52" t="s">
        <v>53</v>
      </c>
      <c r="G52" t="s">
        <v>206</v>
      </c>
      <c r="H52" t="s">
        <v>212</v>
      </c>
      <c r="I52" s="2">
        <v>45292</v>
      </c>
    </row>
    <row r="53" spans="1:9" x14ac:dyDescent="0.3">
      <c r="A53" t="s">
        <v>314</v>
      </c>
      <c r="B53" t="s">
        <v>315</v>
      </c>
      <c r="C53" t="s">
        <v>76</v>
      </c>
      <c r="D53" t="s">
        <v>62</v>
      </c>
      <c r="E53" t="s">
        <v>63</v>
      </c>
      <c r="F53" t="s">
        <v>64</v>
      </c>
      <c r="G53" t="s">
        <v>211</v>
      </c>
      <c r="H53" t="s">
        <v>212</v>
      </c>
      <c r="I53" s="2">
        <v>45292</v>
      </c>
    </row>
    <row r="54" spans="1:9" x14ac:dyDescent="0.3">
      <c r="A54" t="s">
        <v>316</v>
      </c>
      <c r="B54" t="s">
        <v>317</v>
      </c>
      <c r="C54" t="s">
        <v>80</v>
      </c>
      <c r="D54" t="s">
        <v>210</v>
      </c>
      <c r="E54" t="s">
        <v>52</v>
      </c>
      <c r="F54" t="s">
        <v>59</v>
      </c>
      <c r="G54" t="s">
        <v>222</v>
      </c>
      <c r="H54" t="s">
        <v>231</v>
      </c>
      <c r="I54" s="2">
        <v>45292</v>
      </c>
    </row>
    <row r="55" spans="1:9" x14ac:dyDescent="0.3">
      <c r="A55" t="s">
        <v>318</v>
      </c>
      <c r="B55" t="s">
        <v>319</v>
      </c>
      <c r="C55" t="s">
        <v>71</v>
      </c>
      <c r="D55" t="s">
        <v>62</v>
      </c>
      <c r="E55" t="s">
        <v>63</v>
      </c>
      <c r="F55" t="s">
        <v>64</v>
      </c>
      <c r="G55" t="s">
        <v>206</v>
      </c>
      <c r="H55" t="s">
        <v>219</v>
      </c>
      <c r="I55" s="2">
        <v>45292</v>
      </c>
    </row>
    <row r="56" spans="1:9" x14ac:dyDescent="0.3">
      <c r="A56" t="s">
        <v>320</v>
      </c>
      <c r="B56" t="s">
        <v>321</v>
      </c>
      <c r="C56" t="s">
        <v>84</v>
      </c>
      <c r="D56" t="s">
        <v>57</v>
      </c>
      <c r="E56" t="s">
        <v>58</v>
      </c>
      <c r="F56" t="s">
        <v>59</v>
      </c>
      <c r="G56" t="s">
        <v>211</v>
      </c>
      <c r="H56" t="s">
        <v>231</v>
      </c>
      <c r="I56" s="2">
        <v>45292</v>
      </c>
    </row>
    <row r="57" spans="1:9" x14ac:dyDescent="0.3">
      <c r="A57" t="s">
        <v>322</v>
      </c>
      <c r="B57" t="s">
        <v>323</v>
      </c>
      <c r="C57" t="s">
        <v>76</v>
      </c>
      <c r="D57" t="s">
        <v>51</v>
      </c>
      <c r="E57" t="s">
        <v>52</v>
      </c>
      <c r="F57" t="s">
        <v>53</v>
      </c>
      <c r="G57" t="s">
        <v>206</v>
      </c>
      <c r="H57" t="s">
        <v>207</v>
      </c>
      <c r="I57" s="2">
        <v>45292</v>
      </c>
    </row>
    <row r="58" spans="1:9" x14ac:dyDescent="0.3">
      <c r="A58" t="s">
        <v>324</v>
      </c>
      <c r="B58" t="s">
        <v>325</v>
      </c>
      <c r="C58" t="s">
        <v>76</v>
      </c>
      <c r="D58" t="s">
        <v>57</v>
      </c>
      <c r="E58" t="s">
        <v>58</v>
      </c>
      <c r="F58" t="s">
        <v>59</v>
      </c>
      <c r="G58" t="s">
        <v>211</v>
      </c>
      <c r="H58" t="s">
        <v>212</v>
      </c>
      <c r="I58" s="2">
        <v>45292</v>
      </c>
    </row>
    <row r="59" spans="1:9" x14ac:dyDescent="0.3">
      <c r="A59" t="s">
        <v>326</v>
      </c>
      <c r="B59" t="s">
        <v>327</v>
      </c>
      <c r="C59" t="s">
        <v>80</v>
      </c>
      <c r="D59" t="s">
        <v>62</v>
      </c>
      <c r="E59" t="s">
        <v>63</v>
      </c>
      <c r="F59" t="s">
        <v>64</v>
      </c>
      <c r="G59" t="s">
        <v>222</v>
      </c>
      <c r="H59" t="s">
        <v>207</v>
      </c>
      <c r="I59" s="2">
        <v>45292</v>
      </c>
    </row>
    <row r="60" spans="1:9" x14ac:dyDescent="0.3">
      <c r="A60" t="s">
        <v>328</v>
      </c>
      <c r="B60" t="s">
        <v>329</v>
      </c>
      <c r="C60" t="s">
        <v>76</v>
      </c>
      <c r="D60" t="s">
        <v>51</v>
      </c>
      <c r="E60" t="s">
        <v>52</v>
      </c>
      <c r="F60" t="s">
        <v>53</v>
      </c>
      <c r="G60" t="s">
        <v>206</v>
      </c>
      <c r="H60" t="s">
        <v>219</v>
      </c>
      <c r="I60" s="2">
        <v>45292</v>
      </c>
    </row>
    <row r="61" spans="1:9" x14ac:dyDescent="0.3">
      <c r="A61" t="s">
        <v>330</v>
      </c>
      <c r="B61" t="s">
        <v>331</v>
      </c>
      <c r="C61" t="s">
        <v>76</v>
      </c>
      <c r="D61" t="s">
        <v>51</v>
      </c>
      <c r="E61" t="s">
        <v>52</v>
      </c>
      <c r="F61" t="s">
        <v>53</v>
      </c>
      <c r="G61" t="s">
        <v>222</v>
      </c>
      <c r="H61" t="s">
        <v>212</v>
      </c>
      <c r="I61" s="2">
        <v>45292</v>
      </c>
    </row>
    <row r="62" spans="1:9" x14ac:dyDescent="0.3">
      <c r="A62" t="s">
        <v>332</v>
      </c>
      <c r="B62" t="s">
        <v>333</v>
      </c>
      <c r="C62" t="s">
        <v>76</v>
      </c>
      <c r="D62" t="s">
        <v>45</v>
      </c>
      <c r="E62" t="s">
        <v>46</v>
      </c>
      <c r="F62" t="s">
        <v>47</v>
      </c>
      <c r="G62" t="s">
        <v>206</v>
      </c>
      <c r="H62" t="s">
        <v>212</v>
      </c>
      <c r="I62" s="2">
        <v>45292</v>
      </c>
    </row>
    <row r="63" spans="1:9" x14ac:dyDescent="0.3">
      <c r="A63" t="s">
        <v>334</v>
      </c>
      <c r="B63" t="s">
        <v>335</v>
      </c>
      <c r="C63" t="s">
        <v>71</v>
      </c>
      <c r="D63" t="s">
        <v>51</v>
      </c>
      <c r="E63" t="s">
        <v>52</v>
      </c>
      <c r="F63" t="s">
        <v>53</v>
      </c>
      <c r="G63" t="s">
        <v>206</v>
      </c>
      <c r="H63" t="s">
        <v>231</v>
      </c>
      <c r="I63" s="2">
        <v>45292</v>
      </c>
    </row>
    <row r="64" spans="1:9" x14ac:dyDescent="0.3">
      <c r="A64" t="s">
        <v>336</v>
      </c>
      <c r="B64" t="s">
        <v>337</v>
      </c>
      <c r="C64" t="s">
        <v>76</v>
      </c>
      <c r="D64" t="s">
        <v>45</v>
      </c>
      <c r="E64" t="s">
        <v>46</v>
      </c>
      <c r="F64" t="s">
        <v>47</v>
      </c>
      <c r="G64" t="s">
        <v>211</v>
      </c>
      <c r="H64" t="s">
        <v>219</v>
      </c>
      <c r="I64" s="2">
        <v>45292</v>
      </c>
    </row>
    <row r="65" spans="1:9" x14ac:dyDescent="0.3">
      <c r="A65" t="s">
        <v>338</v>
      </c>
      <c r="B65" t="s">
        <v>339</v>
      </c>
      <c r="C65" t="s">
        <v>71</v>
      </c>
      <c r="D65" t="s">
        <v>62</v>
      </c>
      <c r="E65" t="s">
        <v>63</v>
      </c>
      <c r="F65" t="s">
        <v>64</v>
      </c>
      <c r="G65" t="s">
        <v>211</v>
      </c>
      <c r="H65" t="s">
        <v>231</v>
      </c>
      <c r="I65" s="2">
        <v>45292</v>
      </c>
    </row>
    <row r="66" spans="1:9" x14ac:dyDescent="0.3">
      <c r="A66" t="s">
        <v>340</v>
      </c>
      <c r="B66" t="s">
        <v>341</v>
      </c>
      <c r="C66" t="s">
        <v>76</v>
      </c>
      <c r="D66" t="s">
        <v>51</v>
      </c>
      <c r="E66" t="s">
        <v>52</v>
      </c>
      <c r="F66" t="s">
        <v>53</v>
      </c>
      <c r="G66" t="s">
        <v>206</v>
      </c>
      <c r="H66" t="s">
        <v>212</v>
      </c>
      <c r="I66" s="2">
        <v>45292</v>
      </c>
    </row>
    <row r="67" spans="1:9" x14ac:dyDescent="0.3">
      <c r="A67" t="s">
        <v>342</v>
      </c>
      <c r="B67" t="s">
        <v>343</v>
      </c>
      <c r="C67" t="s">
        <v>80</v>
      </c>
      <c r="D67" t="s">
        <v>51</v>
      </c>
      <c r="E67" t="s">
        <v>52</v>
      </c>
      <c r="F67" t="s">
        <v>53</v>
      </c>
      <c r="G67" t="s">
        <v>206</v>
      </c>
      <c r="H67" t="s">
        <v>219</v>
      </c>
      <c r="I67" s="2">
        <v>45292</v>
      </c>
    </row>
    <row r="68" spans="1:9" x14ac:dyDescent="0.3">
      <c r="A68" t="s">
        <v>344</v>
      </c>
      <c r="B68" t="s">
        <v>345</v>
      </c>
      <c r="C68" t="s">
        <v>76</v>
      </c>
      <c r="D68" t="s">
        <v>62</v>
      </c>
      <c r="E68" t="s">
        <v>63</v>
      </c>
      <c r="F68" t="s">
        <v>64</v>
      </c>
      <c r="G68" t="s">
        <v>206</v>
      </c>
      <c r="H68" t="s">
        <v>207</v>
      </c>
      <c r="I68" s="2">
        <v>45292</v>
      </c>
    </row>
    <row r="69" spans="1:9" x14ac:dyDescent="0.3">
      <c r="A69" t="s">
        <v>346</v>
      </c>
      <c r="B69" t="s">
        <v>347</v>
      </c>
      <c r="C69" t="s">
        <v>76</v>
      </c>
      <c r="D69" t="s">
        <v>45</v>
      </c>
      <c r="E69" t="s">
        <v>46</v>
      </c>
      <c r="F69" t="s">
        <v>47</v>
      </c>
      <c r="G69" t="s">
        <v>211</v>
      </c>
      <c r="H69" t="s">
        <v>231</v>
      </c>
      <c r="I69" s="2">
        <v>45292</v>
      </c>
    </row>
    <row r="70" spans="1:9" x14ac:dyDescent="0.3">
      <c r="A70" t="s">
        <v>348</v>
      </c>
      <c r="B70" t="s">
        <v>349</v>
      </c>
      <c r="C70" t="s">
        <v>71</v>
      </c>
      <c r="D70" t="s">
        <v>62</v>
      </c>
      <c r="E70" t="s">
        <v>63</v>
      </c>
      <c r="F70" t="s">
        <v>64</v>
      </c>
      <c r="G70" t="s">
        <v>206</v>
      </c>
      <c r="H70" t="s">
        <v>212</v>
      </c>
      <c r="I70" s="2">
        <v>45292</v>
      </c>
    </row>
    <row r="71" spans="1:9" x14ac:dyDescent="0.3">
      <c r="A71" t="s">
        <v>350</v>
      </c>
      <c r="B71" t="s">
        <v>351</v>
      </c>
      <c r="C71" t="s">
        <v>76</v>
      </c>
      <c r="D71" t="s">
        <v>51</v>
      </c>
      <c r="E71" t="s">
        <v>52</v>
      </c>
      <c r="F71" t="s">
        <v>53</v>
      </c>
      <c r="G71" t="s">
        <v>206</v>
      </c>
      <c r="H71" t="s">
        <v>231</v>
      </c>
      <c r="I71" s="2">
        <v>45292</v>
      </c>
    </row>
    <row r="72" spans="1:9" x14ac:dyDescent="0.3">
      <c r="A72" t="s">
        <v>352</v>
      </c>
      <c r="B72" t="s">
        <v>353</v>
      </c>
      <c r="C72" t="s">
        <v>76</v>
      </c>
      <c r="D72" t="s">
        <v>210</v>
      </c>
      <c r="E72" t="s">
        <v>52</v>
      </c>
      <c r="F72" t="s">
        <v>59</v>
      </c>
      <c r="G72" t="s">
        <v>206</v>
      </c>
      <c r="H72" t="s">
        <v>219</v>
      </c>
      <c r="I72" s="2">
        <v>45292</v>
      </c>
    </row>
    <row r="73" spans="1:9" x14ac:dyDescent="0.3">
      <c r="A73" t="s">
        <v>354</v>
      </c>
      <c r="B73" t="s">
        <v>355</v>
      </c>
      <c r="C73" t="s">
        <v>80</v>
      </c>
      <c r="D73" t="s">
        <v>210</v>
      </c>
      <c r="E73" t="s">
        <v>52</v>
      </c>
      <c r="F73" t="s">
        <v>59</v>
      </c>
      <c r="G73" t="s">
        <v>222</v>
      </c>
      <c r="H73" t="s">
        <v>207</v>
      </c>
      <c r="I73" s="2">
        <v>45292</v>
      </c>
    </row>
    <row r="74" spans="1:9" x14ac:dyDescent="0.3">
      <c r="A74" t="s">
        <v>356</v>
      </c>
      <c r="B74" t="s">
        <v>357</v>
      </c>
      <c r="C74" t="s">
        <v>71</v>
      </c>
      <c r="D74" t="s">
        <v>57</v>
      </c>
      <c r="E74" t="s">
        <v>58</v>
      </c>
      <c r="F74" t="s">
        <v>59</v>
      </c>
      <c r="G74" t="s">
        <v>222</v>
      </c>
      <c r="H74" t="s">
        <v>219</v>
      </c>
      <c r="I74" s="2">
        <v>45292</v>
      </c>
    </row>
    <row r="75" spans="1:9" x14ac:dyDescent="0.3">
      <c r="A75" t="s">
        <v>358</v>
      </c>
      <c r="B75" t="s">
        <v>359</v>
      </c>
      <c r="C75" t="s">
        <v>71</v>
      </c>
      <c r="D75" t="s">
        <v>45</v>
      </c>
      <c r="E75" t="s">
        <v>46</v>
      </c>
      <c r="F75" t="s">
        <v>47</v>
      </c>
      <c r="G75" t="s">
        <v>222</v>
      </c>
      <c r="H75" t="s">
        <v>231</v>
      </c>
      <c r="I75" s="2">
        <v>45292</v>
      </c>
    </row>
    <row r="76" spans="1:9" x14ac:dyDescent="0.3">
      <c r="A76" t="s">
        <v>360</v>
      </c>
      <c r="B76" t="s">
        <v>361</v>
      </c>
      <c r="C76" t="s">
        <v>71</v>
      </c>
      <c r="D76" t="s">
        <v>51</v>
      </c>
      <c r="E76" t="s">
        <v>52</v>
      </c>
      <c r="F76" t="s">
        <v>53</v>
      </c>
      <c r="G76" t="s">
        <v>222</v>
      </c>
      <c r="H76" t="s">
        <v>231</v>
      </c>
      <c r="I76" s="2">
        <v>45292</v>
      </c>
    </row>
    <row r="77" spans="1:9" x14ac:dyDescent="0.3">
      <c r="A77" t="s">
        <v>362</v>
      </c>
      <c r="B77" t="s">
        <v>363</v>
      </c>
      <c r="C77" t="s">
        <v>76</v>
      </c>
      <c r="D77" t="s">
        <v>45</v>
      </c>
      <c r="E77" t="s">
        <v>46</v>
      </c>
      <c r="F77" t="s">
        <v>47</v>
      </c>
      <c r="G77" t="s">
        <v>206</v>
      </c>
      <c r="H77" t="s">
        <v>212</v>
      </c>
      <c r="I77" s="2">
        <v>45292</v>
      </c>
    </row>
    <row r="78" spans="1:9" x14ac:dyDescent="0.3">
      <c r="A78" t="s">
        <v>364</v>
      </c>
      <c r="B78" t="s">
        <v>365</v>
      </c>
      <c r="C78" t="s">
        <v>80</v>
      </c>
      <c r="D78" t="s">
        <v>210</v>
      </c>
      <c r="E78" t="s">
        <v>52</v>
      </c>
      <c r="F78" t="s">
        <v>59</v>
      </c>
      <c r="G78" t="s">
        <v>211</v>
      </c>
      <c r="H78" t="s">
        <v>207</v>
      </c>
      <c r="I78" s="2">
        <v>45292</v>
      </c>
    </row>
    <row r="79" spans="1:9" x14ac:dyDescent="0.3">
      <c r="A79" t="s">
        <v>366</v>
      </c>
      <c r="B79" t="s">
        <v>367</v>
      </c>
      <c r="C79" t="s">
        <v>71</v>
      </c>
      <c r="D79" t="s">
        <v>51</v>
      </c>
      <c r="E79" t="s">
        <v>52</v>
      </c>
      <c r="F79" t="s">
        <v>53</v>
      </c>
      <c r="G79" t="s">
        <v>222</v>
      </c>
      <c r="H79" t="s">
        <v>219</v>
      </c>
      <c r="I79" s="2">
        <v>45292</v>
      </c>
    </row>
    <row r="80" spans="1:9" x14ac:dyDescent="0.3">
      <c r="A80" t="s">
        <v>368</v>
      </c>
      <c r="B80" t="s">
        <v>369</v>
      </c>
      <c r="C80" t="s">
        <v>76</v>
      </c>
      <c r="D80" t="s">
        <v>210</v>
      </c>
      <c r="E80" t="s">
        <v>52</v>
      </c>
      <c r="F80" t="s">
        <v>59</v>
      </c>
      <c r="G80" t="s">
        <v>222</v>
      </c>
      <c r="H80" t="s">
        <v>212</v>
      </c>
      <c r="I80" s="2">
        <v>45292</v>
      </c>
    </row>
    <row r="81" spans="1:9" x14ac:dyDescent="0.3">
      <c r="A81" t="s">
        <v>370</v>
      </c>
      <c r="B81" t="s">
        <v>371</v>
      </c>
      <c r="C81" t="s">
        <v>71</v>
      </c>
      <c r="D81" t="s">
        <v>51</v>
      </c>
      <c r="E81" t="s">
        <v>52</v>
      </c>
      <c r="F81" t="s">
        <v>53</v>
      </c>
      <c r="G81" t="s">
        <v>206</v>
      </c>
      <c r="H81" t="s">
        <v>219</v>
      </c>
      <c r="I81" s="2">
        <v>45292</v>
      </c>
    </row>
    <row r="82" spans="1:9" x14ac:dyDescent="0.3">
      <c r="A82" t="s">
        <v>372</v>
      </c>
      <c r="B82" t="s">
        <v>373</v>
      </c>
      <c r="C82" t="s">
        <v>80</v>
      </c>
      <c r="D82" t="s">
        <v>51</v>
      </c>
      <c r="E82" t="s">
        <v>52</v>
      </c>
      <c r="F82" t="s">
        <v>53</v>
      </c>
      <c r="G82" t="s">
        <v>222</v>
      </c>
      <c r="H82" t="s">
        <v>207</v>
      </c>
      <c r="I82" s="2">
        <v>45292</v>
      </c>
    </row>
    <row r="83" spans="1:9" x14ac:dyDescent="0.3">
      <c r="A83" t="s">
        <v>374</v>
      </c>
      <c r="B83" t="s">
        <v>375</v>
      </c>
      <c r="C83" t="s">
        <v>71</v>
      </c>
      <c r="D83" t="s">
        <v>210</v>
      </c>
      <c r="E83" t="s">
        <v>52</v>
      </c>
      <c r="F83" t="s">
        <v>59</v>
      </c>
      <c r="G83" t="s">
        <v>211</v>
      </c>
      <c r="H83" t="s">
        <v>207</v>
      </c>
      <c r="I83" s="2">
        <v>45292</v>
      </c>
    </row>
    <row r="84" spans="1:9" x14ac:dyDescent="0.3">
      <c r="A84" t="s">
        <v>376</v>
      </c>
      <c r="B84" t="s">
        <v>377</v>
      </c>
      <c r="C84" t="s">
        <v>84</v>
      </c>
      <c r="D84" t="s">
        <v>210</v>
      </c>
      <c r="E84" t="s">
        <v>52</v>
      </c>
      <c r="F84" t="s">
        <v>59</v>
      </c>
      <c r="G84" t="s">
        <v>222</v>
      </c>
      <c r="H84" t="s">
        <v>231</v>
      </c>
      <c r="I84" s="2">
        <v>45292</v>
      </c>
    </row>
    <row r="85" spans="1:9" x14ac:dyDescent="0.3">
      <c r="A85" t="s">
        <v>378</v>
      </c>
      <c r="B85" t="s">
        <v>379</v>
      </c>
      <c r="C85" t="s">
        <v>84</v>
      </c>
      <c r="D85" t="s">
        <v>57</v>
      </c>
      <c r="E85" t="s">
        <v>58</v>
      </c>
      <c r="F85" t="s">
        <v>59</v>
      </c>
      <c r="G85" t="s">
        <v>206</v>
      </c>
      <c r="H85" t="s">
        <v>231</v>
      </c>
      <c r="I85" s="2">
        <v>45292</v>
      </c>
    </row>
    <row r="86" spans="1:9" x14ac:dyDescent="0.3">
      <c r="A86" t="s">
        <v>380</v>
      </c>
      <c r="B86" t="s">
        <v>381</v>
      </c>
      <c r="C86" t="s">
        <v>76</v>
      </c>
      <c r="D86" t="s">
        <v>51</v>
      </c>
      <c r="E86" t="s">
        <v>52</v>
      </c>
      <c r="F86" t="s">
        <v>53</v>
      </c>
      <c r="G86" t="s">
        <v>222</v>
      </c>
      <c r="H86" t="s">
        <v>207</v>
      </c>
      <c r="I86" s="2">
        <v>45292</v>
      </c>
    </row>
    <row r="87" spans="1:9" x14ac:dyDescent="0.3">
      <c r="A87" t="s">
        <v>382</v>
      </c>
      <c r="B87" t="s">
        <v>383</v>
      </c>
      <c r="C87" t="s">
        <v>76</v>
      </c>
      <c r="D87" t="s">
        <v>45</v>
      </c>
      <c r="E87" t="s">
        <v>46</v>
      </c>
      <c r="F87" t="s">
        <v>47</v>
      </c>
      <c r="G87" t="s">
        <v>222</v>
      </c>
      <c r="H87" t="s">
        <v>207</v>
      </c>
      <c r="I87" s="2">
        <v>45292</v>
      </c>
    </row>
    <row r="88" spans="1:9" x14ac:dyDescent="0.3">
      <c r="A88" t="s">
        <v>384</v>
      </c>
      <c r="B88" t="s">
        <v>385</v>
      </c>
      <c r="C88" t="s">
        <v>71</v>
      </c>
      <c r="D88" t="s">
        <v>62</v>
      </c>
      <c r="E88" t="s">
        <v>63</v>
      </c>
      <c r="F88" t="s">
        <v>64</v>
      </c>
      <c r="G88" t="s">
        <v>206</v>
      </c>
      <c r="H88" t="s">
        <v>207</v>
      </c>
      <c r="I88" s="2">
        <v>45292</v>
      </c>
    </row>
    <row r="89" spans="1:9" x14ac:dyDescent="0.3">
      <c r="A89" t="s">
        <v>386</v>
      </c>
      <c r="B89" t="s">
        <v>387</v>
      </c>
      <c r="C89" t="s">
        <v>76</v>
      </c>
      <c r="D89" t="s">
        <v>51</v>
      </c>
      <c r="E89" t="s">
        <v>52</v>
      </c>
      <c r="F89" t="s">
        <v>53</v>
      </c>
      <c r="G89" t="s">
        <v>206</v>
      </c>
      <c r="H89" t="s">
        <v>219</v>
      </c>
      <c r="I89" s="2">
        <v>45292</v>
      </c>
    </row>
    <row r="90" spans="1:9" x14ac:dyDescent="0.3">
      <c r="A90" t="s">
        <v>388</v>
      </c>
      <c r="B90" t="s">
        <v>389</v>
      </c>
      <c r="C90" t="s">
        <v>80</v>
      </c>
      <c r="D90" t="s">
        <v>57</v>
      </c>
      <c r="E90" t="s">
        <v>58</v>
      </c>
      <c r="F90" t="s">
        <v>59</v>
      </c>
      <c r="G90" t="s">
        <v>206</v>
      </c>
      <c r="H90" t="s">
        <v>219</v>
      </c>
      <c r="I90" s="2">
        <v>45292</v>
      </c>
    </row>
    <row r="91" spans="1:9" x14ac:dyDescent="0.3">
      <c r="A91" t="s">
        <v>390</v>
      </c>
      <c r="B91" t="s">
        <v>391</v>
      </c>
      <c r="C91" t="s">
        <v>76</v>
      </c>
      <c r="D91" t="s">
        <v>210</v>
      </c>
      <c r="E91" t="s">
        <v>52</v>
      </c>
      <c r="F91" t="s">
        <v>59</v>
      </c>
      <c r="G91" t="s">
        <v>222</v>
      </c>
      <c r="H91" t="s">
        <v>219</v>
      </c>
      <c r="I91" s="2">
        <v>45292</v>
      </c>
    </row>
    <row r="92" spans="1:9" x14ac:dyDescent="0.3">
      <c r="A92" t="s">
        <v>392</v>
      </c>
      <c r="B92" t="s">
        <v>393</v>
      </c>
      <c r="C92" t="s">
        <v>76</v>
      </c>
      <c r="D92" t="s">
        <v>51</v>
      </c>
      <c r="E92" t="s">
        <v>52</v>
      </c>
      <c r="F92" t="s">
        <v>53</v>
      </c>
      <c r="G92" t="s">
        <v>222</v>
      </c>
      <c r="H92" t="s">
        <v>231</v>
      </c>
      <c r="I92" s="2">
        <v>45292</v>
      </c>
    </row>
    <row r="93" spans="1:9" x14ac:dyDescent="0.3">
      <c r="A93" t="s">
        <v>394</v>
      </c>
      <c r="B93" t="s">
        <v>395</v>
      </c>
      <c r="C93" t="s">
        <v>76</v>
      </c>
      <c r="D93" t="s">
        <v>210</v>
      </c>
      <c r="E93" t="s">
        <v>52</v>
      </c>
      <c r="F93" t="s">
        <v>59</v>
      </c>
      <c r="G93" t="s">
        <v>222</v>
      </c>
      <c r="H93" t="s">
        <v>207</v>
      </c>
      <c r="I93" s="2">
        <v>45292</v>
      </c>
    </row>
    <row r="94" spans="1:9" x14ac:dyDescent="0.3">
      <c r="A94" t="s">
        <v>396</v>
      </c>
      <c r="B94" t="s">
        <v>397</v>
      </c>
      <c r="C94" t="s">
        <v>84</v>
      </c>
      <c r="D94" t="s">
        <v>62</v>
      </c>
      <c r="E94" t="s">
        <v>63</v>
      </c>
      <c r="F94" t="s">
        <v>64</v>
      </c>
      <c r="G94" t="s">
        <v>211</v>
      </c>
      <c r="H94" t="s">
        <v>219</v>
      </c>
      <c r="I94" s="2">
        <v>45292</v>
      </c>
    </row>
    <row r="95" spans="1:9" x14ac:dyDescent="0.3">
      <c r="A95" t="s">
        <v>398</v>
      </c>
      <c r="B95" t="s">
        <v>399</v>
      </c>
      <c r="C95" t="s">
        <v>76</v>
      </c>
      <c r="D95" t="s">
        <v>62</v>
      </c>
      <c r="E95" t="s">
        <v>63</v>
      </c>
      <c r="F95" t="s">
        <v>64</v>
      </c>
      <c r="G95" t="s">
        <v>222</v>
      </c>
      <c r="H95" t="s">
        <v>212</v>
      </c>
      <c r="I95" s="2">
        <v>45292</v>
      </c>
    </row>
    <row r="96" spans="1:9" x14ac:dyDescent="0.3">
      <c r="A96" t="s">
        <v>400</v>
      </c>
      <c r="B96" t="s">
        <v>401</v>
      </c>
      <c r="C96" t="s">
        <v>76</v>
      </c>
      <c r="D96" t="s">
        <v>210</v>
      </c>
      <c r="E96" t="s">
        <v>52</v>
      </c>
      <c r="F96" t="s">
        <v>59</v>
      </c>
      <c r="G96" t="s">
        <v>211</v>
      </c>
      <c r="H96" t="s">
        <v>219</v>
      </c>
      <c r="I96" s="2">
        <v>45292</v>
      </c>
    </row>
    <row r="97" spans="1:9" x14ac:dyDescent="0.3">
      <c r="A97" t="s">
        <v>402</v>
      </c>
      <c r="B97" t="s">
        <v>403</v>
      </c>
      <c r="C97" t="s">
        <v>76</v>
      </c>
      <c r="D97" t="s">
        <v>62</v>
      </c>
      <c r="E97" t="s">
        <v>63</v>
      </c>
      <c r="F97" t="s">
        <v>64</v>
      </c>
      <c r="G97" t="s">
        <v>222</v>
      </c>
      <c r="H97" t="s">
        <v>207</v>
      </c>
      <c r="I97" s="2">
        <v>45292</v>
      </c>
    </row>
    <row r="98" spans="1:9" x14ac:dyDescent="0.3">
      <c r="A98" t="s">
        <v>404</v>
      </c>
      <c r="B98" t="s">
        <v>405</v>
      </c>
      <c r="C98" t="s">
        <v>76</v>
      </c>
      <c r="D98" t="s">
        <v>210</v>
      </c>
      <c r="E98" t="s">
        <v>52</v>
      </c>
      <c r="F98" t="s">
        <v>59</v>
      </c>
      <c r="G98" t="s">
        <v>222</v>
      </c>
      <c r="H98" t="s">
        <v>219</v>
      </c>
      <c r="I98" s="2">
        <v>45292</v>
      </c>
    </row>
    <row r="99" spans="1:9" x14ac:dyDescent="0.3">
      <c r="A99" t="s">
        <v>406</v>
      </c>
      <c r="B99" t="s">
        <v>407</v>
      </c>
      <c r="C99" t="s">
        <v>76</v>
      </c>
      <c r="D99" t="s">
        <v>210</v>
      </c>
      <c r="E99" t="s">
        <v>52</v>
      </c>
      <c r="F99" t="s">
        <v>59</v>
      </c>
      <c r="G99" t="s">
        <v>211</v>
      </c>
      <c r="H99" t="s">
        <v>212</v>
      </c>
      <c r="I99" s="2">
        <v>45292</v>
      </c>
    </row>
    <row r="100" spans="1:9" x14ac:dyDescent="0.3">
      <c r="A100" t="s">
        <v>408</v>
      </c>
      <c r="B100" t="s">
        <v>409</v>
      </c>
      <c r="C100" t="s">
        <v>76</v>
      </c>
      <c r="D100" t="s">
        <v>45</v>
      </c>
      <c r="E100" t="s">
        <v>46</v>
      </c>
      <c r="F100" t="s">
        <v>47</v>
      </c>
      <c r="G100" t="s">
        <v>206</v>
      </c>
      <c r="H100" t="s">
        <v>219</v>
      </c>
      <c r="I100" s="2">
        <v>45292</v>
      </c>
    </row>
    <row r="101" spans="1:9" x14ac:dyDescent="0.3">
      <c r="A101" t="s">
        <v>410</v>
      </c>
      <c r="B101" t="s">
        <v>411</v>
      </c>
      <c r="C101" t="s">
        <v>71</v>
      </c>
      <c r="D101" t="s">
        <v>62</v>
      </c>
      <c r="E101" t="s">
        <v>63</v>
      </c>
      <c r="F101" t="s">
        <v>64</v>
      </c>
      <c r="G101" t="s">
        <v>211</v>
      </c>
      <c r="H101" t="s">
        <v>207</v>
      </c>
      <c r="I101" s="2">
        <v>45292</v>
      </c>
    </row>
    <row r="102" spans="1:9" x14ac:dyDescent="0.3">
      <c r="A102" t="s">
        <v>412</v>
      </c>
      <c r="B102" t="s">
        <v>413</v>
      </c>
      <c r="C102" t="s">
        <v>80</v>
      </c>
      <c r="D102" t="s">
        <v>45</v>
      </c>
      <c r="E102" t="s">
        <v>46</v>
      </c>
      <c r="F102" t="s">
        <v>47</v>
      </c>
      <c r="G102" t="s">
        <v>222</v>
      </c>
      <c r="H102" t="s">
        <v>207</v>
      </c>
      <c r="I102" s="2">
        <v>45292</v>
      </c>
    </row>
    <row r="103" spans="1:9" x14ac:dyDescent="0.3">
      <c r="A103" t="s">
        <v>414</v>
      </c>
      <c r="B103" t="s">
        <v>415</v>
      </c>
      <c r="C103" t="s">
        <v>71</v>
      </c>
      <c r="D103" t="s">
        <v>210</v>
      </c>
      <c r="E103" t="s">
        <v>52</v>
      </c>
      <c r="F103" t="s">
        <v>59</v>
      </c>
      <c r="G103" t="s">
        <v>222</v>
      </c>
      <c r="H103" t="s">
        <v>219</v>
      </c>
      <c r="I103" s="2">
        <v>45292</v>
      </c>
    </row>
    <row r="104" spans="1:9" x14ac:dyDescent="0.3">
      <c r="A104" t="s">
        <v>416</v>
      </c>
      <c r="B104" t="s">
        <v>417</v>
      </c>
      <c r="C104" t="s">
        <v>80</v>
      </c>
      <c r="D104" t="s">
        <v>51</v>
      </c>
      <c r="E104" t="s">
        <v>52</v>
      </c>
      <c r="F104" t="s">
        <v>53</v>
      </c>
      <c r="G104" t="s">
        <v>222</v>
      </c>
      <c r="H104" t="s">
        <v>207</v>
      </c>
      <c r="I104" s="2">
        <v>45292</v>
      </c>
    </row>
    <row r="105" spans="1:9" x14ac:dyDescent="0.3">
      <c r="A105" t="s">
        <v>418</v>
      </c>
      <c r="B105" t="s">
        <v>419</v>
      </c>
      <c r="C105" t="s">
        <v>71</v>
      </c>
      <c r="D105" t="s">
        <v>62</v>
      </c>
      <c r="E105" t="s">
        <v>63</v>
      </c>
      <c r="F105" t="s">
        <v>64</v>
      </c>
      <c r="G105" t="s">
        <v>211</v>
      </c>
      <c r="H105" t="s">
        <v>212</v>
      </c>
      <c r="I105" s="2">
        <v>45292</v>
      </c>
    </row>
    <row r="106" spans="1:9" x14ac:dyDescent="0.3">
      <c r="A106" t="s">
        <v>420</v>
      </c>
      <c r="B106" t="s">
        <v>421</v>
      </c>
      <c r="C106" t="s">
        <v>76</v>
      </c>
      <c r="D106" t="s">
        <v>45</v>
      </c>
      <c r="E106" t="s">
        <v>46</v>
      </c>
      <c r="F106" t="s">
        <v>47</v>
      </c>
      <c r="G106" t="s">
        <v>211</v>
      </c>
      <c r="H106" t="s">
        <v>212</v>
      </c>
      <c r="I106" s="2">
        <v>45292</v>
      </c>
    </row>
    <row r="107" spans="1:9" x14ac:dyDescent="0.3">
      <c r="A107" t="s">
        <v>422</v>
      </c>
      <c r="B107" t="s">
        <v>423</v>
      </c>
      <c r="C107" t="s">
        <v>76</v>
      </c>
      <c r="D107" t="s">
        <v>51</v>
      </c>
      <c r="E107" t="s">
        <v>52</v>
      </c>
      <c r="F107" t="s">
        <v>53</v>
      </c>
      <c r="G107" t="s">
        <v>211</v>
      </c>
      <c r="H107" t="s">
        <v>219</v>
      </c>
      <c r="I107" s="2">
        <v>45292</v>
      </c>
    </row>
    <row r="108" spans="1:9" x14ac:dyDescent="0.3">
      <c r="A108" t="s">
        <v>424</v>
      </c>
      <c r="B108" t="s">
        <v>425</v>
      </c>
      <c r="C108" t="s">
        <v>76</v>
      </c>
      <c r="D108" t="s">
        <v>210</v>
      </c>
      <c r="E108" t="s">
        <v>52</v>
      </c>
      <c r="F108" t="s">
        <v>59</v>
      </c>
      <c r="G108" t="s">
        <v>211</v>
      </c>
      <c r="H108" t="s">
        <v>212</v>
      </c>
      <c r="I108" s="2">
        <v>45292</v>
      </c>
    </row>
    <row r="109" spans="1:9" x14ac:dyDescent="0.3">
      <c r="A109" t="s">
        <v>426</v>
      </c>
      <c r="B109" t="s">
        <v>427</v>
      </c>
      <c r="C109" t="s">
        <v>76</v>
      </c>
      <c r="D109" t="s">
        <v>210</v>
      </c>
      <c r="E109" t="s">
        <v>52</v>
      </c>
      <c r="F109" t="s">
        <v>59</v>
      </c>
      <c r="G109" t="s">
        <v>206</v>
      </c>
      <c r="H109" t="s">
        <v>207</v>
      </c>
      <c r="I109" s="2">
        <v>45292</v>
      </c>
    </row>
    <row r="110" spans="1:9" x14ac:dyDescent="0.3">
      <c r="A110" t="s">
        <v>428</v>
      </c>
      <c r="B110" t="s">
        <v>429</v>
      </c>
      <c r="C110" t="s">
        <v>76</v>
      </c>
      <c r="D110" t="s">
        <v>57</v>
      </c>
      <c r="E110" t="s">
        <v>58</v>
      </c>
      <c r="F110" t="s">
        <v>59</v>
      </c>
      <c r="G110" t="s">
        <v>222</v>
      </c>
      <c r="H110" t="s">
        <v>212</v>
      </c>
      <c r="I110" s="2">
        <v>45292</v>
      </c>
    </row>
    <row r="111" spans="1:9" x14ac:dyDescent="0.3">
      <c r="A111" t="s">
        <v>430</v>
      </c>
      <c r="B111" t="s">
        <v>431</v>
      </c>
      <c r="C111" t="s">
        <v>71</v>
      </c>
      <c r="D111" t="s">
        <v>62</v>
      </c>
      <c r="E111" t="s">
        <v>63</v>
      </c>
      <c r="F111" t="s">
        <v>64</v>
      </c>
      <c r="G111" t="s">
        <v>211</v>
      </c>
      <c r="H111" t="s">
        <v>207</v>
      </c>
      <c r="I111" s="2">
        <v>45292</v>
      </c>
    </row>
    <row r="112" spans="1:9" x14ac:dyDescent="0.3">
      <c r="A112" t="s">
        <v>432</v>
      </c>
      <c r="B112" t="s">
        <v>433</v>
      </c>
      <c r="C112" t="s">
        <v>76</v>
      </c>
      <c r="D112" t="s">
        <v>45</v>
      </c>
      <c r="E112" t="s">
        <v>46</v>
      </c>
      <c r="F112" t="s">
        <v>47</v>
      </c>
      <c r="G112" t="s">
        <v>211</v>
      </c>
      <c r="H112" t="s">
        <v>207</v>
      </c>
      <c r="I112" s="2">
        <v>45292</v>
      </c>
    </row>
    <row r="113" spans="1:9" x14ac:dyDescent="0.3">
      <c r="A113" t="s">
        <v>434</v>
      </c>
      <c r="B113" t="s">
        <v>435</v>
      </c>
      <c r="C113" t="s">
        <v>84</v>
      </c>
      <c r="D113" t="s">
        <v>51</v>
      </c>
      <c r="E113" t="s">
        <v>52</v>
      </c>
      <c r="F113" t="s">
        <v>53</v>
      </c>
      <c r="G113" t="s">
        <v>211</v>
      </c>
      <c r="H113" t="s">
        <v>231</v>
      </c>
      <c r="I113" s="2">
        <v>45292</v>
      </c>
    </row>
    <row r="114" spans="1:9" x14ac:dyDescent="0.3">
      <c r="A114" t="s">
        <v>436</v>
      </c>
      <c r="B114" t="s">
        <v>437</v>
      </c>
      <c r="C114" t="s">
        <v>76</v>
      </c>
      <c r="D114" t="s">
        <v>210</v>
      </c>
      <c r="E114" t="s">
        <v>52</v>
      </c>
      <c r="F114" t="s">
        <v>59</v>
      </c>
      <c r="G114" t="s">
        <v>222</v>
      </c>
      <c r="H114" t="s">
        <v>207</v>
      </c>
      <c r="I114" s="2">
        <v>45292</v>
      </c>
    </row>
    <row r="115" spans="1:9" x14ac:dyDescent="0.3">
      <c r="A115" t="s">
        <v>438</v>
      </c>
      <c r="B115" t="s">
        <v>439</v>
      </c>
      <c r="C115" t="s">
        <v>71</v>
      </c>
      <c r="D115" t="s">
        <v>210</v>
      </c>
      <c r="E115" t="s">
        <v>52</v>
      </c>
      <c r="F115" t="s">
        <v>59</v>
      </c>
      <c r="G115" t="s">
        <v>206</v>
      </c>
      <c r="H115" t="s">
        <v>212</v>
      </c>
      <c r="I115" s="2">
        <v>45292</v>
      </c>
    </row>
    <row r="116" spans="1:9" x14ac:dyDescent="0.3">
      <c r="A116" t="s">
        <v>440</v>
      </c>
      <c r="B116" t="s">
        <v>441</v>
      </c>
      <c r="C116" t="s">
        <v>80</v>
      </c>
      <c r="D116" t="s">
        <v>51</v>
      </c>
      <c r="E116" t="s">
        <v>52</v>
      </c>
      <c r="F116" t="s">
        <v>53</v>
      </c>
      <c r="G116" t="s">
        <v>211</v>
      </c>
      <c r="H116" t="s">
        <v>207</v>
      </c>
      <c r="I116" s="2">
        <v>45292</v>
      </c>
    </row>
    <row r="117" spans="1:9" x14ac:dyDescent="0.3">
      <c r="A117" t="s">
        <v>442</v>
      </c>
      <c r="B117" t="s">
        <v>443</v>
      </c>
      <c r="C117" t="s">
        <v>84</v>
      </c>
      <c r="D117" t="s">
        <v>210</v>
      </c>
      <c r="E117" t="s">
        <v>52</v>
      </c>
      <c r="F117" t="s">
        <v>59</v>
      </c>
      <c r="G117" t="s">
        <v>211</v>
      </c>
      <c r="H117" t="s">
        <v>231</v>
      </c>
      <c r="I117" s="2">
        <v>45292</v>
      </c>
    </row>
    <row r="118" spans="1:9" x14ac:dyDescent="0.3">
      <c r="A118" t="s">
        <v>444</v>
      </c>
      <c r="B118" t="s">
        <v>445</v>
      </c>
      <c r="C118" t="s">
        <v>76</v>
      </c>
      <c r="D118" t="s">
        <v>210</v>
      </c>
      <c r="E118" t="s">
        <v>52</v>
      </c>
      <c r="F118" t="s">
        <v>59</v>
      </c>
      <c r="G118" t="s">
        <v>211</v>
      </c>
      <c r="H118" t="s">
        <v>207</v>
      </c>
      <c r="I118" s="2">
        <v>45292</v>
      </c>
    </row>
    <row r="119" spans="1:9" x14ac:dyDescent="0.3">
      <c r="A119" t="s">
        <v>446</v>
      </c>
      <c r="B119" t="s">
        <v>447</v>
      </c>
      <c r="C119" t="s">
        <v>80</v>
      </c>
      <c r="D119" t="s">
        <v>45</v>
      </c>
      <c r="E119" t="s">
        <v>46</v>
      </c>
      <c r="F119" t="s">
        <v>47</v>
      </c>
      <c r="G119" t="s">
        <v>206</v>
      </c>
      <c r="H119" t="s">
        <v>219</v>
      </c>
      <c r="I119" s="2">
        <v>45292</v>
      </c>
    </row>
    <row r="120" spans="1:9" x14ac:dyDescent="0.3">
      <c r="A120" t="s">
        <v>448</v>
      </c>
      <c r="B120" t="s">
        <v>449</v>
      </c>
      <c r="C120" t="s">
        <v>76</v>
      </c>
      <c r="D120" t="s">
        <v>210</v>
      </c>
      <c r="E120" t="s">
        <v>52</v>
      </c>
      <c r="F120" t="s">
        <v>59</v>
      </c>
      <c r="G120" t="s">
        <v>222</v>
      </c>
      <c r="H120" t="s">
        <v>212</v>
      </c>
      <c r="I120" s="2">
        <v>45292</v>
      </c>
    </row>
    <row r="121" spans="1:9" x14ac:dyDescent="0.3">
      <c r="A121" t="s">
        <v>450</v>
      </c>
      <c r="B121" t="s">
        <v>451</v>
      </c>
      <c r="C121" t="s">
        <v>76</v>
      </c>
      <c r="D121" t="s">
        <v>210</v>
      </c>
      <c r="E121" t="s">
        <v>52</v>
      </c>
      <c r="F121" t="s">
        <v>59</v>
      </c>
      <c r="G121" t="s">
        <v>211</v>
      </c>
      <c r="H121" t="s">
        <v>231</v>
      </c>
      <c r="I121" s="2">
        <v>45292</v>
      </c>
    </row>
    <row r="122" spans="1:9" x14ac:dyDescent="0.3">
      <c r="A122" t="s">
        <v>452</v>
      </c>
      <c r="B122" t="s">
        <v>453</v>
      </c>
      <c r="C122" t="s">
        <v>76</v>
      </c>
      <c r="D122" t="s">
        <v>57</v>
      </c>
      <c r="E122" t="s">
        <v>58</v>
      </c>
      <c r="F122" t="s">
        <v>59</v>
      </c>
      <c r="G122" t="s">
        <v>211</v>
      </c>
      <c r="H122" t="s">
        <v>219</v>
      </c>
      <c r="I122" s="2">
        <v>45292</v>
      </c>
    </row>
    <row r="123" spans="1:9" x14ac:dyDescent="0.3">
      <c r="A123" t="s">
        <v>454</v>
      </c>
      <c r="B123" t="s">
        <v>455</v>
      </c>
      <c r="C123" t="s">
        <v>80</v>
      </c>
      <c r="D123" t="s">
        <v>45</v>
      </c>
      <c r="E123" t="s">
        <v>46</v>
      </c>
      <c r="F123" t="s">
        <v>47</v>
      </c>
      <c r="G123" t="s">
        <v>206</v>
      </c>
      <c r="H123" t="s">
        <v>207</v>
      </c>
      <c r="I123" s="2">
        <v>45292</v>
      </c>
    </row>
    <row r="124" spans="1:9" x14ac:dyDescent="0.3">
      <c r="A124" t="s">
        <v>456</v>
      </c>
      <c r="B124" t="s">
        <v>457</v>
      </c>
      <c r="C124" t="s">
        <v>71</v>
      </c>
      <c r="D124" t="s">
        <v>45</v>
      </c>
      <c r="E124" t="s">
        <v>46</v>
      </c>
      <c r="F124" t="s">
        <v>47</v>
      </c>
      <c r="G124" t="s">
        <v>222</v>
      </c>
      <c r="H124" t="s">
        <v>212</v>
      </c>
      <c r="I124" s="2">
        <v>45292</v>
      </c>
    </row>
    <row r="125" spans="1:9" x14ac:dyDescent="0.3">
      <c r="A125" t="s">
        <v>458</v>
      </c>
      <c r="B125" t="s">
        <v>459</v>
      </c>
      <c r="C125" t="s">
        <v>76</v>
      </c>
      <c r="D125" t="s">
        <v>57</v>
      </c>
      <c r="E125" t="s">
        <v>58</v>
      </c>
      <c r="F125" t="s">
        <v>59</v>
      </c>
      <c r="G125" t="s">
        <v>211</v>
      </c>
      <c r="H125" t="s">
        <v>219</v>
      </c>
      <c r="I125" s="2">
        <v>45292</v>
      </c>
    </row>
    <row r="126" spans="1:9" x14ac:dyDescent="0.3">
      <c r="A126" t="s">
        <v>460</v>
      </c>
      <c r="B126" t="s">
        <v>461</v>
      </c>
      <c r="C126" t="s">
        <v>71</v>
      </c>
      <c r="D126" t="s">
        <v>210</v>
      </c>
      <c r="E126" t="s">
        <v>52</v>
      </c>
      <c r="F126" t="s">
        <v>59</v>
      </c>
      <c r="G126" t="s">
        <v>211</v>
      </c>
      <c r="H126" t="s">
        <v>219</v>
      </c>
      <c r="I126" s="2">
        <v>45292</v>
      </c>
    </row>
    <row r="127" spans="1:9" x14ac:dyDescent="0.3">
      <c r="A127" t="s">
        <v>462</v>
      </c>
      <c r="B127" t="s">
        <v>463</v>
      </c>
      <c r="C127" t="s">
        <v>76</v>
      </c>
      <c r="D127" t="s">
        <v>210</v>
      </c>
      <c r="E127" t="s">
        <v>52</v>
      </c>
      <c r="F127" t="s">
        <v>59</v>
      </c>
      <c r="G127" t="s">
        <v>206</v>
      </c>
      <c r="H127" t="s">
        <v>207</v>
      </c>
      <c r="I127" s="2">
        <v>45292</v>
      </c>
    </row>
    <row r="128" spans="1:9" x14ac:dyDescent="0.3">
      <c r="A128" t="s">
        <v>464</v>
      </c>
      <c r="B128" t="s">
        <v>465</v>
      </c>
      <c r="C128" t="s">
        <v>80</v>
      </c>
      <c r="D128" t="s">
        <v>62</v>
      </c>
      <c r="E128" t="s">
        <v>63</v>
      </c>
      <c r="F128" t="s">
        <v>64</v>
      </c>
      <c r="G128" t="s">
        <v>206</v>
      </c>
      <c r="H128" t="s">
        <v>212</v>
      </c>
      <c r="I128" s="2">
        <v>45292</v>
      </c>
    </row>
    <row r="129" spans="1:9" x14ac:dyDescent="0.3">
      <c r="A129" t="s">
        <v>466</v>
      </c>
      <c r="B129" t="s">
        <v>467</v>
      </c>
      <c r="C129" t="s">
        <v>80</v>
      </c>
      <c r="D129" t="s">
        <v>45</v>
      </c>
      <c r="E129" t="s">
        <v>46</v>
      </c>
      <c r="F129" t="s">
        <v>47</v>
      </c>
      <c r="G129" t="s">
        <v>211</v>
      </c>
      <c r="H129" t="s">
        <v>219</v>
      </c>
      <c r="I129" s="2">
        <v>45292</v>
      </c>
    </row>
    <row r="130" spans="1:9" x14ac:dyDescent="0.3">
      <c r="A130" t="s">
        <v>468</v>
      </c>
      <c r="B130" t="s">
        <v>469</v>
      </c>
      <c r="C130" t="s">
        <v>76</v>
      </c>
      <c r="D130" t="s">
        <v>57</v>
      </c>
      <c r="E130" t="s">
        <v>58</v>
      </c>
      <c r="F130" t="s">
        <v>59</v>
      </c>
      <c r="G130" t="s">
        <v>222</v>
      </c>
      <c r="H130" t="s">
        <v>219</v>
      </c>
      <c r="I130" s="2">
        <v>45292</v>
      </c>
    </row>
    <row r="131" spans="1:9" x14ac:dyDescent="0.3">
      <c r="A131" t="s">
        <v>470</v>
      </c>
      <c r="B131" t="s">
        <v>471</v>
      </c>
      <c r="C131" t="s">
        <v>76</v>
      </c>
      <c r="D131" t="s">
        <v>210</v>
      </c>
      <c r="E131" t="s">
        <v>52</v>
      </c>
      <c r="F131" t="s">
        <v>59</v>
      </c>
      <c r="G131" t="s">
        <v>206</v>
      </c>
      <c r="H131" t="s">
        <v>212</v>
      </c>
      <c r="I131" s="2">
        <v>45292</v>
      </c>
    </row>
    <row r="132" spans="1:9" x14ac:dyDescent="0.3">
      <c r="A132" t="s">
        <v>472</v>
      </c>
      <c r="B132" t="s">
        <v>473</v>
      </c>
      <c r="C132" t="s">
        <v>71</v>
      </c>
      <c r="D132" t="s">
        <v>45</v>
      </c>
      <c r="E132" t="s">
        <v>46</v>
      </c>
      <c r="F132" t="s">
        <v>47</v>
      </c>
      <c r="G132" t="s">
        <v>211</v>
      </c>
      <c r="H132" t="s">
        <v>207</v>
      </c>
      <c r="I132" s="2">
        <v>45292</v>
      </c>
    </row>
    <row r="133" spans="1:9" x14ac:dyDescent="0.3">
      <c r="A133" t="s">
        <v>474</v>
      </c>
      <c r="B133" t="s">
        <v>475</v>
      </c>
      <c r="C133" t="s">
        <v>84</v>
      </c>
      <c r="D133" t="s">
        <v>62</v>
      </c>
      <c r="E133" t="s">
        <v>63</v>
      </c>
      <c r="F133" t="s">
        <v>64</v>
      </c>
      <c r="G133" t="s">
        <v>206</v>
      </c>
      <c r="H133" t="s">
        <v>231</v>
      </c>
      <c r="I133" s="2">
        <v>45292</v>
      </c>
    </row>
    <row r="134" spans="1:9" x14ac:dyDescent="0.3">
      <c r="A134" t="s">
        <v>476</v>
      </c>
      <c r="B134" t="s">
        <v>477</v>
      </c>
      <c r="C134" t="s">
        <v>71</v>
      </c>
      <c r="D134" t="s">
        <v>51</v>
      </c>
      <c r="E134" t="s">
        <v>52</v>
      </c>
      <c r="F134" t="s">
        <v>53</v>
      </c>
      <c r="G134" t="s">
        <v>206</v>
      </c>
      <c r="H134" t="s">
        <v>207</v>
      </c>
      <c r="I134" s="2">
        <v>45292</v>
      </c>
    </row>
    <row r="135" spans="1:9" x14ac:dyDescent="0.3">
      <c r="A135" t="s">
        <v>478</v>
      </c>
      <c r="B135" t="s">
        <v>479</v>
      </c>
      <c r="C135" t="s">
        <v>76</v>
      </c>
      <c r="D135" t="s">
        <v>210</v>
      </c>
      <c r="E135" t="s">
        <v>52</v>
      </c>
      <c r="F135" t="s">
        <v>59</v>
      </c>
      <c r="G135" t="s">
        <v>206</v>
      </c>
      <c r="H135" t="s">
        <v>207</v>
      </c>
      <c r="I135" s="2">
        <v>45292</v>
      </c>
    </row>
    <row r="136" spans="1:9" x14ac:dyDescent="0.3">
      <c r="A136" t="s">
        <v>480</v>
      </c>
      <c r="B136" t="s">
        <v>481</v>
      </c>
      <c r="C136" t="s">
        <v>76</v>
      </c>
      <c r="D136" t="s">
        <v>62</v>
      </c>
      <c r="E136" t="s">
        <v>63</v>
      </c>
      <c r="F136" t="s">
        <v>64</v>
      </c>
      <c r="G136" t="s">
        <v>211</v>
      </c>
      <c r="H136" t="s">
        <v>212</v>
      </c>
      <c r="I136" s="2">
        <v>45292</v>
      </c>
    </row>
    <row r="137" spans="1:9" x14ac:dyDescent="0.3">
      <c r="A137" t="s">
        <v>482</v>
      </c>
      <c r="B137" t="s">
        <v>483</v>
      </c>
      <c r="C137" t="s">
        <v>80</v>
      </c>
      <c r="D137" t="s">
        <v>51</v>
      </c>
      <c r="E137" t="s">
        <v>52</v>
      </c>
      <c r="F137" t="s">
        <v>53</v>
      </c>
      <c r="G137" t="s">
        <v>206</v>
      </c>
      <c r="H137" t="s">
        <v>219</v>
      </c>
      <c r="I137" s="2">
        <v>45292</v>
      </c>
    </row>
    <row r="138" spans="1:9" x14ac:dyDescent="0.3">
      <c r="A138" t="s">
        <v>484</v>
      </c>
      <c r="B138" t="s">
        <v>485</v>
      </c>
      <c r="C138" t="s">
        <v>76</v>
      </c>
      <c r="D138" t="s">
        <v>45</v>
      </c>
      <c r="E138" t="s">
        <v>46</v>
      </c>
      <c r="F138" t="s">
        <v>47</v>
      </c>
      <c r="G138" t="s">
        <v>222</v>
      </c>
      <c r="H138" t="s">
        <v>207</v>
      </c>
      <c r="I138" s="2">
        <v>45292</v>
      </c>
    </row>
    <row r="139" spans="1:9" x14ac:dyDescent="0.3">
      <c r="A139" t="s">
        <v>486</v>
      </c>
      <c r="B139" t="s">
        <v>487</v>
      </c>
      <c r="C139" t="s">
        <v>76</v>
      </c>
      <c r="D139" t="s">
        <v>62</v>
      </c>
      <c r="E139" t="s">
        <v>63</v>
      </c>
      <c r="F139" t="s">
        <v>64</v>
      </c>
      <c r="G139" t="s">
        <v>211</v>
      </c>
      <c r="H139" t="s">
        <v>212</v>
      </c>
      <c r="I139" s="2">
        <v>45292</v>
      </c>
    </row>
    <row r="140" spans="1:9" x14ac:dyDescent="0.3">
      <c r="A140" t="s">
        <v>488</v>
      </c>
      <c r="B140" t="s">
        <v>489</v>
      </c>
      <c r="C140" t="s">
        <v>76</v>
      </c>
      <c r="D140" t="s">
        <v>57</v>
      </c>
      <c r="E140" t="s">
        <v>58</v>
      </c>
      <c r="F140" t="s">
        <v>59</v>
      </c>
      <c r="G140" t="s">
        <v>222</v>
      </c>
      <c r="H140" t="s">
        <v>212</v>
      </c>
      <c r="I140" s="2">
        <v>45292</v>
      </c>
    </row>
    <row r="141" spans="1:9" x14ac:dyDescent="0.3">
      <c r="A141" t="s">
        <v>490</v>
      </c>
      <c r="B141" t="s">
        <v>491</v>
      </c>
      <c r="C141" t="s">
        <v>84</v>
      </c>
      <c r="D141" t="s">
        <v>45</v>
      </c>
      <c r="E141" t="s">
        <v>46</v>
      </c>
      <c r="F141" t="s">
        <v>47</v>
      </c>
      <c r="G141" t="s">
        <v>222</v>
      </c>
      <c r="H141" t="s">
        <v>207</v>
      </c>
      <c r="I141" s="2">
        <v>45292</v>
      </c>
    </row>
    <row r="142" spans="1:9" x14ac:dyDescent="0.3">
      <c r="A142" t="s">
        <v>492</v>
      </c>
      <c r="B142" t="s">
        <v>493</v>
      </c>
      <c r="C142" t="s">
        <v>80</v>
      </c>
      <c r="D142" t="s">
        <v>62</v>
      </c>
      <c r="E142" t="s">
        <v>63</v>
      </c>
      <c r="F142" t="s">
        <v>64</v>
      </c>
      <c r="G142" t="s">
        <v>211</v>
      </c>
      <c r="H142" t="s">
        <v>231</v>
      </c>
      <c r="I142" s="2">
        <v>45292</v>
      </c>
    </row>
    <row r="143" spans="1:9" x14ac:dyDescent="0.3">
      <c r="A143" t="s">
        <v>494</v>
      </c>
      <c r="B143" t="s">
        <v>495</v>
      </c>
      <c r="C143" t="s">
        <v>76</v>
      </c>
      <c r="D143" t="s">
        <v>210</v>
      </c>
      <c r="E143" t="s">
        <v>52</v>
      </c>
      <c r="F143" t="s">
        <v>59</v>
      </c>
      <c r="G143" t="s">
        <v>206</v>
      </c>
      <c r="H143" t="s">
        <v>212</v>
      </c>
      <c r="I143" s="2">
        <v>45292</v>
      </c>
    </row>
    <row r="144" spans="1:9" x14ac:dyDescent="0.3">
      <c r="A144" t="s">
        <v>496</v>
      </c>
      <c r="B144" t="s">
        <v>497</v>
      </c>
      <c r="C144" t="s">
        <v>76</v>
      </c>
      <c r="D144" t="s">
        <v>62</v>
      </c>
      <c r="E144" t="s">
        <v>63</v>
      </c>
      <c r="F144" t="s">
        <v>64</v>
      </c>
      <c r="G144" t="s">
        <v>211</v>
      </c>
      <c r="H144" t="s">
        <v>219</v>
      </c>
      <c r="I144" s="2">
        <v>45292</v>
      </c>
    </row>
    <row r="145" spans="1:9" x14ac:dyDescent="0.3">
      <c r="A145" t="s">
        <v>498</v>
      </c>
      <c r="B145" t="s">
        <v>499</v>
      </c>
      <c r="C145" t="s">
        <v>76</v>
      </c>
      <c r="D145" t="s">
        <v>57</v>
      </c>
      <c r="E145" t="s">
        <v>58</v>
      </c>
      <c r="F145" t="s">
        <v>59</v>
      </c>
      <c r="G145" t="s">
        <v>211</v>
      </c>
      <c r="H145" t="s">
        <v>231</v>
      </c>
      <c r="I145" s="2">
        <v>45292</v>
      </c>
    </row>
    <row r="146" spans="1:9" x14ac:dyDescent="0.3">
      <c r="A146" t="s">
        <v>500</v>
      </c>
      <c r="B146" t="s">
        <v>501</v>
      </c>
      <c r="C146" t="s">
        <v>84</v>
      </c>
      <c r="D146" t="s">
        <v>210</v>
      </c>
      <c r="E146" t="s">
        <v>52</v>
      </c>
      <c r="F146" t="s">
        <v>59</v>
      </c>
      <c r="G146" t="s">
        <v>211</v>
      </c>
      <c r="H146" t="s">
        <v>207</v>
      </c>
      <c r="I146" s="2">
        <v>45292</v>
      </c>
    </row>
    <row r="147" spans="1:9" x14ac:dyDescent="0.3">
      <c r="A147" t="s">
        <v>502</v>
      </c>
      <c r="B147" t="s">
        <v>503</v>
      </c>
      <c r="C147" t="s">
        <v>80</v>
      </c>
      <c r="D147" t="s">
        <v>45</v>
      </c>
      <c r="E147" t="s">
        <v>46</v>
      </c>
      <c r="F147" t="s">
        <v>47</v>
      </c>
      <c r="G147" t="s">
        <v>211</v>
      </c>
      <c r="H147" t="s">
        <v>212</v>
      </c>
      <c r="I147" s="2">
        <v>45292</v>
      </c>
    </row>
    <row r="148" spans="1:9" x14ac:dyDescent="0.3">
      <c r="A148" t="s">
        <v>504</v>
      </c>
      <c r="B148" t="s">
        <v>505</v>
      </c>
      <c r="C148" t="s">
        <v>76</v>
      </c>
      <c r="D148" t="s">
        <v>51</v>
      </c>
      <c r="E148" t="s">
        <v>52</v>
      </c>
      <c r="F148" t="s">
        <v>53</v>
      </c>
      <c r="G148" t="s">
        <v>211</v>
      </c>
      <c r="H148" t="s">
        <v>219</v>
      </c>
      <c r="I148" s="2">
        <v>45292</v>
      </c>
    </row>
    <row r="149" spans="1:9" x14ac:dyDescent="0.3">
      <c r="A149" t="s">
        <v>506</v>
      </c>
      <c r="B149" t="s">
        <v>507</v>
      </c>
      <c r="C149" t="s">
        <v>84</v>
      </c>
      <c r="D149" t="s">
        <v>45</v>
      </c>
      <c r="E149" t="s">
        <v>46</v>
      </c>
      <c r="F149" t="s">
        <v>47</v>
      </c>
      <c r="G149" t="s">
        <v>211</v>
      </c>
      <c r="H149" t="s">
        <v>212</v>
      </c>
      <c r="I149" s="2">
        <v>45292</v>
      </c>
    </row>
    <row r="150" spans="1:9" x14ac:dyDescent="0.3">
      <c r="A150" t="s">
        <v>508</v>
      </c>
      <c r="B150" t="s">
        <v>509</v>
      </c>
      <c r="C150" t="s">
        <v>71</v>
      </c>
      <c r="D150" t="s">
        <v>57</v>
      </c>
      <c r="E150" t="s">
        <v>58</v>
      </c>
      <c r="F150" t="s">
        <v>59</v>
      </c>
      <c r="G150" t="s">
        <v>206</v>
      </c>
      <c r="H150" t="s">
        <v>207</v>
      </c>
      <c r="I150" s="2">
        <v>45292</v>
      </c>
    </row>
    <row r="151" spans="1:9" x14ac:dyDescent="0.3">
      <c r="A151" t="s">
        <v>510</v>
      </c>
      <c r="B151" t="s">
        <v>511</v>
      </c>
      <c r="C151" t="s">
        <v>76</v>
      </c>
      <c r="D151" t="s">
        <v>51</v>
      </c>
      <c r="E151" t="s">
        <v>52</v>
      </c>
      <c r="F151" t="s">
        <v>53</v>
      </c>
      <c r="G151" t="s">
        <v>211</v>
      </c>
      <c r="H151" t="s">
        <v>212</v>
      </c>
      <c r="I151" s="2">
        <v>45292</v>
      </c>
    </row>
    <row r="152" spans="1:9" x14ac:dyDescent="0.3">
      <c r="A152" t="s">
        <v>512</v>
      </c>
      <c r="B152" t="s">
        <v>513</v>
      </c>
      <c r="C152" t="s">
        <v>76</v>
      </c>
      <c r="D152" t="s">
        <v>62</v>
      </c>
      <c r="E152" t="s">
        <v>63</v>
      </c>
      <c r="F152" t="s">
        <v>64</v>
      </c>
      <c r="G152" t="s">
        <v>222</v>
      </c>
      <c r="H152" t="s">
        <v>219</v>
      </c>
      <c r="I152" s="2">
        <v>45292</v>
      </c>
    </row>
    <row r="153" spans="1:9" x14ac:dyDescent="0.3">
      <c r="A153" t="s">
        <v>514</v>
      </c>
      <c r="B153" t="s">
        <v>515</v>
      </c>
      <c r="C153" t="s">
        <v>71</v>
      </c>
      <c r="D153" t="s">
        <v>62</v>
      </c>
      <c r="E153" t="s">
        <v>63</v>
      </c>
      <c r="F153" t="s">
        <v>64</v>
      </c>
      <c r="G153" t="s">
        <v>211</v>
      </c>
      <c r="H153" t="s">
        <v>219</v>
      </c>
      <c r="I153" s="2">
        <v>45292</v>
      </c>
    </row>
    <row r="154" spans="1:9" x14ac:dyDescent="0.3">
      <c r="A154" t="s">
        <v>516</v>
      </c>
      <c r="B154" t="s">
        <v>517</v>
      </c>
      <c r="C154" t="s">
        <v>84</v>
      </c>
      <c r="D154" t="s">
        <v>210</v>
      </c>
      <c r="E154" t="s">
        <v>52</v>
      </c>
      <c r="F154" t="s">
        <v>59</v>
      </c>
      <c r="G154" t="s">
        <v>211</v>
      </c>
      <c r="H154" t="s">
        <v>207</v>
      </c>
      <c r="I154" s="2">
        <v>45292</v>
      </c>
    </row>
    <row r="155" spans="1:9" x14ac:dyDescent="0.3">
      <c r="A155" t="s">
        <v>518</v>
      </c>
      <c r="B155" t="s">
        <v>519</v>
      </c>
      <c r="C155" t="s">
        <v>76</v>
      </c>
      <c r="D155" t="s">
        <v>210</v>
      </c>
      <c r="E155" t="s">
        <v>52</v>
      </c>
      <c r="F155" t="s">
        <v>59</v>
      </c>
      <c r="G155" t="s">
        <v>222</v>
      </c>
      <c r="H155" t="s">
        <v>207</v>
      </c>
      <c r="I155" s="2">
        <v>45292</v>
      </c>
    </row>
    <row r="156" spans="1:9" x14ac:dyDescent="0.3">
      <c r="A156" t="s">
        <v>520</v>
      </c>
      <c r="B156" t="s">
        <v>521</v>
      </c>
      <c r="C156" t="s">
        <v>76</v>
      </c>
      <c r="D156" t="s">
        <v>57</v>
      </c>
      <c r="E156" t="s">
        <v>58</v>
      </c>
      <c r="F156" t="s">
        <v>59</v>
      </c>
      <c r="G156" t="s">
        <v>211</v>
      </c>
      <c r="H156" t="s">
        <v>212</v>
      </c>
      <c r="I156" s="2">
        <v>45292</v>
      </c>
    </row>
    <row r="157" spans="1:9" x14ac:dyDescent="0.3">
      <c r="A157" t="s">
        <v>522</v>
      </c>
      <c r="B157" t="s">
        <v>523</v>
      </c>
      <c r="C157" t="s">
        <v>76</v>
      </c>
      <c r="D157" t="s">
        <v>210</v>
      </c>
      <c r="E157" t="s">
        <v>52</v>
      </c>
      <c r="F157" t="s">
        <v>59</v>
      </c>
      <c r="G157" t="s">
        <v>211</v>
      </c>
      <c r="H157" t="s">
        <v>219</v>
      </c>
      <c r="I157" s="2">
        <v>45292</v>
      </c>
    </row>
    <row r="158" spans="1:9" x14ac:dyDescent="0.3">
      <c r="A158" t="s">
        <v>524</v>
      </c>
      <c r="B158" t="s">
        <v>525</v>
      </c>
      <c r="C158" t="s">
        <v>84</v>
      </c>
      <c r="D158" t="s">
        <v>51</v>
      </c>
      <c r="E158" t="s">
        <v>52</v>
      </c>
      <c r="F158" t="s">
        <v>53</v>
      </c>
      <c r="G158" t="s">
        <v>211</v>
      </c>
      <c r="H158" t="s">
        <v>231</v>
      </c>
      <c r="I158" s="2">
        <v>45292</v>
      </c>
    </row>
    <row r="159" spans="1:9" x14ac:dyDescent="0.3">
      <c r="A159" t="s">
        <v>526</v>
      </c>
      <c r="B159" t="s">
        <v>527</v>
      </c>
      <c r="C159" t="s">
        <v>71</v>
      </c>
      <c r="D159" t="s">
        <v>62</v>
      </c>
      <c r="E159" t="s">
        <v>63</v>
      </c>
      <c r="F159" t="s">
        <v>64</v>
      </c>
      <c r="G159" t="s">
        <v>211</v>
      </c>
      <c r="H159" t="s">
        <v>212</v>
      </c>
      <c r="I159" s="2">
        <v>45292</v>
      </c>
    </row>
    <row r="160" spans="1:9" x14ac:dyDescent="0.3">
      <c r="A160" t="s">
        <v>528</v>
      </c>
      <c r="B160" t="s">
        <v>529</v>
      </c>
      <c r="C160" t="s">
        <v>76</v>
      </c>
      <c r="D160" t="s">
        <v>57</v>
      </c>
      <c r="E160" t="s">
        <v>58</v>
      </c>
      <c r="F160" t="s">
        <v>59</v>
      </c>
      <c r="G160" t="s">
        <v>206</v>
      </c>
      <c r="H160" t="s">
        <v>219</v>
      </c>
      <c r="I160" s="2">
        <v>45292</v>
      </c>
    </row>
    <row r="161" spans="1:9" x14ac:dyDescent="0.3">
      <c r="A161" t="s">
        <v>530</v>
      </c>
      <c r="B161" t="s">
        <v>531</v>
      </c>
      <c r="C161" t="s">
        <v>84</v>
      </c>
      <c r="D161" t="s">
        <v>51</v>
      </c>
      <c r="E161" t="s">
        <v>52</v>
      </c>
      <c r="F161" t="s">
        <v>53</v>
      </c>
      <c r="G161" t="s">
        <v>222</v>
      </c>
      <c r="H161" t="s">
        <v>231</v>
      </c>
      <c r="I161" s="2">
        <v>45292</v>
      </c>
    </row>
    <row r="162" spans="1:9" x14ac:dyDescent="0.3">
      <c r="A162" t="s">
        <v>532</v>
      </c>
      <c r="B162" t="s">
        <v>533</v>
      </c>
      <c r="C162" t="s">
        <v>76</v>
      </c>
      <c r="D162" t="s">
        <v>45</v>
      </c>
      <c r="E162" t="s">
        <v>46</v>
      </c>
      <c r="F162" t="s">
        <v>47</v>
      </c>
      <c r="G162" t="s">
        <v>222</v>
      </c>
      <c r="H162" t="s">
        <v>231</v>
      </c>
      <c r="I162" s="2">
        <v>45292</v>
      </c>
    </row>
    <row r="163" spans="1:9" x14ac:dyDescent="0.3">
      <c r="A163" t="s">
        <v>534</v>
      </c>
      <c r="B163" t="s">
        <v>535</v>
      </c>
      <c r="C163" t="s">
        <v>76</v>
      </c>
      <c r="D163" t="s">
        <v>62</v>
      </c>
      <c r="E163" t="s">
        <v>63</v>
      </c>
      <c r="F163" t="s">
        <v>64</v>
      </c>
      <c r="G163" t="s">
        <v>206</v>
      </c>
      <c r="H163" t="s">
        <v>231</v>
      </c>
      <c r="I163" s="2">
        <v>45292</v>
      </c>
    </row>
    <row r="164" spans="1:9" x14ac:dyDescent="0.3">
      <c r="A164" t="s">
        <v>536</v>
      </c>
      <c r="B164" t="s">
        <v>537</v>
      </c>
      <c r="C164" t="s">
        <v>71</v>
      </c>
      <c r="D164" t="s">
        <v>51</v>
      </c>
      <c r="E164" t="s">
        <v>52</v>
      </c>
      <c r="F164" t="s">
        <v>53</v>
      </c>
      <c r="G164" t="s">
        <v>222</v>
      </c>
      <c r="H164" t="s">
        <v>219</v>
      </c>
      <c r="I164" s="2">
        <v>45292</v>
      </c>
    </row>
    <row r="165" spans="1:9" x14ac:dyDescent="0.3">
      <c r="A165" t="s">
        <v>538</v>
      </c>
      <c r="B165" t="s">
        <v>539</v>
      </c>
      <c r="C165" t="s">
        <v>76</v>
      </c>
      <c r="D165" t="s">
        <v>51</v>
      </c>
      <c r="E165" t="s">
        <v>52</v>
      </c>
      <c r="F165" t="s">
        <v>53</v>
      </c>
      <c r="G165" t="s">
        <v>206</v>
      </c>
      <c r="H165" t="s">
        <v>219</v>
      </c>
      <c r="I165" s="2">
        <v>45292</v>
      </c>
    </row>
    <row r="166" spans="1:9" x14ac:dyDescent="0.3">
      <c r="A166" t="s">
        <v>540</v>
      </c>
      <c r="B166" t="s">
        <v>541</v>
      </c>
      <c r="C166" t="s">
        <v>76</v>
      </c>
      <c r="D166" t="s">
        <v>210</v>
      </c>
      <c r="E166" t="s">
        <v>52</v>
      </c>
      <c r="F166" t="s">
        <v>59</v>
      </c>
      <c r="G166" t="s">
        <v>206</v>
      </c>
      <c r="H166" t="s">
        <v>207</v>
      </c>
      <c r="I166" s="2">
        <v>45292</v>
      </c>
    </row>
    <row r="167" spans="1:9" x14ac:dyDescent="0.3">
      <c r="A167" t="s">
        <v>542</v>
      </c>
      <c r="B167" t="s">
        <v>543</v>
      </c>
      <c r="C167" t="s">
        <v>76</v>
      </c>
      <c r="D167" t="s">
        <v>57</v>
      </c>
      <c r="E167" t="s">
        <v>58</v>
      </c>
      <c r="F167" t="s">
        <v>59</v>
      </c>
      <c r="G167" t="s">
        <v>211</v>
      </c>
      <c r="H167" t="s">
        <v>219</v>
      </c>
      <c r="I167" s="2">
        <v>45292</v>
      </c>
    </row>
    <row r="168" spans="1:9" x14ac:dyDescent="0.3">
      <c r="A168" t="s">
        <v>544</v>
      </c>
      <c r="B168" t="s">
        <v>545</v>
      </c>
      <c r="C168" t="s">
        <v>76</v>
      </c>
      <c r="D168" t="s">
        <v>210</v>
      </c>
      <c r="E168" t="s">
        <v>52</v>
      </c>
      <c r="F168" t="s">
        <v>59</v>
      </c>
      <c r="G168" t="s">
        <v>222</v>
      </c>
      <c r="H168" t="s">
        <v>212</v>
      </c>
      <c r="I168" s="2">
        <v>45292</v>
      </c>
    </row>
    <row r="169" spans="1:9" x14ac:dyDescent="0.3">
      <c r="A169" t="s">
        <v>546</v>
      </c>
      <c r="B169" t="s">
        <v>547</v>
      </c>
      <c r="C169" t="s">
        <v>80</v>
      </c>
      <c r="D169" t="s">
        <v>51</v>
      </c>
      <c r="E169" t="s">
        <v>52</v>
      </c>
      <c r="F169" t="s">
        <v>53</v>
      </c>
      <c r="G169" t="s">
        <v>222</v>
      </c>
      <c r="H169" t="s">
        <v>207</v>
      </c>
      <c r="I169" s="2">
        <v>45292</v>
      </c>
    </row>
    <row r="170" spans="1:9" x14ac:dyDescent="0.3">
      <c r="A170" t="s">
        <v>548</v>
      </c>
      <c r="B170" t="s">
        <v>549</v>
      </c>
      <c r="C170" t="s">
        <v>76</v>
      </c>
      <c r="D170" t="s">
        <v>62</v>
      </c>
      <c r="E170" t="s">
        <v>63</v>
      </c>
      <c r="F170" t="s">
        <v>64</v>
      </c>
      <c r="G170" t="s">
        <v>206</v>
      </c>
      <c r="H170" t="s">
        <v>212</v>
      </c>
      <c r="I170" s="2">
        <v>45292</v>
      </c>
    </row>
    <row r="171" spans="1:9" x14ac:dyDescent="0.3">
      <c r="A171" t="s">
        <v>550</v>
      </c>
      <c r="B171" t="s">
        <v>551</v>
      </c>
      <c r="C171" t="s">
        <v>76</v>
      </c>
      <c r="D171" t="s">
        <v>210</v>
      </c>
      <c r="E171" t="s">
        <v>52</v>
      </c>
      <c r="F171" t="s">
        <v>59</v>
      </c>
      <c r="G171" t="s">
        <v>206</v>
      </c>
      <c r="H171" t="s">
        <v>212</v>
      </c>
      <c r="I171" s="2">
        <v>45292</v>
      </c>
    </row>
    <row r="172" spans="1:9" x14ac:dyDescent="0.3">
      <c r="A172" t="s">
        <v>552</v>
      </c>
      <c r="B172" t="s">
        <v>553</v>
      </c>
      <c r="C172" t="s">
        <v>76</v>
      </c>
      <c r="D172" t="s">
        <v>45</v>
      </c>
      <c r="E172" t="s">
        <v>46</v>
      </c>
      <c r="F172" t="s">
        <v>47</v>
      </c>
      <c r="G172" t="s">
        <v>206</v>
      </c>
      <c r="H172" t="s">
        <v>212</v>
      </c>
      <c r="I172" s="2">
        <v>45292</v>
      </c>
    </row>
    <row r="173" spans="1:9" x14ac:dyDescent="0.3">
      <c r="A173" t="s">
        <v>554</v>
      </c>
      <c r="B173" t="s">
        <v>555</v>
      </c>
      <c r="C173" t="s">
        <v>71</v>
      </c>
      <c r="D173" t="s">
        <v>51</v>
      </c>
      <c r="E173" t="s">
        <v>52</v>
      </c>
      <c r="F173" t="s">
        <v>53</v>
      </c>
      <c r="G173" t="s">
        <v>211</v>
      </c>
      <c r="H173" t="s">
        <v>231</v>
      </c>
      <c r="I173" s="2">
        <v>45292</v>
      </c>
    </row>
    <row r="174" spans="1:9" x14ac:dyDescent="0.3">
      <c r="A174" t="s">
        <v>556</v>
      </c>
      <c r="B174" t="s">
        <v>557</v>
      </c>
      <c r="C174" t="s">
        <v>76</v>
      </c>
      <c r="D174" t="s">
        <v>51</v>
      </c>
      <c r="E174" t="s">
        <v>52</v>
      </c>
      <c r="F174" t="s">
        <v>53</v>
      </c>
      <c r="G174" t="s">
        <v>206</v>
      </c>
      <c r="H174" t="s">
        <v>231</v>
      </c>
      <c r="I174" s="2">
        <v>45292</v>
      </c>
    </row>
    <row r="175" spans="1:9" x14ac:dyDescent="0.3">
      <c r="A175" t="s">
        <v>558</v>
      </c>
      <c r="B175" t="s">
        <v>559</v>
      </c>
      <c r="C175" t="s">
        <v>76</v>
      </c>
      <c r="D175" t="s">
        <v>210</v>
      </c>
      <c r="E175" t="s">
        <v>52</v>
      </c>
      <c r="F175" t="s">
        <v>59</v>
      </c>
      <c r="G175" t="s">
        <v>206</v>
      </c>
      <c r="H175" t="s">
        <v>207</v>
      </c>
      <c r="I175" s="2">
        <v>45292</v>
      </c>
    </row>
    <row r="176" spans="1:9" x14ac:dyDescent="0.3">
      <c r="A176" t="s">
        <v>560</v>
      </c>
      <c r="B176" t="s">
        <v>561</v>
      </c>
      <c r="C176" t="s">
        <v>71</v>
      </c>
      <c r="D176" t="s">
        <v>51</v>
      </c>
      <c r="E176" t="s">
        <v>52</v>
      </c>
      <c r="F176" t="s">
        <v>53</v>
      </c>
      <c r="G176" t="s">
        <v>206</v>
      </c>
      <c r="H176" t="s">
        <v>207</v>
      </c>
      <c r="I176" s="2">
        <v>45292</v>
      </c>
    </row>
    <row r="177" spans="1:9" x14ac:dyDescent="0.3">
      <c r="A177" t="s">
        <v>562</v>
      </c>
      <c r="B177" t="s">
        <v>563</v>
      </c>
      <c r="C177" t="s">
        <v>80</v>
      </c>
      <c r="D177" t="s">
        <v>62</v>
      </c>
      <c r="E177" t="s">
        <v>63</v>
      </c>
      <c r="F177" t="s">
        <v>64</v>
      </c>
      <c r="G177" t="s">
        <v>222</v>
      </c>
      <c r="H177" t="s">
        <v>231</v>
      </c>
      <c r="I177" s="2">
        <v>45292</v>
      </c>
    </row>
    <row r="178" spans="1:9" x14ac:dyDescent="0.3">
      <c r="A178" t="s">
        <v>564</v>
      </c>
      <c r="B178" t="s">
        <v>565</v>
      </c>
      <c r="C178" t="s">
        <v>76</v>
      </c>
      <c r="D178" t="s">
        <v>62</v>
      </c>
      <c r="E178" t="s">
        <v>63</v>
      </c>
      <c r="F178" t="s">
        <v>64</v>
      </c>
      <c r="G178" t="s">
        <v>206</v>
      </c>
      <c r="H178" t="s">
        <v>212</v>
      </c>
      <c r="I178" s="2">
        <v>45292</v>
      </c>
    </row>
    <row r="179" spans="1:9" x14ac:dyDescent="0.3">
      <c r="A179" t="s">
        <v>566</v>
      </c>
      <c r="B179" t="s">
        <v>567</v>
      </c>
      <c r="C179" t="s">
        <v>76</v>
      </c>
      <c r="D179" t="s">
        <v>57</v>
      </c>
      <c r="E179" t="s">
        <v>58</v>
      </c>
      <c r="F179" t="s">
        <v>59</v>
      </c>
      <c r="G179" t="s">
        <v>211</v>
      </c>
      <c r="H179" t="s">
        <v>219</v>
      </c>
      <c r="I179" s="2">
        <v>45292</v>
      </c>
    </row>
    <row r="180" spans="1:9" x14ac:dyDescent="0.3">
      <c r="A180" t="s">
        <v>568</v>
      </c>
      <c r="B180" t="s">
        <v>569</v>
      </c>
      <c r="C180" t="s">
        <v>76</v>
      </c>
      <c r="D180" t="s">
        <v>210</v>
      </c>
      <c r="E180" t="s">
        <v>52</v>
      </c>
      <c r="F180" t="s">
        <v>59</v>
      </c>
      <c r="G180" t="s">
        <v>222</v>
      </c>
      <c r="H180" t="s">
        <v>231</v>
      </c>
      <c r="I180" s="2">
        <v>45292</v>
      </c>
    </row>
    <row r="181" spans="1:9" x14ac:dyDescent="0.3">
      <c r="A181" t="s">
        <v>570</v>
      </c>
      <c r="B181" t="s">
        <v>571</v>
      </c>
      <c r="C181" t="s">
        <v>84</v>
      </c>
      <c r="D181" t="s">
        <v>210</v>
      </c>
      <c r="E181" t="s">
        <v>52</v>
      </c>
      <c r="F181" t="s">
        <v>59</v>
      </c>
      <c r="G181" t="s">
        <v>211</v>
      </c>
      <c r="H181" t="s">
        <v>231</v>
      </c>
      <c r="I181" s="2">
        <v>45292</v>
      </c>
    </row>
    <row r="182" spans="1:9" x14ac:dyDescent="0.3">
      <c r="A182" t="s">
        <v>572</v>
      </c>
      <c r="B182" t="s">
        <v>573</v>
      </c>
      <c r="C182" t="s">
        <v>71</v>
      </c>
      <c r="D182" t="s">
        <v>210</v>
      </c>
      <c r="E182" t="s">
        <v>52</v>
      </c>
      <c r="F182" t="s">
        <v>59</v>
      </c>
      <c r="G182" t="s">
        <v>222</v>
      </c>
      <c r="H182" t="s">
        <v>207</v>
      </c>
      <c r="I182" s="2">
        <v>45292</v>
      </c>
    </row>
    <row r="183" spans="1:9" x14ac:dyDescent="0.3">
      <c r="A183" t="s">
        <v>574</v>
      </c>
      <c r="B183" t="s">
        <v>575</v>
      </c>
      <c r="C183" t="s">
        <v>76</v>
      </c>
      <c r="D183" t="s">
        <v>57</v>
      </c>
      <c r="E183" t="s">
        <v>58</v>
      </c>
      <c r="F183" t="s">
        <v>59</v>
      </c>
      <c r="G183" t="s">
        <v>206</v>
      </c>
      <c r="H183" t="s">
        <v>219</v>
      </c>
      <c r="I183" s="2">
        <v>45292</v>
      </c>
    </row>
    <row r="184" spans="1:9" x14ac:dyDescent="0.3">
      <c r="A184" t="s">
        <v>576</v>
      </c>
      <c r="B184" t="s">
        <v>577</v>
      </c>
      <c r="C184" t="s">
        <v>80</v>
      </c>
      <c r="D184" t="s">
        <v>45</v>
      </c>
      <c r="E184" t="s">
        <v>46</v>
      </c>
      <c r="F184" t="s">
        <v>47</v>
      </c>
      <c r="G184" t="s">
        <v>211</v>
      </c>
      <c r="H184" t="s">
        <v>207</v>
      </c>
      <c r="I184" s="2">
        <v>45292</v>
      </c>
    </row>
    <row r="185" spans="1:9" x14ac:dyDescent="0.3">
      <c r="A185" t="s">
        <v>578</v>
      </c>
      <c r="B185" t="s">
        <v>579</v>
      </c>
      <c r="C185" t="s">
        <v>80</v>
      </c>
      <c r="D185" t="s">
        <v>210</v>
      </c>
      <c r="E185" t="s">
        <v>52</v>
      </c>
      <c r="F185" t="s">
        <v>59</v>
      </c>
      <c r="G185" t="s">
        <v>211</v>
      </c>
      <c r="H185" t="s">
        <v>219</v>
      </c>
      <c r="I185" s="2">
        <v>45292</v>
      </c>
    </row>
    <row r="186" spans="1:9" x14ac:dyDescent="0.3">
      <c r="A186" t="s">
        <v>580</v>
      </c>
      <c r="B186" t="s">
        <v>581</v>
      </c>
      <c r="C186" t="s">
        <v>76</v>
      </c>
      <c r="D186" t="s">
        <v>210</v>
      </c>
      <c r="E186" t="s">
        <v>52</v>
      </c>
      <c r="F186" t="s">
        <v>59</v>
      </c>
      <c r="G186" t="s">
        <v>211</v>
      </c>
      <c r="H186" t="s">
        <v>212</v>
      </c>
      <c r="I186" s="2">
        <v>45292</v>
      </c>
    </row>
    <row r="187" spans="1:9" x14ac:dyDescent="0.3">
      <c r="A187" t="s">
        <v>582</v>
      </c>
      <c r="B187" t="s">
        <v>583</v>
      </c>
      <c r="C187" t="s">
        <v>76</v>
      </c>
      <c r="D187" t="s">
        <v>62</v>
      </c>
      <c r="E187" t="s">
        <v>63</v>
      </c>
      <c r="F187" t="s">
        <v>64</v>
      </c>
      <c r="G187" t="s">
        <v>211</v>
      </c>
      <c r="H187" t="s">
        <v>207</v>
      </c>
      <c r="I187" s="2">
        <v>45292</v>
      </c>
    </row>
    <row r="188" spans="1:9" x14ac:dyDescent="0.3">
      <c r="A188" t="s">
        <v>584</v>
      </c>
      <c r="B188" t="s">
        <v>585</v>
      </c>
      <c r="C188" t="s">
        <v>76</v>
      </c>
      <c r="D188" t="s">
        <v>57</v>
      </c>
      <c r="E188" t="s">
        <v>58</v>
      </c>
      <c r="F188" t="s">
        <v>59</v>
      </c>
      <c r="G188" t="s">
        <v>211</v>
      </c>
      <c r="H188" t="s">
        <v>231</v>
      </c>
      <c r="I188" s="2">
        <v>45292</v>
      </c>
    </row>
    <row r="189" spans="1:9" x14ac:dyDescent="0.3">
      <c r="A189" t="s">
        <v>586</v>
      </c>
      <c r="B189" t="s">
        <v>587</v>
      </c>
      <c r="C189" t="s">
        <v>76</v>
      </c>
      <c r="D189" t="s">
        <v>62</v>
      </c>
      <c r="E189" t="s">
        <v>63</v>
      </c>
      <c r="F189" t="s">
        <v>64</v>
      </c>
      <c r="G189" t="s">
        <v>222</v>
      </c>
      <c r="H189" t="s">
        <v>207</v>
      </c>
      <c r="I189" s="2">
        <v>45292</v>
      </c>
    </row>
    <row r="190" spans="1:9" x14ac:dyDescent="0.3">
      <c r="A190" t="s">
        <v>588</v>
      </c>
      <c r="B190" t="s">
        <v>589</v>
      </c>
      <c r="C190" t="s">
        <v>71</v>
      </c>
      <c r="D190" t="s">
        <v>210</v>
      </c>
      <c r="E190" t="s">
        <v>52</v>
      </c>
      <c r="F190" t="s">
        <v>59</v>
      </c>
      <c r="G190" t="s">
        <v>222</v>
      </c>
      <c r="H190" t="s">
        <v>219</v>
      </c>
      <c r="I190" s="2">
        <v>45292</v>
      </c>
    </row>
    <row r="191" spans="1:9" x14ac:dyDescent="0.3">
      <c r="A191" t="s">
        <v>590</v>
      </c>
      <c r="B191" t="s">
        <v>591</v>
      </c>
      <c r="C191" t="s">
        <v>71</v>
      </c>
      <c r="D191" t="s">
        <v>210</v>
      </c>
      <c r="E191" t="s">
        <v>52</v>
      </c>
      <c r="F191" t="s">
        <v>59</v>
      </c>
      <c r="G191" t="s">
        <v>222</v>
      </c>
      <c r="H191" t="s">
        <v>207</v>
      </c>
      <c r="I191" s="2">
        <v>45292</v>
      </c>
    </row>
    <row r="192" spans="1:9" x14ac:dyDescent="0.3">
      <c r="A192" t="s">
        <v>592</v>
      </c>
      <c r="B192" t="s">
        <v>593</v>
      </c>
      <c r="C192" t="s">
        <v>80</v>
      </c>
      <c r="D192" t="s">
        <v>210</v>
      </c>
      <c r="E192" t="s">
        <v>52</v>
      </c>
      <c r="F192" t="s">
        <v>59</v>
      </c>
      <c r="G192" t="s">
        <v>206</v>
      </c>
      <c r="H192" t="s">
        <v>212</v>
      </c>
      <c r="I192" s="2">
        <v>45292</v>
      </c>
    </row>
    <row r="193" spans="1:9" x14ac:dyDescent="0.3">
      <c r="A193" t="s">
        <v>594</v>
      </c>
      <c r="B193" t="s">
        <v>595</v>
      </c>
      <c r="C193" t="s">
        <v>76</v>
      </c>
      <c r="D193" t="s">
        <v>57</v>
      </c>
      <c r="E193" t="s">
        <v>58</v>
      </c>
      <c r="F193" t="s">
        <v>59</v>
      </c>
      <c r="G193" t="s">
        <v>211</v>
      </c>
      <c r="H193" t="s">
        <v>231</v>
      </c>
      <c r="I193" s="2">
        <v>45292</v>
      </c>
    </row>
    <row r="194" spans="1:9" x14ac:dyDescent="0.3">
      <c r="A194" t="s">
        <v>596</v>
      </c>
      <c r="B194" t="s">
        <v>597</v>
      </c>
      <c r="C194" t="s">
        <v>76</v>
      </c>
      <c r="D194" t="s">
        <v>51</v>
      </c>
      <c r="E194" t="s">
        <v>52</v>
      </c>
      <c r="F194" t="s">
        <v>53</v>
      </c>
      <c r="G194" t="s">
        <v>211</v>
      </c>
      <c r="H194" t="s">
        <v>219</v>
      </c>
      <c r="I194" s="2">
        <v>45292</v>
      </c>
    </row>
    <row r="195" spans="1:9" x14ac:dyDescent="0.3">
      <c r="A195" t="s">
        <v>598</v>
      </c>
      <c r="B195" t="s">
        <v>599</v>
      </c>
      <c r="C195" t="s">
        <v>76</v>
      </c>
      <c r="D195" t="s">
        <v>51</v>
      </c>
      <c r="E195" t="s">
        <v>52</v>
      </c>
      <c r="F195" t="s">
        <v>53</v>
      </c>
      <c r="G195" t="s">
        <v>211</v>
      </c>
      <c r="H195" t="s">
        <v>231</v>
      </c>
      <c r="I195" s="2">
        <v>45292</v>
      </c>
    </row>
    <row r="196" spans="1:9" x14ac:dyDescent="0.3">
      <c r="A196" t="s">
        <v>600</v>
      </c>
      <c r="B196" t="s">
        <v>601</v>
      </c>
      <c r="C196" t="s">
        <v>76</v>
      </c>
      <c r="D196" t="s">
        <v>62</v>
      </c>
      <c r="E196" t="s">
        <v>63</v>
      </c>
      <c r="F196" t="s">
        <v>64</v>
      </c>
      <c r="G196" t="s">
        <v>211</v>
      </c>
      <c r="H196" t="s">
        <v>212</v>
      </c>
      <c r="I196" s="2">
        <v>45292</v>
      </c>
    </row>
    <row r="197" spans="1:9" x14ac:dyDescent="0.3">
      <c r="A197" t="s">
        <v>602</v>
      </c>
      <c r="B197" t="s">
        <v>603</v>
      </c>
      <c r="C197" t="s">
        <v>76</v>
      </c>
      <c r="D197" t="s">
        <v>57</v>
      </c>
      <c r="E197" t="s">
        <v>58</v>
      </c>
      <c r="F197" t="s">
        <v>59</v>
      </c>
      <c r="G197" t="s">
        <v>211</v>
      </c>
      <c r="H197" t="s">
        <v>231</v>
      </c>
      <c r="I197" s="2">
        <v>45292</v>
      </c>
    </row>
    <row r="198" spans="1:9" x14ac:dyDescent="0.3">
      <c r="A198" t="s">
        <v>604</v>
      </c>
      <c r="B198" t="s">
        <v>605</v>
      </c>
      <c r="C198" t="s">
        <v>80</v>
      </c>
      <c r="D198" t="s">
        <v>45</v>
      </c>
      <c r="E198" t="s">
        <v>46</v>
      </c>
      <c r="F198" t="s">
        <v>47</v>
      </c>
      <c r="G198" t="s">
        <v>222</v>
      </c>
      <c r="H198" t="s">
        <v>231</v>
      </c>
      <c r="I198" s="2">
        <v>45292</v>
      </c>
    </row>
    <row r="199" spans="1:9" x14ac:dyDescent="0.3">
      <c r="A199" t="s">
        <v>606</v>
      </c>
      <c r="B199" t="s">
        <v>607</v>
      </c>
      <c r="C199" t="s">
        <v>80</v>
      </c>
      <c r="D199" t="s">
        <v>57</v>
      </c>
      <c r="E199" t="s">
        <v>58</v>
      </c>
      <c r="F199" t="s">
        <v>59</v>
      </c>
      <c r="G199" t="s">
        <v>222</v>
      </c>
      <c r="H199" t="s">
        <v>219</v>
      </c>
      <c r="I199" s="2">
        <v>45292</v>
      </c>
    </row>
    <row r="200" spans="1:9" x14ac:dyDescent="0.3">
      <c r="A200" t="s">
        <v>608</v>
      </c>
      <c r="B200" t="s">
        <v>609</v>
      </c>
      <c r="C200" t="s">
        <v>76</v>
      </c>
      <c r="D200" t="s">
        <v>45</v>
      </c>
      <c r="E200" t="s">
        <v>46</v>
      </c>
      <c r="F200" t="s">
        <v>47</v>
      </c>
      <c r="G200" t="s">
        <v>211</v>
      </c>
      <c r="H200" t="s">
        <v>207</v>
      </c>
      <c r="I200" s="2">
        <v>45292</v>
      </c>
    </row>
    <row r="201" spans="1:9" x14ac:dyDescent="0.3">
      <c r="A201" t="s">
        <v>610</v>
      </c>
      <c r="B201" t="s">
        <v>611</v>
      </c>
      <c r="C201" t="s">
        <v>80</v>
      </c>
      <c r="D201" t="s">
        <v>62</v>
      </c>
      <c r="E201" t="s">
        <v>63</v>
      </c>
      <c r="F201" t="s">
        <v>64</v>
      </c>
      <c r="G201" t="s">
        <v>211</v>
      </c>
      <c r="H201" t="s">
        <v>231</v>
      </c>
      <c r="I201" s="2">
        <v>45292</v>
      </c>
    </row>
    <row r="202" spans="1:9" x14ac:dyDescent="0.3">
      <c r="A202" t="s">
        <v>612</v>
      </c>
      <c r="B202" t="s">
        <v>613</v>
      </c>
      <c r="C202" t="s">
        <v>76</v>
      </c>
      <c r="D202" t="s">
        <v>62</v>
      </c>
      <c r="E202" t="s">
        <v>63</v>
      </c>
      <c r="F202" t="s">
        <v>64</v>
      </c>
      <c r="G202" t="s">
        <v>222</v>
      </c>
      <c r="H202" t="s">
        <v>212</v>
      </c>
      <c r="I202" s="2">
        <v>45292</v>
      </c>
    </row>
    <row r="203" spans="1:9" x14ac:dyDescent="0.3">
      <c r="A203" t="s">
        <v>614</v>
      </c>
      <c r="B203" t="s">
        <v>615</v>
      </c>
      <c r="C203" t="s">
        <v>76</v>
      </c>
      <c r="D203" t="s">
        <v>51</v>
      </c>
      <c r="E203" t="s">
        <v>52</v>
      </c>
      <c r="F203" t="s">
        <v>53</v>
      </c>
      <c r="G203" t="s">
        <v>206</v>
      </c>
      <c r="H203" t="s">
        <v>231</v>
      </c>
      <c r="I203" s="2">
        <v>45292</v>
      </c>
    </row>
    <row r="204" spans="1:9" x14ac:dyDescent="0.3">
      <c r="A204" t="s">
        <v>616</v>
      </c>
      <c r="B204" t="s">
        <v>617</v>
      </c>
      <c r="C204" t="s">
        <v>84</v>
      </c>
      <c r="D204" t="s">
        <v>62</v>
      </c>
      <c r="E204" t="s">
        <v>63</v>
      </c>
      <c r="F204" t="s">
        <v>64</v>
      </c>
      <c r="G204" t="s">
        <v>211</v>
      </c>
      <c r="H204" t="s">
        <v>231</v>
      </c>
      <c r="I204" s="2">
        <v>45292</v>
      </c>
    </row>
    <row r="205" spans="1:9" x14ac:dyDescent="0.3">
      <c r="A205" t="s">
        <v>618</v>
      </c>
      <c r="B205" t="s">
        <v>619</v>
      </c>
      <c r="C205" t="s">
        <v>84</v>
      </c>
      <c r="D205" t="s">
        <v>51</v>
      </c>
      <c r="E205" t="s">
        <v>52</v>
      </c>
      <c r="F205" t="s">
        <v>53</v>
      </c>
      <c r="G205" t="s">
        <v>211</v>
      </c>
      <c r="H205" t="s">
        <v>212</v>
      </c>
      <c r="I205" s="2">
        <v>45292</v>
      </c>
    </row>
    <row r="206" spans="1:9" x14ac:dyDescent="0.3">
      <c r="A206" t="s">
        <v>620</v>
      </c>
      <c r="B206" t="s">
        <v>621</v>
      </c>
      <c r="C206" t="s">
        <v>76</v>
      </c>
      <c r="D206" t="s">
        <v>45</v>
      </c>
      <c r="E206" t="s">
        <v>46</v>
      </c>
      <c r="F206" t="s">
        <v>47</v>
      </c>
      <c r="G206" t="s">
        <v>211</v>
      </c>
      <c r="H206" t="s">
        <v>231</v>
      </c>
      <c r="I206" s="2">
        <v>45292</v>
      </c>
    </row>
    <row r="207" spans="1:9" x14ac:dyDescent="0.3">
      <c r="A207" t="s">
        <v>622</v>
      </c>
      <c r="B207" t="s">
        <v>623</v>
      </c>
      <c r="C207" t="s">
        <v>76</v>
      </c>
      <c r="D207" t="s">
        <v>57</v>
      </c>
      <c r="E207" t="s">
        <v>58</v>
      </c>
      <c r="F207" t="s">
        <v>59</v>
      </c>
      <c r="G207" t="s">
        <v>206</v>
      </c>
      <c r="H207" t="s">
        <v>212</v>
      </c>
      <c r="I207" s="2">
        <v>45292</v>
      </c>
    </row>
    <row r="208" spans="1:9" x14ac:dyDescent="0.3">
      <c r="A208" t="s">
        <v>624</v>
      </c>
      <c r="B208" t="s">
        <v>625</v>
      </c>
      <c r="C208" t="s">
        <v>76</v>
      </c>
      <c r="D208" t="s">
        <v>45</v>
      </c>
      <c r="E208" t="s">
        <v>46</v>
      </c>
      <c r="F208" t="s">
        <v>47</v>
      </c>
      <c r="G208" t="s">
        <v>211</v>
      </c>
      <c r="H208" t="s">
        <v>207</v>
      </c>
      <c r="I208" s="2">
        <v>45292</v>
      </c>
    </row>
    <row r="209" spans="1:9" x14ac:dyDescent="0.3">
      <c r="A209" t="s">
        <v>626</v>
      </c>
      <c r="B209" t="s">
        <v>627</v>
      </c>
      <c r="C209" t="s">
        <v>76</v>
      </c>
      <c r="D209" t="s">
        <v>51</v>
      </c>
      <c r="E209" t="s">
        <v>52</v>
      </c>
      <c r="F209" t="s">
        <v>53</v>
      </c>
      <c r="G209" t="s">
        <v>206</v>
      </c>
      <c r="H209" t="s">
        <v>207</v>
      </c>
      <c r="I209" s="2">
        <v>45292</v>
      </c>
    </row>
    <row r="210" spans="1:9" x14ac:dyDescent="0.3">
      <c r="A210" t="s">
        <v>628</v>
      </c>
      <c r="B210" t="s">
        <v>629</v>
      </c>
      <c r="C210" t="s">
        <v>71</v>
      </c>
      <c r="D210" t="s">
        <v>45</v>
      </c>
      <c r="E210" t="s">
        <v>46</v>
      </c>
      <c r="F210" t="s">
        <v>47</v>
      </c>
      <c r="G210" t="s">
        <v>222</v>
      </c>
      <c r="H210" t="s">
        <v>207</v>
      </c>
      <c r="I210" s="2">
        <v>45292</v>
      </c>
    </row>
    <row r="211" spans="1:9" x14ac:dyDescent="0.3">
      <c r="A211" t="s">
        <v>630</v>
      </c>
      <c r="B211" t="s">
        <v>631</v>
      </c>
      <c r="C211" t="s">
        <v>71</v>
      </c>
      <c r="D211" t="s">
        <v>51</v>
      </c>
      <c r="E211" t="s">
        <v>52</v>
      </c>
      <c r="F211" t="s">
        <v>53</v>
      </c>
      <c r="G211" t="s">
        <v>211</v>
      </c>
      <c r="H211" t="s">
        <v>219</v>
      </c>
      <c r="I211" s="2">
        <v>45292</v>
      </c>
    </row>
    <row r="212" spans="1:9" x14ac:dyDescent="0.3">
      <c r="A212" t="s">
        <v>632</v>
      </c>
      <c r="B212" t="s">
        <v>633</v>
      </c>
      <c r="C212" t="s">
        <v>71</v>
      </c>
      <c r="D212" t="s">
        <v>45</v>
      </c>
      <c r="E212" t="s">
        <v>46</v>
      </c>
      <c r="F212" t="s">
        <v>47</v>
      </c>
      <c r="G212" t="s">
        <v>211</v>
      </c>
      <c r="H212" t="s">
        <v>231</v>
      </c>
      <c r="I212" s="2">
        <v>45292</v>
      </c>
    </row>
    <row r="213" spans="1:9" x14ac:dyDescent="0.3">
      <c r="A213" t="s">
        <v>634</v>
      </c>
      <c r="B213" t="s">
        <v>635</v>
      </c>
      <c r="C213" t="s">
        <v>76</v>
      </c>
      <c r="D213" t="s">
        <v>51</v>
      </c>
      <c r="E213" t="s">
        <v>52</v>
      </c>
      <c r="F213" t="s">
        <v>53</v>
      </c>
      <c r="G213" t="s">
        <v>222</v>
      </c>
      <c r="H213" t="s">
        <v>231</v>
      </c>
      <c r="I213" s="2">
        <v>45292</v>
      </c>
    </row>
    <row r="214" spans="1:9" x14ac:dyDescent="0.3">
      <c r="A214" t="s">
        <v>636</v>
      </c>
      <c r="B214" t="s">
        <v>637</v>
      </c>
      <c r="C214" t="s">
        <v>76</v>
      </c>
      <c r="D214" t="s">
        <v>57</v>
      </c>
      <c r="E214" t="s">
        <v>58</v>
      </c>
      <c r="F214" t="s">
        <v>59</v>
      </c>
      <c r="G214" t="s">
        <v>222</v>
      </c>
      <c r="H214" t="s">
        <v>207</v>
      </c>
      <c r="I214" s="2">
        <v>45292</v>
      </c>
    </row>
    <row r="215" spans="1:9" x14ac:dyDescent="0.3">
      <c r="A215" t="s">
        <v>638</v>
      </c>
      <c r="B215" t="s">
        <v>639</v>
      </c>
      <c r="C215" t="s">
        <v>76</v>
      </c>
      <c r="D215" t="s">
        <v>62</v>
      </c>
      <c r="E215" t="s">
        <v>63</v>
      </c>
      <c r="F215" t="s">
        <v>64</v>
      </c>
      <c r="G215" t="s">
        <v>206</v>
      </c>
      <c r="H215" t="s">
        <v>207</v>
      </c>
      <c r="I215" s="2">
        <v>45292</v>
      </c>
    </row>
    <row r="216" spans="1:9" x14ac:dyDescent="0.3">
      <c r="A216" t="s">
        <v>640</v>
      </c>
      <c r="B216" t="s">
        <v>641</v>
      </c>
      <c r="C216" t="s">
        <v>76</v>
      </c>
      <c r="D216" t="s">
        <v>57</v>
      </c>
      <c r="E216" t="s">
        <v>58</v>
      </c>
      <c r="F216" t="s">
        <v>59</v>
      </c>
      <c r="G216" t="s">
        <v>206</v>
      </c>
      <c r="H216" t="s">
        <v>231</v>
      </c>
      <c r="I216" s="2">
        <v>45292</v>
      </c>
    </row>
    <row r="217" spans="1:9" x14ac:dyDescent="0.3">
      <c r="A217" t="s">
        <v>642</v>
      </c>
      <c r="B217" t="s">
        <v>643</v>
      </c>
      <c r="C217" t="s">
        <v>76</v>
      </c>
      <c r="D217" t="s">
        <v>210</v>
      </c>
      <c r="E217" t="s">
        <v>52</v>
      </c>
      <c r="F217" t="s">
        <v>59</v>
      </c>
      <c r="G217" t="s">
        <v>222</v>
      </c>
      <c r="H217" t="s">
        <v>212</v>
      </c>
      <c r="I217" s="2">
        <v>45292</v>
      </c>
    </row>
    <row r="218" spans="1:9" x14ac:dyDescent="0.3">
      <c r="A218" t="s">
        <v>644</v>
      </c>
      <c r="B218" t="s">
        <v>645</v>
      </c>
      <c r="C218" t="s">
        <v>76</v>
      </c>
      <c r="D218" t="s">
        <v>45</v>
      </c>
      <c r="E218" t="s">
        <v>46</v>
      </c>
      <c r="F218" t="s">
        <v>47</v>
      </c>
      <c r="G218" t="s">
        <v>206</v>
      </c>
      <c r="H218" t="s">
        <v>207</v>
      </c>
      <c r="I218" s="2">
        <v>45292</v>
      </c>
    </row>
    <row r="219" spans="1:9" x14ac:dyDescent="0.3">
      <c r="A219" t="s">
        <v>646</v>
      </c>
      <c r="B219" t="s">
        <v>647</v>
      </c>
      <c r="C219" t="s">
        <v>76</v>
      </c>
      <c r="D219" t="s">
        <v>57</v>
      </c>
      <c r="E219" t="s">
        <v>58</v>
      </c>
      <c r="F219" t="s">
        <v>59</v>
      </c>
      <c r="G219" t="s">
        <v>206</v>
      </c>
      <c r="H219" t="s">
        <v>231</v>
      </c>
      <c r="I219" s="2">
        <v>45292</v>
      </c>
    </row>
    <row r="220" spans="1:9" x14ac:dyDescent="0.3">
      <c r="A220" t="s">
        <v>648</v>
      </c>
      <c r="B220" t="s">
        <v>649</v>
      </c>
      <c r="C220" t="s">
        <v>71</v>
      </c>
      <c r="D220" t="s">
        <v>210</v>
      </c>
      <c r="E220" t="s">
        <v>52</v>
      </c>
      <c r="F220" t="s">
        <v>59</v>
      </c>
      <c r="G220" t="s">
        <v>206</v>
      </c>
      <c r="H220" t="s">
        <v>207</v>
      </c>
      <c r="I220" s="2">
        <v>45292</v>
      </c>
    </row>
    <row r="221" spans="1:9" x14ac:dyDescent="0.3">
      <c r="A221" t="s">
        <v>650</v>
      </c>
      <c r="B221" t="s">
        <v>651</v>
      </c>
      <c r="C221" t="s">
        <v>80</v>
      </c>
      <c r="D221" t="s">
        <v>57</v>
      </c>
      <c r="E221" t="s">
        <v>58</v>
      </c>
      <c r="F221" t="s">
        <v>59</v>
      </c>
      <c r="G221" t="s">
        <v>211</v>
      </c>
      <c r="H221" t="s">
        <v>219</v>
      </c>
      <c r="I221" s="2">
        <v>45292</v>
      </c>
    </row>
    <row r="222" spans="1:9" x14ac:dyDescent="0.3">
      <c r="A222" t="s">
        <v>652</v>
      </c>
      <c r="B222" t="s">
        <v>653</v>
      </c>
      <c r="C222" t="s">
        <v>71</v>
      </c>
      <c r="D222" t="s">
        <v>210</v>
      </c>
      <c r="E222" t="s">
        <v>52</v>
      </c>
      <c r="F222" t="s">
        <v>59</v>
      </c>
      <c r="G222" t="s">
        <v>222</v>
      </c>
      <c r="H222" t="s">
        <v>219</v>
      </c>
      <c r="I222" s="2">
        <v>45292</v>
      </c>
    </row>
    <row r="223" spans="1:9" x14ac:dyDescent="0.3">
      <c r="A223" t="s">
        <v>654</v>
      </c>
      <c r="B223" t="s">
        <v>655</v>
      </c>
      <c r="C223" t="s">
        <v>76</v>
      </c>
      <c r="D223" t="s">
        <v>45</v>
      </c>
      <c r="E223" t="s">
        <v>46</v>
      </c>
      <c r="F223" t="s">
        <v>47</v>
      </c>
      <c r="G223" t="s">
        <v>206</v>
      </c>
      <c r="H223" t="s">
        <v>212</v>
      </c>
      <c r="I223" s="2">
        <v>45292</v>
      </c>
    </row>
    <row r="224" spans="1:9" x14ac:dyDescent="0.3">
      <c r="A224" t="s">
        <v>656</v>
      </c>
      <c r="B224" t="s">
        <v>657</v>
      </c>
      <c r="C224" t="s">
        <v>76</v>
      </c>
      <c r="D224" t="s">
        <v>51</v>
      </c>
      <c r="E224" t="s">
        <v>52</v>
      </c>
      <c r="F224" t="s">
        <v>53</v>
      </c>
      <c r="G224" t="s">
        <v>222</v>
      </c>
      <c r="H224" t="s">
        <v>207</v>
      </c>
      <c r="I224" s="2">
        <v>45292</v>
      </c>
    </row>
    <row r="225" spans="1:9" x14ac:dyDescent="0.3">
      <c r="A225" t="s">
        <v>658</v>
      </c>
      <c r="B225" t="s">
        <v>659</v>
      </c>
      <c r="C225" t="s">
        <v>76</v>
      </c>
      <c r="D225" t="s">
        <v>210</v>
      </c>
      <c r="E225" t="s">
        <v>52</v>
      </c>
      <c r="F225" t="s">
        <v>59</v>
      </c>
      <c r="G225" t="s">
        <v>211</v>
      </c>
      <c r="H225" t="s">
        <v>231</v>
      </c>
      <c r="I225" s="2">
        <v>45292</v>
      </c>
    </row>
    <row r="226" spans="1:9" x14ac:dyDescent="0.3">
      <c r="A226" t="s">
        <v>660</v>
      </c>
      <c r="B226" t="s">
        <v>661</v>
      </c>
      <c r="C226" t="s">
        <v>80</v>
      </c>
      <c r="D226" t="s">
        <v>210</v>
      </c>
      <c r="E226" t="s">
        <v>52</v>
      </c>
      <c r="F226" t="s">
        <v>59</v>
      </c>
      <c r="G226" t="s">
        <v>206</v>
      </c>
      <c r="H226" t="s">
        <v>219</v>
      </c>
      <c r="I226" s="2">
        <v>45292</v>
      </c>
    </row>
    <row r="227" spans="1:9" x14ac:dyDescent="0.3">
      <c r="A227" t="s">
        <v>662</v>
      </c>
      <c r="B227" t="s">
        <v>663</v>
      </c>
      <c r="C227" t="s">
        <v>84</v>
      </c>
      <c r="D227" t="s">
        <v>45</v>
      </c>
      <c r="E227" t="s">
        <v>46</v>
      </c>
      <c r="F227" t="s">
        <v>47</v>
      </c>
      <c r="G227" t="s">
        <v>211</v>
      </c>
      <c r="H227" t="s">
        <v>207</v>
      </c>
      <c r="I227" s="2">
        <v>45292</v>
      </c>
    </row>
    <row r="228" spans="1:9" x14ac:dyDescent="0.3">
      <c r="A228" t="s">
        <v>664</v>
      </c>
      <c r="B228" t="s">
        <v>665</v>
      </c>
      <c r="C228" t="s">
        <v>71</v>
      </c>
      <c r="D228" t="s">
        <v>51</v>
      </c>
      <c r="E228" t="s">
        <v>52</v>
      </c>
      <c r="F228" t="s">
        <v>53</v>
      </c>
      <c r="G228" t="s">
        <v>206</v>
      </c>
      <c r="H228" t="s">
        <v>219</v>
      </c>
      <c r="I228" s="2">
        <v>45292</v>
      </c>
    </row>
    <row r="229" spans="1:9" x14ac:dyDescent="0.3">
      <c r="A229" t="s">
        <v>666</v>
      </c>
      <c r="B229" t="s">
        <v>667</v>
      </c>
      <c r="C229" t="s">
        <v>76</v>
      </c>
      <c r="D229" t="s">
        <v>210</v>
      </c>
      <c r="E229" t="s">
        <v>52</v>
      </c>
      <c r="F229" t="s">
        <v>59</v>
      </c>
      <c r="G229" t="s">
        <v>211</v>
      </c>
      <c r="H229" t="s">
        <v>219</v>
      </c>
      <c r="I229" s="2">
        <v>45292</v>
      </c>
    </row>
    <row r="230" spans="1:9" x14ac:dyDescent="0.3">
      <c r="A230" t="s">
        <v>668</v>
      </c>
      <c r="B230" t="s">
        <v>669</v>
      </c>
      <c r="C230" t="s">
        <v>71</v>
      </c>
      <c r="D230" t="s">
        <v>210</v>
      </c>
      <c r="E230" t="s">
        <v>52</v>
      </c>
      <c r="F230" t="s">
        <v>59</v>
      </c>
      <c r="G230" t="s">
        <v>211</v>
      </c>
      <c r="H230" t="s">
        <v>207</v>
      </c>
      <c r="I230" s="2">
        <v>45292</v>
      </c>
    </row>
    <row r="231" spans="1:9" x14ac:dyDescent="0.3">
      <c r="A231" t="s">
        <v>670</v>
      </c>
      <c r="B231" t="s">
        <v>671</v>
      </c>
      <c r="C231" t="s">
        <v>80</v>
      </c>
      <c r="D231" t="s">
        <v>57</v>
      </c>
      <c r="E231" t="s">
        <v>58</v>
      </c>
      <c r="F231" t="s">
        <v>59</v>
      </c>
      <c r="G231" t="s">
        <v>222</v>
      </c>
      <c r="H231" t="s">
        <v>207</v>
      </c>
      <c r="I231" s="2">
        <v>45292</v>
      </c>
    </row>
    <row r="232" spans="1:9" x14ac:dyDescent="0.3">
      <c r="A232" t="s">
        <v>672</v>
      </c>
      <c r="B232" t="s">
        <v>673</v>
      </c>
      <c r="C232" t="s">
        <v>76</v>
      </c>
      <c r="D232" t="s">
        <v>57</v>
      </c>
      <c r="E232" t="s">
        <v>58</v>
      </c>
      <c r="F232" t="s">
        <v>59</v>
      </c>
      <c r="G232" t="s">
        <v>222</v>
      </c>
      <c r="H232" t="s">
        <v>231</v>
      </c>
      <c r="I232" s="2">
        <v>45292</v>
      </c>
    </row>
    <row r="233" spans="1:9" x14ac:dyDescent="0.3">
      <c r="A233" t="s">
        <v>674</v>
      </c>
      <c r="B233" t="s">
        <v>675</v>
      </c>
      <c r="C233" t="s">
        <v>76</v>
      </c>
      <c r="D233" t="s">
        <v>57</v>
      </c>
      <c r="E233" t="s">
        <v>58</v>
      </c>
      <c r="F233" t="s">
        <v>59</v>
      </c>
      <c r="G233" t="s">
        <v>222</v>
      </c>
      <c r="H233" t="s">
        <v>207</v>
      </c>
      <c r="I233" s="2">
        <v>45292</v>
      </c>
    </row>
    <row r="234" spans="1:9" x14ac:dyDescent="0.3">
      <c r="A234" t="s">
        <v>676</v>
      </c>
      <c r="B234" t="s">
        <v>677</v>
      </c>
      <c r="C234" t="s">
        <v>76</v>
      </c>
      <c r="D234" t="s">
        <v>210</v>
      </c>
      <c r="E234" t="s">
        <v>52</v>
      </c>
      <c r="F234" t="s">
        <v>59</v>
      </c>
      <c r="G234" t="s">
        <v>211</v>
      </c>
      <c r="H234" t="s">
        <v>212</v>
      </c>
      <c r="I234" s="2">
        <v>45292</v>
      </c>
    </row>
    <row r="235" spans="1:9" x14ac:dyDescent="0.3">
      <c r="A235" t="s">
        <v>678</v>
      </c>
      <c r="B235" t="s">
        <v>679</v>
      </c>
      <c r="C235" t="s">
        <v>76</v>
      </c>
      <c r="D235" t="s">
        <v>62</v>
      </c>
      <c r="E235" t="s">
        <v>63</v>
      </c>
      <c r="F235" t="s">
        <v>64</v>
      </c>
      <c r="G235" t="s">
        <v>211</v>
      </c>
      <c r="H235" t="s">
        <v>219</v>
      </c>
      <c r="I235" s="2">
        <v>45292</v>
      </c>
    </row>
    <row r="236" spans="1:9" x14ac:dyDescent="0.3">
      <c r="A236" t="s">
        <v>680</v>
      </c>
      <c r="B236" t="s">
        <v>681</v>
      </c>
      <c r="C236" t="s">
        <v>71</v>
      </c>
      <c r="D236" t="s">
        <v>51</v>
      </c>
      <c r="E236" t="s">
        <v>52</v>
      </c>
      <c r="F236" t="s">
        <v>53</v>
      </c>
      <c r="G236" t="s">
        <v>206</v>
      </c>
      <c r="H236" t="s">
        <v>219</v>
      </c>
      <c r="I236" s="2">
        <v>45292</v>
      </c>
    </row>
    <row r="237" spans="1:9" x14ac:dyDescent="0.3">
      <c r="A237" t="s">
        <v>682</v>
      </c>
      <c r="B237" t="s">
        <v>683</v>
      </c>
      <c r="C237" t="s">
        <v>76</v>
      </c>
      <c r="D237" t="s">
        <v>210</v>
      </c>
      <c r="E237" t="s">
        <v>52</v>
      </c>
      <c r="F237" t="s">
        <v>59</v>
      </c>
      <c r="G237" t="s">
        <v>222</v>
      </c>
      <c r="H237" t="s">
        <v>231</v>
      </c>
      <c r="I237" s="2">
        <v>45292</v>
      </c>
    </row>
    <row r="238" spans="1:9" x14ac:dyDescent="0.3">
      <c r="A238" t="s">
        <v>684</v>
      </c>
      <c r="B238" t="s">
        <v>685</v>
      </c>
      <c r="C238" t="s">
        <v>76</v>
      </c>
      <c r="D238" t="s">
        <v>51</v>
      </c>
      <c r="E238" t="s">
        <v>52</v>
      </c>
      <c r="F238" t="s">
        <v>53</v>
      </c>
      <c r="G238" t="s">
        <v>222</v>
      </c>
      <c r="H238" t="s">
        <v>207</v>
      </c>
      <c r="I238" s="2">
        <v>45292</v>
      </c>
    </row>
    <row r="239" spans="1:9" x14ac:dyDescent="0.3">
      <c r="A239" t="s">
        <v>686</v>
      </c>
      <c r="B239" t="s">
        <v>687</v>
      </c>
      <c r="C239" t="s">
        <v>76</v>
      </c>
      <c r="D239" t="s">
        <v>57</v>
      </c>
      <c r="E239" t="s">
        <v>58</v>
      </c>
      <c r="F239" t="s">
        <v>59</v>
      </c>
      <c r="G239" t="s">
        <v>206</v>
      </c>
      <c r="H239" t="s">
        <v>231</v>
      </c>
      <c r="I239" s="2">
        <v>45292</v>
      </c>
    </row>
    <row r="240" spans="1:9" x14ac:dyDescent="0.3">
      <c r="A240" t="s">
        <v>688</v>
      </c>
      <c r="B240" t="s">
        <v>689</v>
      </c>
      <c r="C240" t="s">
        <v>71</v>
      </c>
      <c r="D240" t="s">
        <v>45</v>
      </c>
      <c r="E240" t="s">
        <v>46</v>
      </c>
      <c r="F240" t="s">
        <v>47</v>
      </c>
      <c r="G240" t="s">
        <v>222</v>
      </c>
      <c r="H240" t="s">
        <v>231</v>
      </c>
      <c r="I240" s="2">
        <v>45292</v>
      </c>
    </row>
    <row r="241" spans="1:9" x14ac:dyDescent="0.3">
      <c r="A241" t="s">
        <v>690</v>
      </c>
      <c r="B241" t="s">
        <v>691</v>
      </c>
      <c r="C241" t="s">
        <v>76</v>
      </c>
      <c r="D241" t="s">
        <v>51</v>
      </c>
      <c r="E241" t="s">
        <v>52</v>
      </c>
      <c r="F241" t="s">
        <v>53</v>
      </c>
      <c r="G241" t="s">
        <v>206</v>
      </c>
      <c r="H241" t="s">
        <v>207</v>
      </c>
      <c r="I241" s="2">
        <v>45292</v>
      </c>
    </row>
    <row r="242" spans="1:9" x14ac:dyDescent="0.3">
      <c r="A242" t="s">
        <v>692</v>
      </c>
      <c r="B242" t="s">
        <v>693</v>
      </c>
      <c r="C242" t="s">
        <v>71</v>
      </c>
      <c r="D242" t="s">
        <v>57</v>
      </c>
      <c r="E242" t="s">
        <v>58</v>
      </c>
      <c r="F242" t="s">
        <v>59</v>
      </c>
      <c r="G242" t="s">
        <v>222</v>
      </c>
      <c r="H242" t="s">
        <v>212</v>
      </c>
      <c r="I242" s="2">
        <v>45292</v>
      </c>
    </row>
    <row r="243" spans="1:9" x14ac:dyDescent="0.3">
      <c r="A243" t="s">
        <v>694</v>
      </c>
      <c r="B243" t="s">
        <v>695</v>
      </c>
      <c r="C243" t="s">
        <v>76</v>
      </c>
      <c r="D243" t="s">
        <v>57</v>
      </c>
      <c r="E243" t="s">
        <v>58</v>
      </c>
      <c r="F243" t="s">
        <v>59</v>
      </c>
      <c r="G243" t="s">
        <v>222</v>
      </c>
      <c r="H243" t="s">
        <v>207</v>
      </c>
      <c r="I243" s="2">
        <v>45292</v>
      </c>
    </row>
    <row r="244" spans="1:9" x14ac:dyDescent="0.3">
      <c r="A244" t="s">
        <v>696</v>
      </c>
      <c r="B244" t="s">
        <v>697</v>
      </c>
      <c r="C244" t="s">
        <v>84</v>
      </c>
      <c r="D244" t="s">
        <v>57</v>
      </c>
      <c r="E244" t="s">
        <v>58</v>
      </c>
      <c r="F244" t="s">
        <v>59</v>
      </c>
      <c r="G244" t="s">
        <v>222</v>
      </c>
      <c r="H244" t="s">
        <v>219</v>
      </c>
      <c r="I244" s="2">
        <v>45292</v>
      </c>
    </row>
    <row r="245" spans="1:9" x14ac:dyDescent="0.3">
      <c r="A245" t="s">
        <v>698</v>
      </c>
      <c r="B245" t="s">
        <v>699</v>
      </c>
      <c r="C245" t="s">
        <v>76</v>
      </c>
      <c r="D245" t="s">
        <v>57</v>
      </c>
      <c r="E245" t="s">
        <v>58</v>
      </c>
      <c r="F245" t="s">
        <v>59</v>
      </c>
      <c r="G245" t="s">
        <v>206</v>
      </c>
      <c r="H245" t="s">
        <v>207</v>
      </c>
      <c r="I245" s="2">
        <v>45292</v>
      </c>
    </row>
    <row r="246" spans="1:9" x14ac:dyDescent="0.3">
      <c r="A246" t="s">
        <v>700</v>
      </c>
      <c r="B246" t="s">
        <v>701</v>
      </c>
      <c r="C246" t="s">
        <v>84</v>
      </c>
      <c r="D246" t="s">
        <v>51</v>
      </c>
      <c r="E246" t="s">
        <v>52</v>
      </c>
      <c r="F246" t="s">
        <v>53</v>
      </c>
      <c r="G246" t="s">
        <v>206</v>
      </c>
      <c r="H246" t="s">
        <v>231</v>
      </c>
      <c r="I246" s="2">
        <v>45292</v>
      </c>
    </row>
    <row r="247" spans="1:9" x14ac:dyDescent="0.3">
      <c r="A247" t="s">
        <v>702</v>
      </c>
      <c r="B247" t="s">
        <v>703</v>
      </c>
      <c r="C247" t="s">
        <v>76</v>
      </c>
      <c r="D247" t="s">
        <v>45</v>
      </c>
      <c r="E247" t="s">
        <v>46</v>
      </c>
      <c r="F247" t="s">
        <v>47</v>
      </c>
      <c r="G247" t="s">
        <v>222</v>
      </c>
      <c r="H247" t="s">
        <v>231</v>
      </c>
      <c r="I247" s="2">
        <v>45292</v>
      </c>
    </row>
    <row r="248" spans="1:9" x14ac:dyDescent="0.3">
      <c r="A248" t="s">
        <v>704</v>
      </c>
      <c r="B248" t="s">
        <v>705</v>
      </c>
      <c r="C248" t="s">
        <v>71</v>
      </c>
      <c r="D248" t="s">
        <v>62</v>
      </c>
      <c r="E248" t="s">
        <v>63</v>
      </c>
      <c r="F248" t="s">
        <v>64</v>
      </c>
      <c r="G248" t="s">
        <v>206</v>
      </c>
      <c r="H248" t="s">
        <v>207</v>
      </c>
      <c r="I248" s="2">
        <v>45292</v>
      </c>
    </row>
    <row r="249" spans="1:9" x14ac:dyDescent="0.3">
      <c r="A249" t="s">
        <v>706</v>
      </c>
      <c r="B249" t="s">
        <v>707</v>
      </c>
      <c r="C249" t="s">
        <v>76</v>
      </c>
      <c r="D249" t="s">
        <v>45</v>
      </c>
      <c r="E249" t="s">
        <v>46</v>
      </c>
      <c r="F249" t="s">
        <v>47</v>
      </c>
      <c r="G249" t="s">
        <v>211</v>
      </c>
      <c r="H249" t="s">
        <v>231</v>
      </c>
      <c r="I249" s="2">
        <v>45292</v>
      </c>
    </row>
    <row r="250" spans="1:9" x14ac:dyDescent="0.3">
      <c r="A250" t="s">
        <v>708</v>
      </c>
      <c r="B250" t="s">
        <v>709</v>
      </c>
      <c r="C250" t="s">
        <v>76</v>
      </c>
      <c r="D250" t="s">
        <v>57</v>
      </c>
      <c r="E250" t="s">
        <v>58</v>
      </c>
      <c r="F250" t="s">
        <v>59</v>
      </c>
      <c r="G250" t="s">
        <v>206</v>
      </c>
      <c r="H250" t="s">
        <v>212</v>
      </c>
      <c r="I250" s="2">
        <v>45292</v>
      </c>
    </row>
    <row r="251" spans="1:9" x14ac:dyDescent="0.3">
      <c r="A251" t="s">
        <v>710</v>
      </c>
      <c r="B251" t="s">
        <v>711</v>
      </c>
      <c r="C251" t="s">
        <v>71</v>
      </c>
      <c r="D251" t="s">
        <v>210</v>
      </c>
      <c r="E251" t="s">
        <v>52</v>
      </c>
      <c r="F251" t="s">
        <v>59</v>
      </c>
      <c r="G251" t="s">
        <v>211</v>
      </c>
      <c r="H251" t="s">
        <v>219</v>
      </c>
      <c r="I251" s="2">
        <v>45292</v>
      </c>
    </row>
    <row r="252" spans="1:9" x14ac:dyDescent="0.3">
      <c r="A252" t="s">
        <v>712</v>
      </c>
      <c r="B252" t="s">
        <v>713</v>
      </c>
      <c r="C252" t="s">
        <v>80</v>
      </c>
      <c r="D252" t="s">
        <v>51</v>
      </c>
      <c r="E252" t="s">
        <v>52</v>
      </c>
      <c r="F252" t="s">
        <v>53</v>
      </c>
      <c r="G252" t="s">
        <v>222</v>
      </c>
      <c r="H252" t="s">
        <v>212</v>
      </c>
      <c r="I252" s="2">
        <v>45292</v>
      </c>
    </row>
    <row r="253" spans="1:9" x14ac:dyDescent="0.3">
      <c r="A253" t="s">
        <v>714</v>
      </c>
      <c r="B253" t="s">
        <v>715</v>
      </c>
      <c r="C253" t="s">
        <v>84</v>
      </c>
      <c r="D253" t="s">
        <v>210</v>
      </c>
      <c r="E253" t="s">
        <v>52</v>
      </c>
      <c r="F253" t="s">
        <v>59</v>
      </c>
      <c r="G253" t="s">
        <v>206</v>
      </c>
      <c r="H253" t="s">
        <v>219</v>
      </c>
      <c r="I253" s="2">
        <v>45292</v>
      </c>
    </row>
    <row r="254" spans="1:9" x14ac:dyDescent="0.3">
      <c r="A254" t="s">
        <v>716</v>
      </c>
      <c r="B254" t="s">
        <v>717</v>
      </c>
      <c r="C254" t="s">
        <v>76</v>
      </c>
      <c r="D254" t="s">
        <v>45</v>
      </c>
      <c r="E254" t="s">
        <v>46</v>
      </c>
      <c r="F254" t="s">
        <v>47</v>
      </c>
      <c r="G254" t="s">
        <v>211</v>
      </c>
      <c r="H254" t="s">
        <v>212</v>
      </c>
      <c r="I254" s="2">
        <v>45292</v>
      </c>
    </row>
    <row r="255" spans="1:9" x14ac:dyDescent="0.3">
      <c r="A255" t="s">
        <v>718</v>
      </c>
      <c r="B255" t="s">
        <v>719</v>
      </c>
      <c r="C255" t="s">
        <v>80</v>
      </c>
      <c r="D255" t="s">
        <v>210</v>
      </c>
      <c r="E255" t="s">
        <v>52</v>
      </c>
      <c r="F255" t="s">
        <v>59</v>
      </c>
      <c r="G255" t="s">
        <v>222</v>
      </c>
      <c r="H255" t="s">
        <v>219</v>
      </c>
      <c r="I255" s="2">
        <v>45292</v>
      </c>
    </row>
    <row r="256" spans="1:9" x14ac:dyDescent="0.3">
      <c r="A256" t="s">
        <v>720</v>
      </c>
      <c r="B256" t="s">
        <v>721</v>
      </c>
      <c r="C256" t="s">
        <v>76</v>
      </c>
      <c r="D256" t="s">
        <v>62</v>
      </c>
      <c r="E256" t="s">
        <v>63</v>
      </c>
      <c r="F256" t="s">
        <v>64</v>
      </c>
      <c r="G256" t="s">
        <v>222</v>
      </c>
      <c r="H256" t="s">
        <v>231</v>
      </c>
      <c r="I256" s="2">
        <v>45292</v>
      </c>
    </row>
    <row r="257" spans="1:9" x14ac:dyDescent="0.3">
      <c r="A257" t="s">
        <v>722</v>
      </c>
      <c r="B257" t="s">
        <v>723</v>
      </c>
      <c r="C257" t="s">
        <v>76</v>
      </c>
      <c r="D257" t="s">
        <v>57</v>
      </c>
      <c r="E257" t="s">
        <v>58</v>
      </c>
      <c r="F257" t="s">
        <v>59</v>
      </c>
      <c r="G257" t="s">
        <v>206</v>
      </c>
      <c r="H257" t="s">
        <v>231</v>
      </c>
      <c r="I257" s="2">
        <v>45292</v>
      </c>
    </row>
    <row r="258" spans="1:9" x14ac:dyDescent="0.3">
      <c r="A258" t="s">
        <v>724</v>
      </c>
      <c r="B258" t="s">
        <v>725</v>
      </c>
      <c r="C258" t="s">
        <v>76</v>
      </c>
      <c r="D258" t="s">
        <v>51</v>
      </c>
      <c r="E258" t="s">
        <v>52</v>
      </c>
      <c r="F258" t="s">
        <v>53</v>
      </c>
      <c r="G258" t="s">
        <v>206</v>
      </c>
      <c r="H258" t="s">
        <v>231</v>
      </c>
      <c r="I258" s="2">
        <v>45292</v>
      </c>
    </row>
    <row r="259" spans="1:9" x14ac:dyDescent="0.3">
      <c r="A259" t="s">
        <v>726</v>
      </c>
      <c r="B259" t="s">
        <v>727</v>
      </c>
      <c r="C259" t="s">
        <v>71</v>
      </c>
      <c r="D259" t="s">
        <v>45</v>
      </c>
      <c r="E259" t="s">
        <v>46</v>
      </c>
      <c r="F259" t="s">
        <v>47</v>
      </c>
      <c r="G259" t="s">
        <v>211</v>
      </c>
      <c r="H259" t="s">
        <v>212</v>
      </c>
      <c r="I259" s="2">
        <v>45292</v>
      </c>
    </row>
    <row r="260" spans="1:9" x14ac:dyDescent="0.3">
      <c r="A260" t="s">
        <v>728</v>
      </c>
      <c r="B260" t="s">
        <v>729</v>
      </c>
      <c r="C260" t="s">
        <v>76</v>
      </c>
      <c r="D260" t="s">
        <v>210</v>
      </c>
      <c r="E260" t="s">
        <v>52</v>
      </c>
      <c r="F260" t="s">
        <v>59</v>
      </c>
      <c r="G260" t="s">
        <v>222</v>
      </c>
      <c r="H260" t="s">
        <v>212</v>
      </c>
      <c r="I260" s="2">
        <v>45292</v>
      </c>
    </row>
    <row r="261" spans="1:9" x14ac:dyDescent="0.3">
      <c r="A261" t="s">
        <v>730</v>
      </c>
      <c r="B261" t="s">
        <v>731</v>
      </c>
      <c r="C261" t="s">
        <v>76</v>
      </c>
      <c r="D261" t="s">
        <v>57</v>
      </c>
      <c r="E261" t="s">
        <v>58</v>
      </c>
      <c r="F261" t="s">
        <v>59</v>
      </c>
      <c r="G261" t="s">
        <v>206</v>
      </c>
      <c r="H261" t="s">
        <v>207</v>
      </c>
      <c r="I261" s="2">
        <v>45292</v>
      </c>
    </row>
    <row r="262" spans="1:9" x14ac:dyDescent="0.3">
      <c r="A262" t="s">
        <v>732</v>
      </c>
      <c r="B262" t="s">
        <v>733</v>
      </c>
      <c r="C262" t="s">
        <v>76</v>
      </c>
      <c r="D262" t="s">
        <v>45</v>
      </c>
      <c r="E262" t="s">
        <v>46</v>
      </c>
      <c r="F262" t="s">
        <v>47</v>
      </c>
      <c r="G262" t="s">
        <v>206</v>
      </c>
      <c r="H262" t="s">
        <v>207</v>
      </c>
      <c r="I262" s="2">
        <v>45292</v>
      </c>
    </row>
    <row r="263" spans="1:9" x14ac:dyDescent="0.3">
      <c r="A263" t="s">
        <v>734</v>
      </c>
      <c r="B263" t="s">
        <v>735</v>
      </c>
      <c r="C263" t="s">
        <v>76</v>
      </c>
      <c r="D263" t="s">
        <v>57</v>
      </c>
      <c r="E263" t="s">
        <v>58</v>
      </c>
      <c r="F263" t="s">
        <v>59</v>
      </c>
      <c r="G263" t="s">
        <v>206</v>
      </c>
      <c r="H263" t="s">
        <v>212</v>
      </c>
      <c r="I263" s="2">
        <v>45292</v>
      </c>
    </row>
    <row r="264" spans="1:9" x14ac:dyDescent="0.3">
      <c r="A264" t="s">
        <v>736</v>
      </c>
      <c r="B264" t="s">
        <v>737</v>
      </c>
      <c r="C264" t="s">
        <v>76</v>
      </c>
      <c r="D264" t="s">
        <v>57</v>
      </c>
      <c r="E264" t="s">
        <v>58</v>
      </c>
      <c r="F264" t="s">
        <v>59</v>
      </c>
      <c r="G264" t="s">
        <v>222</v>
      </c>
      <c r="H264" t="s">
        <v>212</v>
      </c>
      <c r="I264" s="2">
        <v>45292</v>
      </c>
    </row>
    <row r="265" spans="1:9" x14ac:dyDescent="0.3">
      <c r="A265" t="s">
        <v>738</v>
      </c>
      <c r="B265" t="s">
        <v>739</v>
      </c>
      <c r="C265" t="s">
        <v>80</v>
      </c>
      <c r="D265" t="s">
        <v>210</v>
      </c>
      <c r="E265" t="s">
        <v>52</v>
      </c>
      <c r="F265" t="s">
        <v>59</v>
      </c>
      <c r="G265" t="s">
        <v>211</v>
      </c>
      <c r="H265" t="s">
        <v>231</v>
      </c>
      <c r="I265" s="2">
        <v>45292</v>
      </c>
    </row>
    <row r="266" spans="1:9" x14ac:dyDescent="0.3">
      <c r="A266" t="s">
        <v>740</v>
      </c>
      <c r="B266" t="s">
        <v>741</v>
      </c>
      <c r="C266" t="s">
        <v>76</v>
      </c>
      <c r="D266" t="s">
        <v>210</v>
      </c>
      <c r="E266" t="s">
        <v>52</v>
      </c>
      <c r="F266" t="s">
        <v>59</v>
      </c>
      <c r="G266" t="s">
        <v>211</v>
      </c>
      <c r="H266" t="s">
        <v>219</v>
      </c>
      <c r="I266" s="2">
        <v>45292</v>
      </c>
    </row>
    <row r="267" spans="1:9" x14ac:dyDescent="0.3">
      <c r="A267" t="s">
        <v>742</v>
      </c>
      <c r="B267" t="s">
        <v>743</v>
      </c>
      <c r="C267" t="s">
        <v>76</v>
      </c>
      <c r="D267" t="s">
        <v>210</v>
      </c>
      <c r="E267" t="s">
        <v>52</v>
      </c>
      <c r="F267" t="s">
        <v>59</v>
      </c>
      <c r="G267" t="s">
        <v>206</v>
      </c>
      <c r="H267" t="s">
        <v>207</v>
      </c>
      <c r="I267" s="2">
        <v>45292</v>
      </c>
    </row>
    <row r="268" spans="1:9" x14ac:dyDescent="0.3">
      <c r="A268" t="s">
        <v>744</v>
      </c>
      <c r="B268" t="s">
        <v>745</v>
      </c>
      <c r="C268" t="s">
        <v>76</v>
      </c>
      <c r="D268" t="s">
        <v>45</v>
      </c>
      <c r="E268" t="s">
        <v>46</v>
      </c>
      <c r="F268" t="s">
        <v>47</v>
      </c>
      <c r="G268" t="s">
        <v>222</v>
      </c>
      <c r="H268" t="s">
        <v>231</v>
      </c>
      <c r="I268" s="2">
        <v>45292</v>
      </c>
    </row>
    <row r="269" spans="1:9" x14ac:dyDescent="0.3">
      <c r="A269" t="s">
        <v>746</v>
      </c>
      <c r="B269" t="s">
        <v>747</v>
      </c>
      <c r="C269" t="s">
        <v>76</v>
      </c>
      <c r="D269" t="s">
        <v>210</v>
      </c>
      <c r="E269" t="s">
        <v>52</v>
      </c>
      <c r="F269" t="s">
        <v>59</v>
      </c>
      <c r="G269" t="s">
        <v>206</v>
      </c>
      <c r="H269" t="s">
        <v>231</v>
      </c>
      <c r="I269" s="2">
        <v>45292</v>
      </c>
    </row>
    <row r="270" spans="1:9" x14ac:dyDescent="0.3">
      <c r="A270" t="s">
        <v>748</v>
      </c>
      <c r="B270" t="s">
        <v>749</v>
      </c>
      <c r="C270" t="s">
        <v>71</v>
      </c>
      <c r="D270" t="s">
        <v>210</v>
      </c>
      <c r="E270" t="s">
        <v>52</v>
      </c>
      <c r="F270" t="s">
        <v>59</v>
      </c>
      <c r="G270" t="s">
        <v>211</v>
      </c>
      <c r="H270" t="s">
        <v>212</v>
      </c>
      <c r="I270" s="2">
        <v>45292</v>
      </c>
    </row>
    <row r="271" spans="1:9" x14ac:dyDescent="0.3">
      <c r="A271" t="s">
        <v>750</v>
      </c>
      <c r="B271" t="s">
        <v>751</v>
      </c>
      <c r="C271" t="s">
        <v>84</v>
      </c>
      <c r="D271" t="s">
        <v>51</v>
      </c>
      <c r="E271" t="s">
        <v>52</v>
      </c>
      <c r="F271" t="s">
        <v>53</v>
      </c>
      <c r="G271" t="s">
        <v>206</v>
      </c>
      <c r="H271" t="s">
        <v>219</v>
      </c>
      <c r="I271" s="2">
        <v>45292</v>
      </c>
    </row>
    <row r="272" spans="1:9" x14ac:dyDescent="0.3">
      <c r="A272" t="s">
        <v>752</v>
      </c>
      <c r="B272" t="s">
        <v>753</v>
      </c>
      <c r="C272" t="s">
        <v>76</v>
      </c>
      <c r="D272" t="s">
        <v>57</v>
      </c>
      <c r="E272" t="s">
        <v>58</v>
      </c>
      <c r="F272" t="s">
        <v>59</v>
      </c>
      <c r="G272" t="s">
        <v>222</v>
      </c>
      <c r="H272" t="s">
        <v>219</v>
      </c>
      <c r="I272" s="2">
        <v>45292</v>
      </c>
    </row>
    <row r="273" spans="1:9" x14ac:dyDescent="0.3">
      <c r="A273" t="s">
        <v>754</v>
      </c>
      <c r="B273" t="s">
        <v>755</v>
      </c>
      <c r="C273" t="s">
        <v>71</v>
      </c>
      <c r="D273" t="s">
        <v>51</v>
      </c>
      <c r="E273" t="s">
        <v>52</v>
      </c>
      <c r="F273" t="s">
        <v>53</v>
      </c>
      <c r="G273" t="s">
        <v>211</v>
      </c>
      <c r="H273" t="s">
        <v>207</v>
      </c>
      <c r="I273" s="2">
        <v>45292</v>
      </c>
    </row>
    <row r="274" spans="1:9" x14ac:dyDescent="0.3">
      <c r="A274" t="s">
        <v>756</v>
      </c>
      <c r="B274" t="s">
        <v>757</v>
      </c>
      <c r="C274" t="s">
        <v>76</v>
      </c>
      <c r="D274" t="s">
        <v>45</v>
      </c>
      <c r="E274" t="s">
        <v>46</v>
      </c>
      <c r="F274" t="s">
        <v>47</v>
      </c>
      <c r="G274" t="s">
        <v>222</v>
      </c>
      <c r="H274" t="s">
        <v>231</v>
      </c>
      <c r="I274" s="2">
        <v>45292</v>
      </c>
    </row>
    <row r="275" spans="1:9" x14ac:dyDescent="0.3">
      <c r="A275" t="s">
        <v>758</v>
      </c>
      <c r="B275" t="s">
        <v>759</v>
      </c>
      <c r="C275" t="s">
        <v>71</v>
      </c>
      <c r="D275" t="s">
        <v>51</v>
      </c>
      <c r="E275" t="s">
        <v>52</v>
      </c>
      <c r="F275" t="s">
        <v>53</v>
      </c>
      <c r="G275" t="s">
        <v>206</v>
      </c>
      <c r="H275" t="s">
        <v>212</v>
      </c>
      <c r="I275" s="2">
        <v>45292</v>
      </c>
    </row>
    <row r="276" spans="1:9" x14ac:dyDescent="0.3">
      <c r="A276" t="s">
        <v>760</v>
      </c>
      <c r="B276" t="s">
        <v>761</v>
      </c>
      <c r="C276" t="s">
        <v>76</v>
      </c>
      <c r="D276" t="s">
        <v>51</v>
      </c>
      <c r="E276" t="s">
        <v>52</v>
      </c>
      <c r="F276" t="s">
        <v>53</v>
      </c>
      <c r="G276" t="s">
        <v>211</v>
      </c>
      <c r="H276" t="s">
        <v>231</v>
      </c>
      <c r="I276" s="2">
        <v>45292</v>
      </c>
    </row>
    <row r="277" spans="1:9" x14ac:dyDescent="0.3">
      <c r="A277" t="s">
        <v>762</v>
      </c>
      <c r="B277" t="s">
        <v>763</v>
      </c>
      <c r="C277" t="s">
        <v>71</v>
      </c>
      <c r="D277" t="s">
        <v>57</v>
      </c>
      <c r="E277" t="s">
        <v>58</v>
      </c>
      <c r="F277" t="s">
        <v>59</v>
      </c>
      <c r="G277" t="s">
        <v>206</v>
      </c>
      <c r="H277" t="s">
        <v>207</v>
      </c>
      <c r="I277" s="2">
        <v>45292</v>
      </c>
    </row>
    <row r="278" spans="1:9" x14ac:dyDescent="0.3">
      <c r="A278" t="s">
        <v>764</v>
      </c>
      <c r="B278" t="s">
        <v>765</v>
      </c>
      <c r="C278" t="s">
        <v>76</v>
      </c>
      <c r="D278" t="s">
        <v>62</v>
      </c>
      <c r="E278" t="s">
        <v>63</v>
      </c>
      <c r="F278" t="s">
        <v>64</v>
      </c>
      <c r="G278" t="s">
        <v>211</v>
      </c>
      <c r="H278" t="s">
        <v>212</v>
      </c>
      <c r="I278" s="2">
        <v>45292</v>
      </c>
    </row>
    <row r="279" spans="1:9" x14ac:dyDescent="0.3">
      <c r="A279" t="s">
        <v>766</v>
      </c>
      <c r="B279" t="s">
        <v>767</v>
      </c>
      <c r="C279" t="s">
        <v>76</v>
      </c>
      <c r="D279" t="s">
        <v>57</v>
      </c>
      <c r="E279" t="s">
        <v>58</v>
      </c>
      <c r="F279" t="s">
        <v>59</v>
      </c>
      <c r="G279" t="s">
        <v>222</v>
      </c>
      <c r="H279" t="s">
        <v>212</v>
      </c>
      <c r="I279" s="2">
        <v>45292</v>
      </c>
    </row>
    <row r="280" spans="1:9" x14ac:dyDescent="0.3">
      <c r="A280" t="s">
        <v>768</v>
      </c>
      <c r="B280" t="s">
        <v>769</v>
      </c>
      <c r="C280" t="s">
        <v>76</v>
      </c>
      <c r="D280" t="s">
        <v>51</v>
      </c>
      <c r="E280" t="s">
        <v>52</v>
      </c>
      <c r="F280" t="s">
        <v>53</v>
      </c>
      <c r="G280" t="s">
        <v>206</v>
      </c>
      <c r="H280" t="s">
        <v>219</v>
      </c>
      <c r="I280" s="2">
        <v>45292</v>
      </c>
    </row>
    <row r="281" spans="1:9" x14ac:dyDescent="0.3">
      <c r="A281" t="s">
        <v>770</v>
      </c>
      <c r="B281" t="s">
        <v>771</v>
      </c>
      <c r="C281" t="s">
        <v>76</v>
      </c>
      <c r="D281" t="s">
        <v>51</v>
      </c>
      <c r="E281" t="s">
        <v>52</v>
      </c>
      <c r="F281" t="s">
        <v>53</v>
      </c>
      <c r="G281" t="s">
        <v>222</v>
      </c>
      <c r="H281" t="s">
        <v>212</v>
      </c>
      <c r="I281" s="2">
        <v>45292</v>
      </c>
    </row>
    <row r="282" spans="1:9" x14ac:dyDescent="0.3">
      <c r="A282" t="s">
        <v>772</v>
      </c>
      <c r="B282" t="s">
        <v>773</v>
      </c>
      <c r="C282" t="s">
        <v>76</v>
      </c>
      <c r="D282" t="s">
        <v>51</v>
      </c>
      <c r="E282" t="s">
        <v>52</v>
      </c>
      <c r="F282" t="s">
        <v>53</v>
      </c>
      <c r="G282" t="s">
        <v>222</v>
      </c>
      <c r="H282" t="s">
        <v>231</v>
      </c>
      <c r="I282" s="2">
        <v>45292</v>
      </c>
    </row>
    <row r="283" spans="1:9" x14ac:dyDescent="0.3">
      <c r="A283" t="s">
        <v>774</v>
      </c>
      <c r="B283" t="s">
        <v>775</v>
      </c>
      <c r="C283" t="s">
        <v>76</v>
      </c>
      <c r="D283" t="s">
        <v>57</v>
      </c>
      <c r="E283" t="s">
        <v>58</v>
      </c>
      <c r="F283" t="s">
        <v>59</v>
      </c>
      <c r="G283" t="s">
        <v>206</v>
      </c>
      <c r="H283" t="s">
        <v>219</v>
      </c>
      <c r="I283" s="2">
        <v>45292</v>
      </c>
    </row>
    <row r="284" spans="1:9" x14ac:dyDescent="0.3">
      <c r="A284" t="s">
        <v>776</v>
      </c>
      <c r="B284" t="s">
        <v>777</v>
      </c>
      <c r="C284" t="s">
        <v>76</v>
      </c>
      <c r="D284" t="s">
        <v>62</v>
      </c>
      <c r="E284" t="s">
        <v>63</v>
      </c>
      <c r="F284" t="s">
        <v>64</v>
      </c>
      <c r="G284" t="s">
        <v>211</v>
      </c>
      <c r="H284" t="s">
        <v>219</v>
      </c>
      <c r="I284" s="2">
        <v>45292</v>
      </c>
    </row>
    <row r="285" spans="1:9" x14ac:dyDescent="0.3">
      <c r="A285" t="s">
        <v>778</v>
      </c>
      <c r="B285" t="s">
        <v>779</v>
      </c>
      <c r="C285" t="s">
        <v>80</v>
      </c>
      <c r="D285" t="s">
        <v>210</v>
      </c>
      <c r="E285" t="s">
        <v>52</v>
      </c>
      <c r="F285" t="s">
        <v>59</v>
      </c>
      <c r="G285" t="s">
        <v>206</v>
      </c>
      <c r="H285" t="s">
        <v>219</v>
      </c>
      <c r="I285" s="2">
        <v>45292</v>
      </c>
    </row>
    <row r="286" spans="1:9" x14ac:dyDescent="0.3">
      <c r="A286" t="s">
        <v>780</v>
      </c>
      <c r="B286" t="s">
        <v>781</v>
      </c>
      <c r="C286" t="s">
        <v>76</v>
      </c>
      <c r="D286" t="s">
        <v>45</v>
      </c>
      <c r="E286" t="s">
        <v>46</v>
      </c>
      <c r="F286" t="s">
        <v>47</v>
      </c>
      <c r="G286" t="s">
        <v>211</v>
      </c>
      <c r="H286" t="s">
        <v>231</v>
      </c>
      <c r="I286" s="2">
        <v>45292</v>
      </c>
    </row>
    <row r="287" spans="1:9" x14ac:dyDescent="0.3">
      <c r="A287" t="s">
        <v>782</v>
      </c>
      <c r="B287" t="s">
        <v>783</v>
      </c>
      <c r="C287" t="s">
        <v>76</v>
      </c>
      <c r="D287" t="s">
        <v>57</v>
      </c>
      <c r="E287" t="s">
        <v>58</v>
      </c>
      <c r="F287" t="s">
        <v>59</v>
      </c>
      <c r="G287" t="s">
        <v>222</v>
      </c>
      <c r="H287" t="s">
        <v>219</v>
      </c>
      <c r="I287" s="2">
        <v>45292</v>
      </c>
    </row>
    <row r="288" spans="1:9" x14ac:dyDescent="0.3">
      <c r="A288" t="s">
        <v>784</v>
      </c>
      <c r="B288" t="s">
        <v>785</v>
      </c>
      <c r="C288" t="s">
        <v>71</v>
      </c>
      <c r="D288" t="s">
        <v>45</v>
      </c>
      <c r="E288" t="s">
        <v>46</v>
      </c>
      <c r="F288" t="s">
        <v>47</v>
      </c>
      <c r="G288" t="s">
        <v>206</v>
      </c>
      <c r="H288" t="s">
        <v>207</v>
      </c>
      <c r="I288" s="2">
        <v>45292</v>
      </c>
    </row>
    <row r="289" spans="1:9" x14ac:dyDescent="0.3">
      <c r="A289" t="s">
        <v>786</v>
      </c>
      <c r="B289" t="s">
        <v>787</v>
      </c>
      <c r="C289" t="s">
        <v>71</v>
      </c>
      <c r="D289" t="s">
        <v>62</v>
      </c>
      <c r="E289" t="s">
        <v>63</v>
      </c>
      <c r="F289" t="s">
        <v>64</v>
      </c>
      <c r="G289" t="s">
        <v>206</v>
      </c>
      <c r="H289" t="s">
        <v>219</v>
      </c>
      <c r="I289" s="2">
        <v>45292</v>
      </c>
    </row>
    <row r="290" spans="1:9" x14ac:dyDescent="0.3">
      <c r="A290" t="s">
        <v>788</v>
      </c>
      <c r="B290" t="s">
        <v>789</v>
      </c>
      <c r="C290" t="s">
        <v>84</v>
      </c>
      <c r="D290" t="s">
        <v>62</v>
      </c>
      <c r="E290" t="s">
        <v>63</v>
      </c>
      <c r="F290" t="s">
        <v>64</v>
      </c>
      <c r="G290" t="s">
        <v>206</v>
      </c>
      <c r="H290" t="s">
        <v>207</v>
      </c>
      <c r="I290" s="2">
        <v>45292</v>
      </c>
    </row>
    <row r="291" spans="1:9" x14ac:dyDescent="0.3">
      <c r="A291" t="s">
        <v>790</v>
      </c>
      <c r="B291" t="s">
        <v>791</v>
      </c>
      <c r="C291" t="s">
        <v>76</v>
      </c>
      <c r="D291" t="s">
        <v>210</v>
      </c>
      <c r="E291" t="s">
        <v>52</v>
      </c>
      <c r="F291" t="s">
        <v>59</v>
      </c>
      <c r="G291" t="s">
        <v>206</v>
      </c>
      <c r="H291" t="s">
        <v>207</v>
      </c>
      <c r="I291" s="2">
        <v>45292</v>
      </c>
    </row>
    <row r="292" spans="1:9" x14ac:dyDescent="0.3">
      <c r="A292" t="s">
        <v>792</v>
      </c>
      <c r="B292" t="s">
        <v>793</v>
      </c>
      <c r="C292" t="s">
        <v>80</v>
      </c>
      <c r="D292" t="s">
        <v>62</v>
      </c>
      <c r="E292" t="s">
        <v>63</v>
      </c>
      <c r="F292" t="s">
        <v>64</v>
      </c>
      <c r="G292" t="s">
        <v>206</v>
      </c>
      <c r="H292" t="s">
        <v>231</v>
      </c>
      <c r="I292" s="2">
        <v>45292</v>
      </c>
    </row>
    <row r="293" spans="1:9" x14ac:dyDescent="0.3">
      <c r="A293" t="s">
        <v>794</v>
      </c>
      <c r="B293" t="s">
        <v>795</v>
      </c>
      <c r="C293" t="s">
        <v>76</v>
      </c>
      <c r="D293" t="s">
        <v>210</v>
      </c>
      <c r="E293" t="s">
        <v>52</v>
      </c>
      <c r="F293" t="s">
        <v>59</v>
      </c>
      <c r="G293" t="s">
        <v>211</v>
      </c>
      <c r="H293" t="s">
        <v>219</v>
      </c>
      <c r="I293" s="2">
        <v>45292</v>
      </c>
    </row>
    <row r="294" spans="1:9" x14ac:dyDescent="0.3">
      <c r="A294" t="s">
        <v>796</v>
      </c>
      <c r="B294" t="s">
        <v>797</v>
      </c>
      <c r="C294" t="s">
        <v>71</v>
      </c>
      <c r="D294" t="s">
        <v>45</v>
      </c>
      <c r="E294" t="s">
        <v>46</v>
      </c>
      <c r="F294" t="s">
        <v>47</v>
      </c>
      <c r="G294" t="s">
        <v>206</v>
      </c>
      <c r="H294" t="s">
        <v>207</v>
      </c>
      <c r="I294" s="2">
        <v>45292</v>
      </c>
    </row>
    <row r="295" spans="1:9" x14ac:dyDescent="0.3">
      <c r="A295" t="s">
        <v>798</v>
      </c>
      <c r="B295" t="s">
        <v>799</v>
      </c>
      <c r="C295" t="s">
        <v>76</v>
      </c>
      <c r="D295" t="s">
        <v>57</v>
      </c>
      <c r="E295" t="s">
        <v>58</v>
      </c>
      <c r="F295" t="s">
        <v>59</v>
      </c>
      <c r="G295" t="s">
        <v>222</v>
      </c>
      <c r="H295" t="s">
        <v>231</v>
      </c>
      <c r="I295" s="2">
        <v>45292</v>
      </c>
    </row>
    <row r="296" spans="1:9" x14ac:dyDescent="0.3">
      <c r="A296" t="s">
        <v>800</v>
      </c>
      <c r="B296" t="s">
        <v>801</v>
      </c>
      <c r="C296" t="s">
        <v>84</v>
      </c>
      <c r="D296" t="s">
        <v>62</v>
      </c>
      <c r="E296" t="s">
        <v>63</v>
      </c>
      <c r="F296" t="s">
        <v>64</v>
      </c>
      <c r="G296" t="s">
        <v>222</v>
      </c>
      <c r="H296" t="s">
        <v>212</v>
      </c>
      <c r="I296" s="2">
        <v>45292</v>
      </c>
    </row>
    <row r="297" spans="1:9" x14ac:dyDescent="0.3">
      <c r="A297" t="s">
        <v>802</v>
      </c>
      <c r="B297" t="s">
        <v>803</v>
      </c>
      <c r="C297" t="s">
        <v>84</v>
      </c>
      <c r="D297" t="s">
        <v>62</v>
      </c>
      <c r="E297" t="s">
        <v>63</v>
      </c>
      <c r="F297" t="s">
        <v>64</v>
      </c>
      <c r="G297" t="s">
        <v>222</v>
      </c>
      <c r="H297" t="s">
        <v>219</v>
      </c>
      <c r="I297" s="2">
        <v>45292</v>
      </c>
    </row>
    <row r="298" spans="1:9" x14ac:dyDescent="0.3">
      <c r="A298" t="s">
        <v>804</v>
      </c>
      <c r="B298" t="s">
        <v>805</v>
      </c>
      <c r="C298" t="s">
        <v>80</v>
      </c>
      <c r="D298" t="s">
        <v>45</v>
      </c>
      <c r="E298" t="s">
        <v>46</v>
      </c>
      <c r="F298" t="s">
        <v>47</v>
      </c>
      <c r="G298" t="s">
        <v>206</v>
      </c>
      <c r="H298" t="s">
        <v>212</v>
      </c>
      <c r="I298" s="2">
        <v>45292</v>
      </c>
    </row>
    <row r="299" spans="1:9" x14ac:dyDescent="0.3">
      <c r="A299" t="s">
        <v>806</v>
      </c>
      <c r="B299" t="s">
        <v>807</v>
      </c>
      <c r="C299" t="s">
        <v>76</v>
      </c>
      <c r="D299" t="s">
        <v>62</v>
      </c>
      <c r="E299" t="s">
        <v>63</v>
      </c>
      <c r="F299" t="s">
        <v>64</v>
      </c>
      <c r="G299" t="s">
        <v>222</v>
      </c>
      <c r="H299" t="s">
        <v>207</v>
      </c>
      <c r="I299" s="2">
        <v>45292</v>
      </c>
    </row>
    <row r="300" spans="1:9" x14ac:dyDescent="0.3">
      <c r="A300" t="s">
        <v>808</v>
      </c>
      <c r="B300" t="s">
        <v>809</v>
      </c>
      <c r="C300" t="s">
        <v>76</v>
      </c>
      <c r="D300" t="s">
        <v>57</v>
      </c>
      <c r="E300" t="s">
        <v>58</v>
      </c>
      <c r="F300" t="s">
        <v>59</v>
      </c>
      <c r="G300" t="s">
        <v>211</v>
      </c>
      <c r="H300" t="s">
        <v>219</v>
      </c>
      <c r="I300" s="2">
        <v>45292</v>
      </c>
    </row>
    <row r="301" spans="1:9" x14ac:dyDescent="0.3">
      <c r="A301" t="s">
        <v>810</v>
      </c>
      <c r="B301" t="s">
        <v>811</v>
      </c>
      <c r="C301" t="s">
        <v>71</v>
      </c>
      <c r="D301" t="s">
        <v>210</v>
      </c>
      <c r="E301" t="s">
        <v>52</v>
      </c>
      <c r="F301" t="s">
        <v>59</v>
      </c>
      <c r="G301" t="s">
        <v>222</v>
      </c>
      <c r="H301" t="s">
        <v>207</v>
      </c>
      <c r="I301" s="2">
        <v>45292</v>
      </c>
    </row>
    <row r="302" spans="1:9" x14ac:dyDescent="0.3">
      <c r="A302" t="s">
        <v>812</v>
      </c>
      <c r="B302" t="s">
        <v>813</v>
      </c>
      <c r="C302" t="s">
        <v>76</v>
      </c>
      <c r="D302" t="s">
        <v>45</v>
      </c>
      <c r="E302" t="s">
        <v>46</v>
      </c>
      <c r="F302" t="s">
        <v>47</v>
      </c>
      <c r="G302" t="s">
        <v>222</v>
      </c>
      <c r="H302" t="s">
        <v>219</v>
      </c>
      <c r="I302" s="2">
        <v>45292</v>
      </c>
    </row>
    <row r="303" spans="1:9" x14ac:dyDescent="0.3">
      <c r="A303" t="s">
        <v>814</v>
      </c>
      <c r="B303" t="s">
        <v>815</v>
      </c>
      <c r="C303" t="s">
        <v>71</v>
      </c>
      <c r="D303" t="s">
        <v>57</v>
      </c>
      <c r="E303" t="s">
        <v>58</v>
      </c>
      <c r="F303" t="s">
        <v>59</v>
      </c>
      <c r="G303" t="s">
        <v>206</v>
      </c>
      <c r="H303" t="s">
        <v>219</v>
      </c>
      <c r="I303" s="2">
        <v>45292</v>
      </c>
    </row>
    <row r="304" spans="1:9" x14ac:dyDescent="0.3">
      <c r="A304" t="s">
        <v>816</v>
      </c>
      <c r="B304" t="s">
        <v>817</v>
      </c>
      <c r="C304" t="s">
        <v>76</v>
      </c>
      <c r="D304" t="s">
        <v>57</v>
      </c>
      <c r="E304" t="s">
        <v>58</v>
      </c>
      <c r="F304" t="s">
        <v>59</v>
      </c>
      <c r="G304" t="s">
        <v>222</v>
      </c>
      <c r="H304" t="s">
        <v>231</v>
      </c>
      <c r="I304" s="2">
        <v>45292</v>
      </c>
    </row>
    <row r="305" spans="1:9" x14ac:dyDescent="0.3">
      <c r="A305" t="s">
        <v>818</v>
      </c>
      <c r="B305" t="s">
        <v>819</v>
      </c>
      <c r="C305" t="s">
        <v>80</v>
      </c>
      <c r="D305" t="s">
        <v>51</v>
      </c>
      <c r="E305" t="s">
        <v>52</v>
      </c>
      <c r="F305" t="s">
        <v>53</v>
      </c>
      <c r="G305" t="s">
        <v>211</v>
      </c>
      <c r="H305" t="s">
        <v>207</v>
      </c>
      <c r="I305" s="2">
        <v>45292</v>
      </c>
    </row>
    <row r="306" spans="1:9" x14ac:dyDescent="0.3">
      <c r="A306" t="s">
        <v>820</v>
      </c>
      <c r="B306" t="s">
        <v>821</v>
      </c>
      <c r="C306" t="s">
        <v>76</v>
      </c>
      <c r="D306" t="s">
        <v>45</v>
      </c>
      <c r="E306" t="s">
        <v>46</v>
      </c>
      <c r="F306" t="s">
        <v>47</v>
      </c>
      <c r="G306" t="s">
        <v>222</v>
      </c>
      <c r="H306" t="s">
        <v>231</v>
      </c>
      <c r="I306" s="2">
        <v>45292</v>
      </c>
    </row>
    <row r="307" spans="1:9" x14ac:dyDescent="0.3">
      <c r="A307" t="s">
        <v>822</v>
      </c>
      <c r="B307" t="s">
        <v>823</v>
      </c>
      <c r="C307" t="s">
        <v>76</v>
      </c>
      <c r="D307" t="s">
        <v>51</v>
      </c>
      <c r="E307" t="s">
        <v>52</v>
      </c>
      <c r="F307" t="s">
        <v>53</v>
      </c>
      <c r="G307" t="s">
        <v>211</v>
      </c>
      <c r="H307" t="s">
        <v>212</v>
      </c>
      <c r="I307" s="2">
        <v>45292</v>
      </c>
    </row>
    <row r="308" spans="1:9" x14ac:dyDescent="0.3">
      <c r="A308" t="s">
        <v>824</v>
      </c>
      <c r="B308" t="s">
        <v>825</v>
      </c>
      <c r="C308" t="s">
        <v>71</v>
      </c>
      <c r="D308" t="s">
        <v>45</v>
      </c>
      <c r="E308" t="s">
        <v>46</v>
      </c>
      <c r="F308" t="s">
        <v>47</v>
      </c>
      <c r="G308" t="s">
        <v>222</v>
      </c>
      <c r="H308" t="s">
        <v>212</v>
      </c>
      <c r="I308" s="2">
        <v>45292</v>
      </c>
    </row>
    <row r="309" spans="1:9" x14ac:dyDescent="0.3">
      <c r="A309" t="s">
        <v>826</v>
      </c>
      <c r="B309" t="s">
        <v>827</v>
      </c>
      <c r="C309" t="s">
        <v>76</v>
      </c>
      <c r="D309" t="s">
        <v>210</v>
      </c>
      <c r="E309" t="s">
        <v>52</v>
      </c>
      <c r="F309" t="s">
        <v>59</v>
      </c>
      <c r="G309" t="s">
        <v>222</v>
      </c>
      <c r="H309" t="s">
        <v>231</v>
      </c>
      <c r="I309" s="2">
        <v>45292</v>
      </c>
    </row>
    <row r="310" spans="1:9" x14ac:dyDescent="0.3">
      <c r="A310" t="s">
        <v>828</v>
      </c>
      <c r="B310" t="s">
        <v>829</v>
      </c>
      <c r="C310" t="s">
        <v>76</v>
      </c>
      <c r="D310" t="s">
        <v>62</v>
      </c>
      <c r="E310" t="s">
        <v>63</v>
      </c>
      <c r="F310" t="s">
        <v>64</v>
      </c>
      <c r="G310" t="s">
        <v>222</v>
      </c>
      <c r="H310" t="s">
        <v>212</v>
      </c>
      <c r="I310" s="2">
        <v>45292</v>
      </c>
    </row>
    <row r="311" spans="1:9" x14ac:dyDescent="0.3">
      <c r="A311" t="s">
        <v>830</v>
      </c>
      <c r="B311" t="s">
        <v>831</v>
      </c>
      <c r="C311" t="s">
        <v>76</v>
      </c>
      <c r="D311" t="s">
        <v>62</v>
      </c>
      <c r="E311" t="s">
        <v>63</v>
      </c>
      <c r="F311" t="s">
        <v>64</v>
      </c>
      <c r="G311" t="s">
        <v>222</v>
      </c>
      <c r="H311" t="s">
        <v>219</v>
      </c>
      <c r="I311" s="2">
        <v>45292</v>
      </c>
    </row>
    <row r="312" spans="1:9" x14ac:dyDescent="0.3">
      <c r="A312" t="s">
        <v>832</v>
      </c>
      <c r="B312" t="s">
        <v>833</v>
      </c>
      <c r="C312" t="s">
        <v>76</v>
      </c>
      <c r="D312" t="s">
        <v>210</v>
      </c>
      <c r="E312" t="s">
        <v>52</v>
      </c>
      <c r="F312" t="s">
        <v>59</v>
      </c>
      <c r="G312" t="s">
        <v>211</v>
      </c>
      <c r="H312" t="s">
        <v>219</v>
      </c>
      <c r="I312" s="2">
        <v>45292</v>
      </c>
    </row>
    <row r="313" spans="1:9" x14ac:dyDescent="0.3">
      <c r="A313" t="s">
        <v>834</v>
      </c>
      <c r="B313" t="s">
        <v>835</v>
      </c>
      <c r="C313" t="s">
        <v>76</v>
      </c>
      <c r="D313" t="s">
        <v>210</v>
      </c>
      <c r="E313" t="s">
        <v>52</v>
      </c>
      <c r="F313" t="s">
        <v>59</v>
      </c>
      <c r="G313" t="s">
        <v>222</v>
      </c>
      <c r="H313" t="s">
        <v>231</v>
      </c>
      <c r="I313" s="2">
        <v>45292</v>
      </c>
    </row>
    <row r="314" spans="1:9" x14ac:dyDescent="0.3">
      <c r="A314" t="s">
        <v>836</v>
      </c>
      <c r="B314" t="s">
        <v>837</v>
      </c>
      <c r="C314" t="s">
        <v>76</v>
      </c>
      <c r="D314" t="s">
        <v>57</v>
      </c>
      <c r="E314" t="s">
        <v>58</v>
      </c>
      <c r="F314" t="s">
        <v>59</v>
      </c>
      <c r="G314" t="s">
        <v>222</v>
      </c>
      <c r="H314" t="s">
        <v>231</v>
      </c>
      <c r="I314" s="2">
        <v>45292</v>
      </c>
    </row>
    <row r="315" spans="1:9" x14ac:dyDescent="0.3">
      <c r="A315" t="s">
        <v>838</v>
      </c>
      <c r="B315" t="s">
        <v>839</v>
      </c>
      <c r="C315" t="s">
        <v>84</v>
      </c>
      <c r="D315" t="s">
        <v>51</v>
      </c>
      <c r="E315" t="s">
        <v>52</v>
      </c>
      <c r="F315" t="s">
        <v>53</v>
      </c>
      <c r="G315" t="s">
        <v>222</v>
      </c>
      <c r="H315" t="s">
        <v>231</v>
      </c>
      <c r="I315" s="2">
        <v>45292</v>
      </c>
    </row>
    <row r="316" spans="1:9" x14ac:dyDescent="0.3">
      <c r="A316" t="s">
        <v>840</v>
      </c>
      <c r="B316" t="s">
        <v>841</v>
      </c>
      <c r="C316" t="s">
        <v>76</v>
      </c>
      <c r="D316" t="s">
        <v>51</v>
      </c>
      <c r="E316" t="s">
        <v>52</v>
      </c>
      <c r="F316" t="s">
        <v>53</v>
      </c>
      <c r="G316" t="s">
        <v>211</v>
      </c>
      <c r="H316" t="s">
        <v>231</v>
      </c>
      <c r="I316" s="2">
        <v>45292</v>
      </c>
    </row>
    <row r="317" spans="1:9" x14ac:dyDescent="0.3">
      <c r="A317" t="s">
        <v>842</v>
      </c>
      <c r="B317" t="s">
        <v>843</v>
      </c>
      <c r="C317" t="s">
        <v>76</v>
      </c>
      <c r="D317" t="s">
        <v>51</v>
      </c>
      <c r="E317" t="s">
        <v>52</v>
      </c>
      <c r="F317" t="s">
        <v>53</v>
      </c>
      <c r="G317" t="s">
        <v>222</v>
      </c>
      <c r="H317" t="s">
        <v>231</v>
      </c>
      <c r="I317" s="2">
        <v>45292</v>
      </c>
    </row>
    <row r="318" spans="1:9" x14ac:dyDescent="0.3">
      <c r="A318" t="s">
        <v>844</v>
      </c>
      <c r="B318" t="s">
        <v>845</v>
      </c>
      <c r="C318" t="s">
        <v>71</v>
      </c>
      <c r="D318" t="s">
        <v>45</v>
      </c>
      <c r="E318" t="s">
        <v>46</v>
      </c>
      <c r="F318" t="s">
        <v>47</v>
      </c>
      <c r="G318" t="s">
        <v>206</v>
      </c>
      <c r="H318" t="s">
        <v>207</v>
      </c>
      <c r="I318" s="2">
        <v>45292</v>
      </c>
    </row>
    <row r="319" spans="1:9" x14ac:dyDescent="0.3">
      <c r="A319" t="s">
        <v>846</v>
      </c>
      <c r="B319" t="s">
        <v>847</v>
      </c>
      <c r="C319" t="s">
        <v>80</v>
      </c>
      <c r="D319" t="s">
        <v>51</v>
      </c>
      <c r="E319" t="s">
        <v>52</v>
      </c>
      <c r="F319" t="s">
        <v>53</v>
      </c>
      <c r="G319" t="s">
        <v>206</v>
      </c>
      <c r="H319" t="s">
        <v>219</v>
      </c>
      <c r="I319" s="2">
        <v>45292</v>
      </c>
    </row>
    <row r="320" spans="1:9" x14ac:dyDescent="0.3">
      <c r="A320" t="s">
        <v>848</v>
      </c>
      <c r="B320" t="s">
        <v>849</v>
      </c>
      <c r="C320" t="s">
        <v>76</v>
      </c>
      <c r="D320" t="s">
        <v>51</v>
      </c>
      <c r="E320" t="s">
        <v>52</v>
      </c>
      <c r="F320" t="s">
        <v>53</v>
      </c>
      <c r="G320" t="s">
        <v>206</v>
      </c>
      <c r="H320" t="s">
        <v>207</v>
      </c>
      <c r="I320" s="2">
        <v>45292</v>
      </c>
    </row>
    <row r="321" spans="1:9" x14ac:dyDescent="0.3">
      <c r="A321" t="s">
        <v>850</v>
      </c>
      <c r="B321" t="s">
        <v>851</v>
      </c>
      <c r="C321" t="s">
        <v>71</v>
      </c>
      <c r="D321" t="s">
        <v>45</v>
      </c>
      <c r="E321" t="s">
        <v>46</v>
      </c>
      <c r="F321" t="s">
        <v>47</v>
      </c>
      <c r="G321" t="s">
        <v>222</v>
      </c>
      <c r="H321" t="s">
        <v>231</v>
      </c>
      <c r="I321" s="2">
        <v>45292</v>
      </c>
    </row>
    <row r="322" spans="1:9" x14ac:dyDescent="0.3">
      <c r="A322" t="s">
        <v>852</v>
      </c>
      <c r="B322" t="s">
        <v>853</v>
      </c>
      <c r="C322" t="s">
        <v>80</v>
      </c>
      <c r="D322" t="s">
        <v>62</v>
      </c>
      <c r="E322" t="s">
        <v>63</v>
      </c>
      <c r="F322" t="s">
        <v>64</v>
      </c>
      <c r="G322" t="s">
        <v>222</v>
      </c>
      <c r="H322" t="s">
        <v>219</v>
      </c>
      <c r="I322" s="2">
        <v>45292</v>
      </c>
    </row>
    <row r="323" spans="1:9" x14ac:dyDescent="0.3">
      <c r="A323" t="s">
        <v>854</v>
      </c>
      <c r="B323" t="s">
        <v>855</v>
      </c>
      <c r="C323" t="s">
        <v>80</v>
      </c>
      <c r="D323" t="s">
        <v>210</v>
      </c>
      <c r="E323" t="s">
        <v>52</v>
      </c>
      <c r="F323" t="s">
        <v>59</v>
      </c>
      <c r="G323" t="s">
        <v>211</v>
      </c>
      <c r="H323" t="s">
        <v>207</v>
      </c>
      <c r="I323" s="2">
        <v>45292</v>
      </c>
    </row>
    <row r="324" spans="1:9" x14ac:dyDescent="0.3">
      <c r="A324" t="s">
        <v>856</v>
      </c>
      <c r="B324" t="s">
        <v>857</v>
      </c>
      <c r="C324" t="s">
        <v>76</v>
      </c>
      <c r="D324" t="s">
        <v>51</v>
      </c>
      <c r="E324" t="s">
        <v>52</v>
      </c>
      <c r="F324" t="s">
        <v>53</v>
      </c>
      <c r="G324" t="s">
        <v>211</v>
      </c>
      <c r="H324" t="s">
        <v>219</v>
      </c>
      <c r="I324" s="2">
        <v>45292</v>
      </c>
    </row>
    <row r="325" spans="1:9" x14ac:dyDescent="0.3">
      <c r="A325" t="s">
        <v>858</v>
      </c>
      <c r="B325" t="s">
        <v>859</v>
      </c>
      <c r="C325" t="s">
        <v>80</v>
      </c>
      <c r="D325" t="s">
        <v>57</v>
      </c>
      <c r="E325" t="s">
        <v>58</v>
      </c>
      <c r="F325" t="s">
        <v>59</v>
      </c>
      <c r="G325" t="s">
        <v>222</v>
      </c>
      <c r="H325" t="s">
        <v>231</v>
      </c>
      <c r="I325" s="2">
        <v>45292</v>
      </c>
    </row>
    <row r="326" spans="1:9" x14ac:dyDescent="0.3">
      <c r="A326" t="s">
        <v>860</v>
      </c>
      <c r="B326" t="s">
        <v>861</v>
      </c>
      <c r="C326" t="s">
        <v>76</v>
      </c>
      <c r="D326" t="s">
        <v>210</v>
      </c>
      <c r="E326" t="s">
        <v>52</v>
      </c>
      <c r="F326" t="s">
        <v>59</v>
      </c>
      <c r="G326" t="s">
        <v>222</v>
      </c>
      <c r="H326" t="s">
        <v>231</v>
      </c>
      <c r="I326" s="2">
        <v>45292</v>
      </c>
    </row>
    <row r="327" spans="1:9" x14ac:dyDescent="0.3">
      <c r="A327" t="s">
        <v>862</v>
      </c>
      <c r="B327" t="s">
        <v>863</v>
      </c>
      <c r="C327" t="s">
        <v>84</v>
      </c>
      <c r="D327" t="s">
        <v>45</v>
      </c>
      <c r="E327" t="s">
        <v>46</v>
      </c>
      <c r="F327" t="s">
        <v>47</v>
      </c>
      <c r="G327" t="s">
        <v>206</v>
      </c>
      <c r="H327" t="s">
        <v>207</v>
      </c>
      <c r="I327" s="2">
        <v>45292</v>
      </c>
    </row>
    <row r="328" spans="1:9" x14ac:dyDescent="0.3">
      <c r="A328" t="s">
        <v>864</v>
      </c>
      <c r="B328" t="s">
        <v>865</v>
      </c>
      <c r="C328" t="s">
        <v>71</v>
      </c>
      <c r="D328" t="s">
        <v>210</v>
      </c>
      <c r="E328" t="s">
        <v>52</v>
      </c>
      <c r="F328" t="s">
        <v>59</v>
      </c>
      <c r="G328" t="s">
        <v>211</v>
      </c>
      <c r="H328" t="s">
        <v>212</v>
      </c>
      <c r="I328" s="2">
        <v>45292</v>
      </c>
    </row>
    <row r="329" spans="1:9" x14ac:dyDescent="0.3">
      <c r="A329" t="s">
        <v>866</v>
      </c>
      <c r="B329" t="s">
        <v>867</v>
      </c>
      <c r="C329" t="s">
        <v>71</v>
      </c>
      <c r="D329" t="s">
        <v>57</v>
      </c>
      <c r="E329" t="s">
        <v>58</v>
      </c>
      <c r="F329" t="s">
        <v>59</v>
      </c>
      <c r="G329" t="s">
        <v>206</v>
      </c>
      <c r="H329" t="s">
        <v>219</v>
      </c>
      <c r="I329" s="2">
        <v>45292</v>
      </c>
    </row>
    <row r="330" spans="1:9" x14ac:dyDescent="0.3">
      <c r="A330" t="s">
        <v>868</v>
      </c>
      <c r="B330" t="s">
        <v>869</v>
      </c>
      <c r="C330" t="s">
        <v>76</v>
      </c>
      <c r="D330" t="s">
        <v>62</v>
      </c>
      <c r="E330" t="s">
        <v>63</v>
      </c>
      <c r="F330" t="s">
        <v>64</v>
      </c>
      <c r="G330" t="s">
        <v>211</v>
      </c>
      <c r="H330" t="s">
        <v>231</v>
      </c>
      <c r="I330" s="2">
        <v>45292</v>
      </c>
    </row>
    <row r="331" spans="1:9" x14ac:dyDescent="0.3">
      <c r="A331" t="s">
        <v>870</v>
      </c>
      <c r="B331" t="s">
        <v>871</v>
      </c>
      <c r="C331" t="s">
        <v>76</v>
      </c>
      <c r="D331" t="s">
        <v>57</v>
      </c>
      <c r="E331" t="s">
        <v>58</v>
      </c>
      <c r="F331" t="s">
        <v>59</v>
      </c>
      <c r="G331" t="s">
        <v>222</v>
      </c>
      <c r="H331" t="s">
        <v>231</v>
      </c>
      <c r="I331" s="2">
        <v>45292</v>
      </c>
    </row>
    <row r="332" spans="1:9" x14ac:dyDescent="0.3">
      <c r="A332" t="s">
        <v>872</v>
      </c>
      <c r="B332" t="s">
        <v>873</v>
      </c>
      <c r="C332" t="s">
        <v>76</v>
      </c>
      <c r="D332" t="s">
        <v>45</v>
      </c>
      <c r="E332" t="s">
        <v>46</v>
      </c>
      <c r="F332" t="s">
        <v>47</v>
      </c>
      <c r="G332" t="s">
        <v>211</v>
      </c>
      <c r="H332" t="s">
        <v>231</v>
      </c>
      <c r="I332" s="2">
        <v>45292</v>
      </c>
    </row>
    <row r="333" spans="1:9" x14ac:dyDescent="0.3">
      <c r="A333" t="s">
        <v>874</v>
      </c>
      <c r="B333" t="s">
        <v>875</v>
      </c>
      <c r="C333" t="s">
        <v>76</v>
      </c>
      <c r="D333" t="s">
        <v>57</v>
      </c>
      <c r="E333" t="s">
        <v>58</v>
      </c>
      <c r="F333" t="s">
        <v>59</v>
      </c>
      <c r="G333" t="s">
        <v>206</v>
      </c>
      <c r="H333" t="s">
        <v>231</v>
      </c>
      <c r="I333" s="2">
        <v>45292</v>
      </c>
    </row>
    <row r="334" spans="1:9" x14ac:dyDescent="0.3">
      <c r="A334" t="s">
        <v>876</v>
      </c>
      <c r="B334" t="s">
        <v>877</v>
      </c>
      <c r="C334" t="s">
        <v>84</v>
      </c>
      <c r="D334" t="s">
        <v>51</v>
      </c>
      <c r="E334" t="s">
        <v>52</v>
      </c>
      <c r="F334" t="s">
        <v>53</v>
      </c>
      <c r="G334" t="s">
        <v>206</v>
      </c>
      <c r="H334" t="s">
        <v>231</v>
      </c>
      <c r="I334" s="2">
        <v>45292</v>
      </c>
    </row>
    <row r="335" spans="1:9" x14ac:dyDescent="0.3">
      <c r="A335" t="s">
        <v>878</v>
      </c>
      <c r="B335" t="s">
        <v>879</v>
      </c>
      <c r="C335" t="s">
        <v>76</v>
      </c>
      <c r="D335" t="s">
        <v>57</v>
      </c>
      <c r="E335" t="s">
        <v>58</v>
      </c>
      <c r="F335" t="s">
        <v>59</v>
      </c>
      <c r="G335" t="s">
        <v>206</v>
      </c>
      <c r="H335" t="s">
        <v>207</v>
      </c>
      <c r="I335" s="2">
        <v>45292</v>
      </c>
    </row>
    <row r="336" spans="1:9" x14ac:dyDescent="0.3">
      <c r="A336" t="s">
        <v>880</v>
      </c>
      <c r="B336" t="s">
        <v>881</v>
      </c>
      <c r="C336" t="s">
        <v>76</v>
      </c>
      <c r="D336" t="s">
        <v>45</v>
      </c>
      <c r="E336" t="s">
        <v>46</v>
      </c>
      <c r="F336" t="s">
        <v>47</v>
      </c>
      <c r="G336" t="s">
        <v>211</v>
      </c>
      <c r="H336" t="s">
        <v>207</v>
      </c>
      <c r="I336" s="2">
        <v>45292</v>
      </c>
    </row>
    <row r="337" spans="1:9" x14ac:dyDescent="0.3">
      <c r="A337" t="s">
        <v>882</v>
      </c>
      <c r="B337" t="s">
        <v>883</v>
      </c>
      <c r="C337" t="s">
        <v>71</v>
      </c>
      <c r="D337" t="s">
        <v>62</v>
      </c>
      <c r="E337" t="s">
        <v>63</v>
      </c>
      <c r="F337" t="s">
        <v>64</v>
      </c>
      <c r="G337" t="s">
        <v>211</v>
      </c>
      <c r="H337" t="s">
        <v>207</v>
      </c>
      <c r="I337" s="2">
        <v>45292</v>
      </c>
    </row>
    <row r="338" spans="1:9" x14ac:dyDescent="0.3">
      <c r="A338" t="s">
        <v>884</v>
      </c>
      <c r="B338" t="s">
        <v>885</v>
      </c>
      <c r="C338" t="s">
        <v>76</v>
      </c>
      <c r="D338" t="s">
        <v>210</v>
      </c>
      <c r="E338" t="s">
        <v>52</v>
      </c>
      <c r="F338" t="s">
        <v>59</v>
      </c>
      <c r="G338" t="s">
        <v>222</v>
      </c>
      <c r="H338" t="s">
        <v>231</v>
      </c>
      <c r="I338" s="2">
        <v>45292</v>
      </c>
    </row>
    <row r="339" spans="1:9" x14ac:dyDescent="0.3">
      <c r="A339" t="s">
        <v>886</v>
      </c>
      <c r="B339" t="s">
        <v>887</v>
      </c>
      <c r="C339" t="s">
        <v>76</v>
      </c>
      <c r="D339" t="s">
        <v>45</v>
      </c>
      <c r="E339" t="s">
        <v>46</v>
      </c>
      <c r="F339" t="s">
        <v>47</v>
      </c>
      <c r="G339" t="s">
        <v>211</v>
      </c>
      <c r="H339" t="s">
        <v>231</v>
      </c>
      <c r="I339" s="2">
        <v>45292</v>
      </c>
    </row>
    <row r="340" spans="1:9" x14ac:dyDescent="0.3">
      <c r="A340" t="s">
        <v>888</v>
      </c>
      <c r="B340" t="s">
        <v>889</v>
      </c>
      <c r="C340" t="s">
        <v>76</v>
      </c>
      <c r="D340" t="s">
        <v>210</v>
      </c>
      <c r="E340" t="s">
        <v>52</v>
      </c>
      <c r="F340" t="s">
        <v>59</v>
      </c>
      <c r="G340" t="s">
        <v>206</v>
      </c>
      <c r="H340" t="s">
        <v>219</v>
      </c>
      <c r="I340" s="2">
        <v>45292</v>
      </c>
    </row>
    <row r="341" spans="1:9" x14ac:dyDescent="0.3">
      <c r="A341" t="s">
        <v>890</v>
      </c>
      <c r="B341" t="s">
        <v>891</v>
      </c>
      <c r="C341" t="s">
        <v>76</v>
      </c>
      <c r="D341" t="s">
        <v>57</v>
      </c>
      <c r="E341" t="s">
        <v>58</v>
      </c>
      <c r="F341" t="s">
        <v>59</v>
      </c>
      <c r="G341" t="s">
        <v>222</v>
      </c>
      <c r="H341" t="s">
        <v>212</v>
      </c>
      <c r="I341" s="2">
        <v>45292</v>
      </c>
    </row>
    <row r="342" spans="1:9" x14ac:dyDescent="0.3">
      <c r="A342" t="s">
        <v>892</v>
      </c>
      <c r="B342" t="s">
        <v>893</v>
      </c>
      <c r="C342" t="s">
        <v>84</v>
      </c>
      <c r="D342" t="s">
        <v>57</v>
      </c>
      <c r="E342" t="s">
        <v>58</v>
      </c>
      <c r="F342" t="s">
        <v>59</v>
      </c>
      <c r="G342" t="s">
        <v>211</v>
      </c>
      <c r="H342" t="s">
        <v>212</v>
      </c>
      <c r="I342" s="2">
        <v>45292</v>
      </c>
    </row>
    <row r="343" spans="1:9" x14ac:dyDescent="0.3">
      <c r="A343" t="s">
        <v>894</v>
      </c>
      <c r="B343" t="s">
        <v>895</v>
      </c>
      <c r="C343" t="s">
        <v>71</v>
      </c>
      <c r="D343" t="s">
        <v>62</v>
      </c>
      <c r="E343" t="s">
        <v>63</v>
      </c>
      <c r="F343" t="s">
        <v>64</v>
      </c>
      <c r="G343" t="s">
        <v>206</v>
      </c>
      <c r="H343" t="s">
        <v>231</v>
      </c>
      <c r="I343" s="2">
        <v>45292</v>
      </c>
    </row>
    <row r="344" spans="1:9" x14ac:dyDescent="0.3">
      <c r="A344" t="s">
        <v>896</v>
      </c>
      <c r="B344" t="s">
        <v>897</v>
      </c>
      <c r="C344" t="s">
        <v>76</v>
      </c>
      <c r="D344" t="s">
        <v>210</v>
      </c>
      <c r="E344" t="s">
        <v>52</v>
      </c>
      <c r="F344" t="s">
        <v>59</v>
      </c>
      <c r="G344" t="s">
        <v>222</v>
      </c>
      <c r="H344" t="s">
        <v>219</v>
      </c>
      <c r="I344" s="2">
        <v>45292</v>
      </c>
    </row>
    <row r="345" spans="1:9" x14ac:dyDescent="0.3">
      <c r="A345" t="s">
        <v>898</v>
      </c>
      <c r="B345" t="s">
        <v>899</v>
      </c>
      <c r="C345" t="s">
        <v>76</v>
      </c>
      <c r="D345" t="s">
        <v>57</v>
      </c>
      <c r="E345" t="s">
        <v>58</v>
      </c>
      <c r="F345" t="s">
        <v>59</v>
      </c>
      <c r="G345" t="s">
        <v>206</v>
      </c>
      <c r="H345" t="s">
        <v>207</v>
      </c>
      <c r="I345" s="2">
        <v>45292</v>
      </c>
    </row>
    <row r="346" spans="1:9" x14ac:dyDescent="0.3">
      <c r="A346" t="s">
        <v>900</v>
      </c>
      <c r="B346" t="s">
        <v>901</v>
      </c>
      <c r="C346" t="s">
        <v>76</v>
      </c>
      <c r="D346" t="s">
        <v>210</v>
      </c>
      <c r="E346" t="s">
        <v>52</v>
      </c>
      <c r="F346" t="s">
        <v>59</v>
      </c>
      <c r="G346" t="s">
        <v>222</v>
      </c>
      <c r="H346" t="s">
        <v>207</v>
      </c>
      <c r="I346" s="2">
        <v>45292</v>
      </c>
    </row>
    <row r="347" spans="1:9" x14ac:dyDescent="0.3">
      <c r="A347" t="s">
        <v>902</v>
      </c>
      <c r="B347" t="s">
        <v>903</v>
      </c>
      <c r="C347" t="s">
        <v>76</v>
      </c>
      <c r="D347" t="s">
        <v>57</v>
      </c>
      <c r="E347" t="s">
        <v>58</v>
      </c>
      <c r="F347" t="s">
        <v>59</v>
      </c>
      <c r="G347" t="s">
        <v>222</v>
      </c>
      <c r="H347" t="s">
        <v>219</v>
      </c>
      <c r="I347" s="2">
        <v>45292</v>
      </c>
    </row>
    <row r="348" spans="1:9" x14ac:dyDescent="0.3">
      <c r="A348" t="s">
        <v>904</v>
      </c>
      <c r="B348" t="s">
        <v>905</v>
      </c>
      <c r="C348" t="s">
        <v>80</v>
      </c>
      <c r="D348" t="s">
        <v>62</v>
      </c>
      <c r="E348" t="s">
        <v>63</v>
      </c>
      <c r="F348" t="s">
        <v>64</v>
      </c>
      <c r="G348" t="s">
        <v>206</v>
      </c>
      <c r="H348" t="s">
        <v>212</v>
      </c>
      <c r="I348" s="2">
        <v>45292</v>
      </c>
    </row>
    <row r="349" spans="1:9" x14ac:dyDescent="0.3">
      <c r="A349" t="s">
        <v>906</v>
      </c>
      <c r="B349" t="s">
        <v>907</v>
      </c>
      <c r="C349" t="s">
        <v>71</v>
      </c>
      <c r="D349" t="s">
        <v>210</v>
      </c>
      <c r="E349" t="s">
        <v>52</v>
      </c>
      <c r="F349" t="s">
        <v>59</v>
      </c>
      <c r="G349" t="s">
        <v>222</v>
      </c>
      <c r="H349" t="s">
        <v>219</v>
      </c>
      <c r="I349" s="2">
        <v>45292</v>
      </c>
    </row>
    <row r="350" spans="1:9" x14ac:dyDescent="0.3">
      <c r="A350" t="s">
        <v>908</v>
      </c>
      <c r="B350" t="s">
        <v>909</v>
      </c>
      <c r="C350" t="s">
        <v>76</v>
      </c>
      <c r="D350" t="s">
        <v>210</v>
      </c>
      <c r="E350" t="s">
        <v>52</v>
      </c>
      <c r="F350" t="s">
        <v>59</v>
      </c>
      <c r="G350" t="s">
        <v>211</v>
      </c>
      <c r="H350" t="s">
        <v>212</v>
      </c>
      <c r="I350" s="2">
        <v>45292</v>
      </c>
    </row>
    <row r="351" spans="1:9" x14ac:dyDescent="0.3">
      <c r="A351" t="s">
        <v>910</v>
      </c>
      <c r="B351" t="s">
        <v>911</v>
      </c>
      <c r="C351" t="s">
        <v>76</v>
      </c>
      <c r="D351" t="s">
        <v>51</v>
      </c>
      <c r="E351" t="s">
        <v>52</v>
      </c>
      <c r="F351" t="s">
        <v>53</v>
      </c>
      <c r="G351" t="s">
        <v>222</v>
      </c>
      <c r="H351" t="s">
        <v>207</v>
      </c>
      <c r="I351" s="2">
        <v>45292</v>
      </c>
    </row>
    <row r="352" spans="1:9" x14ac:dyDescent="0.3">
      <c r="A352" t="s">
        <v>912</v>
      </c>
      <c r="B352" t="s">
        <v>913</v>
      </c>
      <c r="C352" t="s">
        <v>76</v>
      </c>
      <c r="D352" t="s">
        <v>62</v>
      </c>
      <c r="E352" t="s">
        <v>63</v>
      </c>
      <c r="F352" t="s">
        <v>64</v>
      </c>
      <c r="G352" t="s">
        <v>222</v>
      </c>
      <c r="H352" t="s">
        <v>231</v>
      </c>
      <c r="I352" s="2">
        <v>45292</v>
      </c>
    </row>
    <row r="353" spans="1:9" x14ac:dyDescent="0.3">
      <c r="A353" t="s">
        <v>914</v>
      </c>
      <c r="B353" t="s">
        <v>915</v>
      </c>
      <c r="C353" t="s">
        <v>71</v>
      </c>
      <c r="D353" t="s">
        <v>210</v>
      </c>
      <c r="E353" t="s">
        <v>52</v>
      </c>
      <c r="F353" t="s">
        <v>59</v>
      </c>
      <c r="G353" t="s">
        <v>222</v>
      </c>
      <c r="H353" t="s">
        <v>207</v>
      </c>
      <c r="I353" s="2">
        <v>45292</v>
      </c>
    </row>
    <row r="354" spans="1:9" x14ac:dyDescent="0.3">
      <c r="A354" t="s">
        <v>916</v>
      </c>
      <c r="B354" t="s">
        <v>917</v>
      </c>
      <c r="C354" t="s">
        <v>71</v>
      </c>
      <c r="D354" t="s">
        <v>45</v>
      </c>
      <c r="E354" t="s">
        <v>46</v>
      </c>
      <c r="F354" t="s">
        <v>47</v>
      </c>
      <c r="G354" t="s">
        <v>222</v>
      </c>
      <c r="H354" t="s">
        <v>231</v>
      </c>
      <c r="I354" s="2">
        <v>45292</v>
      </c>
    </row>
    <row r="355" spans="1:9" x14ac:dyDescent="0.3">
      <c r="A355" t="s">
        <v>918</v>
      </c>
      <c r="B355" t="s">
        <v>919</v>
      </c>
      <c r="C355" t="s">
        <v>71</v>
      </c>
      <c r="D355" t="s">
        <v>45</v>
      </c>
      <c r="E355" t="s">
        <v>46</v>
      </c>
      <c r="F355" t="s">
        <v>47</v>
      </c>
      <c r="G355" t="s">
        <v>222</v>
      </c>
      <c r="H355" t="s">
        <v>219</v>
      </c>
      <c r="I355" s="2">
        <v>45292</v>
      </c>
    </row>
    <row r="356" spans="1:9" x14ac:dyDescent="0.3">
      <c r="A356" t="s">
        <v>920</v>
      </c>
      <c r="B356" t="s">
        <v>921</v>
      </c>
      <c r="C356" t="s">
        <v>80</v>
      </c>
      <c r="D356" t="s">
        <v>210</v>
      </c>
      <c r="E356" t="s">
        <v>52</v>
      </c>
      <c r="F356" t="s">
        <v>59</v>
      </c>
      <c r="G356" t="s">
        <v>222</v>
      </c>
      <c r="H356" t="s">
        <v>207</v>
      </c>
      <c r="I356" s="2">
        <v>45292</v>
      </c>
    </row>
    <row r="357" spans="1:9" x14ac:dyDescent="0.3">
      <c r="A357" t="s">
        <v>922</v>
      </c>
      <c r="B357" t="s">
        <v>923</v>
      </c>
      <c r="C357" t="s">
        <v>84</v>
      </c>
      <c r="D357" t="s">
        <v>57</v>
      </c>
      <c r="E357" t="s">
        <v>58</v>
      </c>
      <c r="F357" t="s">
        <v>59</v>
      </c>
      <c r="G357" t="s">
        <v>211</v>
      </c>
      <c r="H357" t="s">
        <v>231</v>
      </c>
      <c r="I357" s="2">
        <v>45292</v>
      </c>
    </row>
    <row r="358" spans="1:9" x14ac:dyDescent="0.3">
      <c r="A358" t="s">
        <v>924</v>
      </c>
      <c r="B358" t="s">
        <v>925</v>
      </c>
      <c r="C358" t="s">
        <v>76</v>
      </c>
      <c r="D358" t="s">
        <v>57</v>
      </c>
      <c r="E358" t="s">
        <v>58</v>
      </c>
      <c r="F358" t="s">
        <v>59</v>
      </c>
      <c r="G358" t="s">
        <v>222</v>
      </c>
      <c r="H358" t="s">
        <v>231</v>
      </c>
      <c r="I358" s="2">
        <v>45292</v>
      </c>
    </row>
    <row r="359" spans="1:9" x14ac:dyDescent="0.3">
      <c r="A359" t="s">
        <v>926</v>
      </c>
      <c r="B359" t="s">
        <v>927</v>
      </c>
      <c r="C359" t="s">
        <v>76</v>
      </c>
      <c r="D359" t="s">
        <v>210</v>
      </c>
      <c r="E359" t="s">
        <v>52</v>
      </c>
      <c r="F359" t="s">
        <v>59</v>
      </c>
      <c r="G359" t="s">
        <v>222</v>
      </c>
      <c r="H359" t="s">
        <v>212</v>
      </c>
      <c r="I359" s="2">
        <v>45292</v>
      </c>
    </row>
    <row r="360" spans="1:9" x14ac:dyDescent="0.3">
      <c r="A360" t="s">
        <v>928</v>
      </c>
      <c r="B360" t="s">
        <v>929</v>
      </c>
      <c r="C360" t="s">
        <v>76</v>
      </c>
      <c r="D360" t="s">
        <v>62</v>
      </c>
      <c r="E360" t="s">
        <v>63</v>
      </c>
      <c r="F360" t="s">
        <v>64</v>
      </c>
      <c r="G360" t="s">
        <v>211</v>
      </c>
      <c r="H360" t="s">
        <v>231</v>
      </c>
      <c r="I360" s="2">
        <v>45292</v>
      </c>
    </row>
    <row r="361" spans="1:9" x14ac:dyDescent="0.3">
      <c r="A361" t="s">
        <v>930</v>
      </c>
      <c r="B361" t="s">
        <v>931</v>
      </c>
      <c r="C361" t="s">
        <v>80</v>
      </c>
      <c r="D361" t="s">
        <v>62</v>
      </c>
      <c r="E361" t="s">
        <v>63</v>
      </c>
      <c r="F361" t="s">
        <v>64</v>
      </c>
      <c r="G361" t="s">
        <v>222</v>
      </c>
      <c r="H361" t="s">
        <v>207</v>
      </c>
      <c r="I361" s="2">
        <v>45292</v>
      </c>
    </row>
    <row r="362" spans="1:9" x14ac:dyDescent="0.3">
      <c r="A362" t="s">
        <v>932</v>
      </c>
      <c r="B362" t="s">
        <v>933</v>
      </c>
      <c r="C362" t="s">
        <v>84</v>
      </c>
      <c r="D362" t="s">
        <v>210</v>
      </c>
      <c r="E362" t="s">
        <v>52</v>
      </c>
      <c r="F362" t="s">
        <v>59</v>
      </c>
      <c r="G362" t="s">
        <v>222</v>
      </c>
      <c r="H362" t="s">
        <v>207</v>
      </c>
      <c r="I362" s="2">
        <v>45292</v>
      </c>
    </row>
    <row r="363" spans="1:9" x14ac:dyDescent="0.3">
      <c r="A363" t="s">
        <v>934</v>
      </c>
      <c r="B363" t="s">
        <v>935</v>
      </c>
      <c r="C363" t="s">
        <v>80</v>
      </c>
      <c r="D363" t="s">
        <v>57</v>
      </c>
      <c r="E363" t="s">
        <v>58</v>
      </c>
      <c r="F363" t="s">
        <v>59</v>
      </c>
      <c r="G363" t="s">
        <v>206</v>
      </c>
      <c r="H363" t="s">
        <v>207</v>
      </c>
      <c r="I363" s="2">
        <v>45292</v>
      </c>
    </row>
    <row r="364" spans="1:9" x14ac:dyDescent="0.3">
      <c r="A364" t="s">
        <v>936</v>
      </c>
      <c r="B364" t="s">
        <v>937</v>
      </c>
      <c r="C364" t="s">
        <v>76</v>
      </c>
      <c r="D364" t="s">
        <v>62</v>
      </c>
      <c r="E364" t="s">
        <v>63</v>
      </c>
      <c r="F364" t="s">
        <v>64</v>
      </c>
      <c r="G364" t="s">
        <v>206</v>
      </c>
      <c r="H364" t="s">
        <v>219</v>
      </c>
      <c r="I364" s="2">
        <v>45292</v>
      </c>
    </row>
    <row r="365" spans="1:9" x14ac:dyDescent="0.3">
      <c r="A365" t="s">
        <v>938</v>
      </c>
      <c r="B365" t="s">
        <v>939</v>
      </c>
      <c r="C365" t="s">
        <v>76</v>
      </c>
      <c r="D365" t="s">
        <v>57</v>
      </c>
      <c r="E365" t="s">
        <v>58</v>
      </c>
      <c r="F365" t="s">
        <v>59</v>
      </c>
      <c r="G365" t="s">
        <v>206</v>
      </c>
      <c r="H365" t="s">
        <v>212</v>
      </c>
      <c r="I365" s="2">
        <v>45292</v>
      </c>
    </row>
    <row r="366" spans="1:9" x14ac:dyDescent="0.3">
      <c r="A366" t="s">
        <v>940</v>
      </c>
      <c r="B366" t="s">
        <v>941</v>
      </c>
      <c r="C366" t="s">
        <v>76</v>
      </c>
      <c r="D366" t="s">
        <v>57</v>
      </c>
      <c r="E366" t="s">
        <v>58</v>
      </c>
      <c r="F366" t="s">
        <v>59</v>
      </c>
      <c r="G366" t="s">
        <v>206</v>
      </c>
      <c r="H366" t="s">
        <v>231</v>
      </c>
      <c r="I366" s="2">
        <v>45292</v>
      </c>
    </row>
    <row r="367" spans="1:9" x14ac:dyDescent="0.3">
      <c r="A367" t="s">
        <v>942</v>
      </c>
      <c r="B367" t="s">
        <v>943</v>
      </c>
      <c r="C367" t="s">
        <v>76</v>
      </c>
      <c r="D367" t="s">
        <v>62</v>
      </c>
      <c r="E367" t="s">
        <v>63</v>
      </c>
      <c r="F367" t="s">
        <v>64</v>
      </c>
      <c r="G367" t="s">
        <v>222</v>
      </c>
      <c r="H367" t="s">
        <v>212</v>
      </c>
      <c r="I367" s="2">
        <v>45292</v>
      </c>
    </row>
    <row r="368" spans="1:9" x14ac:dyDescent="0.3">
      <c r="A368" t="s">
        <v>944</v>
      </c>
      <c r="B368" t="s">
        <v>945</v>
      </c>
      <c r="C368" t="s">
        <v>76</v>
      </c>
      <c r="D368" t="s">
        <v>62</v>
      </c>
      <c r="E368" t="s">
        <v>63</v>
      </c>
      <c r="F368" t="s">
        <v>64</v>
      </c>
      <c r="G368" t="s">
        <v>206</v>
      </c>
      <c r="H368" t="s">
        <v>212</v>
      </c>
      <c r="I368" s="2">
        <v>45292</v>
      </c>
    </row>
    <row r="369" spans="1:9" x14ac:dyDescent="0.3">
      <c r="A369" t="s">
        <v>946</v>
      </c>
      <c r="B369" t="s">
        <v>947</v>
      </c>
      <c r="C369" t="s">
        <v>71</v>
      </c>
      <c r="D369" t="s">
        <v>45</v>
      </c>
      <c r="E369" t="s">
        <v>46</v>
      </c>
      <c r="F369" t="s">
        <v>47</v>
      </c>
      <c r="G369" t="s">
        <v>206</v>
      </c>
      <c r="H369" t="s">
        <v>207</v>
      </c>
      <c r="I369" s="2">
        <v>45292</v>
      </c>
    </row>
    <row r="370" spans="1:9" x14ac:dyDescent="0.3">
      <c r="A370" t="s">
        <v>948</v>
      </c>
      <c r="B370" t="s">
        <v>949</v>
      </c>
      <c r="C370" t="s">
        <v>76</v>
      </c>
      <c r="D370" t="s">
        <v>51</v>
      </c>
      <c r="E370" t="s">
        <v>52</v>
      </c>
      <c r="F370" t="s">
        <v>53</v>
      </c>
      <c r="G370" t="s">
        <v>206</v>
      </c>
      <c r="H370" t="s">
        <v>207</v>
      </c>
      <c r="I370" s="2">
        <v>45292</v>
      </c>
    </row>
    <row r="371" spans="1:9" x14ac:dyDescent="0.3">
      <c r="A371" t="s">
        <v>950</v>
      </c>
      <c r="B371" t="s">
        <v>951</v>
      </c>
      <c r="C371" t="s">
        <v>76</v>
      </c>
      <c r="D371" t="s">
        <v>62</v>
      </c>
      <c r="E371" t="s">
        <v>63</v>
      </c>
      <c r="F371" t="s">
        <v>64</v>
      </c>
      <c r="G371" t="s">
        <v>222</v>
      </c>
      <c r="H371" t="s">
        <v>219</v>
      </c>
      <c r="I371" s="2">
        <v>45292</v>
      </c>
    </row>
    <row r="372" spans="1:9" x14ac:dyDescent="0.3">
      <c r="A372" t="s">
        <v>952</v>
      </c>
      <c r="B372" t="s">
        <v>953</v>
      </c>
      <c r="C372" t="s">
        <v>76</v>
      </c>
      <c r="D372" t="s">
        <v>210</v>
      </c>
      <c r="E372" t="s">
        <v>52</v>
      </c>
      <c r="F372" t="s">
        <v>59</v>
      </c>
      <c r="G372" t="s">
        <v>211</v>
      </c>
      <c r="H372" t="s">
        <v>219</v>
      </c>
      <c r="I372" s="2">
        <v>45292</v>
      </c>
    </row>
    <row r="373" spans="1:9" x14ac:dyDescent="0.3">
      <c r="A373" t="s">
        <v>954</v>
      </c>
      <c r="B373" t="s">
        <v>955</v>
      </c>
      <c r="C373" t="s">
        <v>84</v>
      </c>
      <c r="D373" t="s">
        <v>62</v>
      </c>
      <c r="E373" t="s">
        <v>63</v>
      </c>
      <c r="F373" t="s">
        <v>64</v>
      </c>
      <c r="G373" t="s">
        <v>206</v>
      </c>
      <c r="H373" t="s">
        <v>219</v>
      </c>
      <c r="I373" s="2">
        <v>45292</v>
      </c>
    </row>
    <row r="374" spans="1:9" x14ac:dyDescent="0.3">
      <c r="A374" t="s">
        <v>956</v>
      </c>
      <c r="B374" t="s">
        <v>957</v>
      </c>
      <c r="C374" t="s">
        <v>80</v>
      </c>
      <c r="D374" t="s">
        <v>51</v>
      </c>
      <c r="E374" t="s">
        <v>52</v>
      </c>
      <c r="F374" t="s">
        <v>53</v>
      </c>
      <c r="G374" t="s">
        <v>222</v>
      </c>
      <c r="H374" t="s">
        <v>212</v>
      </c>
      <c r="I374" s="2">
        <v>45292</v>
      </c>
    </row>
    <row r="375" spans="1:9" x14ac:dyDescent="0.3">
      <c r="A375" t="s">
        <v>958</v>
      </c>
      <c r="B375" t="s">
        <v>959</v>
      </c>
      <c r="C375" t="s">
        <v>76</v>
      </c>
      <c r="D375" t="s">
        <v>57</v>
      </c>
      <c r="E375" t="s">
        <v>58</v>
      </c>
      <c r="F375" t="s">
        <v>59</v>
      </c>
      <c r="G375" t="s">
        <v>211</v>
      </c>
      <c r="H375" t="s">
        <v>219</v>
      </c>
      <c r="I375" s="2">
        <v>45292</v>
      </c>
    </row>
    <row r="376" spans="1:9" x14ac:dyDescent="0.3">
      <c r="A376" t="s">
        <v>960</v>
      </c>
      <c r="B376" t="s">
        <v>961</v>
      </c>
      <c r="C376" t="s">
        <v>76</v>
      </c>
      <c r="D376" t="s">
        <v>57</v>
      </c>
      <c r="E376" t="s">
        <v>58</v>
      </c>
      <c r="F376" t="s">
        <v>59</v>
      </c>
      <c r="G376" t="s">
        <v>211</v>
      </c>
      <c r="H376" t="s">
        <v>219</v>
      </c>
      <c r="I376" s="2">
        <v>45292</v>
      </c>
    </row>
    <row r="377" spans="1:9" x14ac:dyDescent="0.3">
      <c r="A377" t="s">
        <v>962</v>
      </c>
      <c r="B377" t="s">
        <v>963</v>
      </c>
      <c r="C377" t="s">
        <v>76</v>
      </c>
      <c r="D377" t="s">
        <v>45</v>
      </c>
      <c r="E377" t="s">
        <v>46</v>
      </c>
      <c r="F377" t="s">
        <v>47</v>
      </c>
      <c r="G377" t="s">
        <v>211</v>
      </c>
      <c r="H377" t="s">
        <v>212</v>
      </c>
      <c r="I377" s="2">
        <v>45292</v>
      </c>
    </row>
    <row r="378" spans="1:9" x14ac:dyDescent="0.3">
      <c r="A378" t="s">
        <v>964</v>
      </c>
      <c r="B378" t="s">
        <v>965</v>
      </c>
      <c r="C378" t="s">
        <v>76</v>
      </c>
      <c r="D378" t="s">
        <v>210</v>
      </c>
      <c r="E378" t="s">
        <v>52</v>
      </c>
      <c r="F378" t="s">
        <v>59</v>
      </c>
      <c r="G378" t="s">
        <v>211</v>
      </c>
      <c r="H378" t="s">
        <v>207</v>
      </c>
      <c r="I378" s="2">
        <v>45292</v>
      </c>
    </row>
    <row r="379" spans="1:9" x14ac:dyDescent="0.3">
      <c r="A379" t="s">
        <v>966</v>
      </c>
      <c r="B379" t="s">
        <v>967</v>
      </c>
      <c r="C379" t="s">
        <v>76</v>
      </c>
      <c r="D379" t="s">
        <v>51</v>
      </c>
      <c r="E379" t="s">
        <v>52</v>
      </c>
      <c r="F379" t="s">
        <v>53</v>
      </c>
      <c r="G379" t="s">
        <v>206</v>
      </c>
      <c r="H379" t="s">
        <v>212</v>
      </c>
      <c r="I379" s="2">
        <v>45292</v>
      </c>
    </row>
    <row r="380" spans="1:9" x14ac:dyDescent="0.3">
      <c r="A380" t="s">
        <v>968</v>
      </c>
      <c r="B380" t="s">
        <v>969</v>
      </c>
      <c r="C380" t="s">
        <v>84</v>
      </c>
      <c r="D380" t="s">
        <v>57</v>
      </c>
      <c r="E380" t="s">
        <v>58</v>
      </c>
      <c r="F380" t="s">
        <v>59</v>
      </c>
      <c r="G380" t="s">
        <v>222</v>
      </c>
      <c r="H380" t="s">
        <v>219</v>
      </c>
      <c r="I380" s="2">
        <v>45292</v>
      </c>
    </row>
    <row r="381" spans="1:9" x14ac:dyDescent="0.3">
      <c r="A381" t="s">
        <v>970</v>
      </c>
      <c r="B381" t="s">
        <v>971</v>
      </c>
      <c r="C381" t="s">
        <v>84</v>
      </c>
      <c r="D381" t="s">
        <v>45</v>
      </c>
      <c r="E381" t="s">
        <v>46</v>
      </c>
      <c r="F381" t="s">
        <v>47</v>
      </c>
      <c r="G381" t="s">
        <v>206</v>
      </c>
      <c r="H381" t="s">
        <v>212</v>
      </c>
      <c r="I381" s="2">
        <v>45292</v>
      </c>
    </row>
    <row r="382" spans="1:9" x14ac:dyDescent="0.3">
      <c r="A382" t="s">
        <v>972</v>
      </c>
      <c r="B382" t="s">
        <v>973</v>
      </c>
      <c r="C382" t="s">
        <v>80</v>
      </c>
      <c r="D382" t="s">
        <v>51</v>
      </c>
      <c r="E382" t="s">
        <v>52</v>
      </c>
      <c r="F382" t="s">
        <v>53</v>
      </c>
      <c r="G382" t="s">
        <v>211</v>
      </c>
      <c r="H382" t="s">
        <v>207</v>
      </c>
      <c r="I382" s="2">
        <v>45292</v>
      </c>
    </row>
    <row r="383" spans="1:9" x14ac:dyDescent="0.3">
      <c r="A383" t="s">
        <v>974</v>
      </c>
      <c r="B383" t="s">
        <v>975</v>
      </c>
      <c r="C383" t="s">
        <v>76</v>
      </c>
      <c r="D383" t="s">
        <v>45</v>
      </c>
      <c r="E383" t="s">
        <v>46</v>
      </c>
      <c r="F383" t="s">
        <v>47</v>
      </c>
      <c r="G383" t="s">
        <v>211</v>
      </c>
      <c r="H383" t="s">
        <v>231</v>
      </c>
      <c r="I383" s="2">
        <v>45292</v>
      </c>
    </row>
    <row r="384" spans="1:9" x14ac:dyDescent="0.3">
      <c r="A384" t="s">
        <v>976</v>
      </c>
      <c r="B384" t="s">
        <v>977</v>
      </c>
      <c r="C384" t="s">
        <v>71</v>
      </c>
      <c r="D384" t="s">
        <v>45</v>
      </c>
      <c r="E384" t="s">
        <v>46</v>
      </c>
      <c r="F384" t="s">
        <v>47</v>
      </c>
      <c r="G384" t="s">
        <v>222</v>
      </c>
      <c r="H384" t="s">
        <v>207</v>
      </c>
      <c r="I384" s="2">
        <v>45292</v>
      </c>
    </row>
    <row r="385" spans="1:9" x14ac:dyDescent="0.3">
      <c r="A385" t="s">
        <v>978</v>
      </c>
      <c r="B385" t="s">
        <v>979</v>
      </c>
      <c r="C385" t="s">
        <v>80</v>
      </c>
      <c r="D385" t="s">
        <v>210</v>
      </c>
      <c r="E385" t="s">
        <v>52</v>
      </c>
      <c r="F385" t="s">
        <v>59</v>
      </c>
      <c r="G385" t="s">
        <v>206</v>
      </c>
      <c r="H385" t="s">
        <v>219</v>
      </c>
      <c r="I385" s="2">
        <v>45292</v>
      </c>
    </row>
    <row r="386" spans="1:9" x14ac:dyDescent="0.3">
      <c r="A386" t="s">
        <v>980</v>
      </c>
      <c r="B386" t="s">
        <v>981</v>
      </c>
      <c r="C386" t="s">
        <v>76</v>
      </c>
      <c r="D386" t="s">
        <v>45</v>
      </c>
      <c r="E386" t="s">
        <v>46</v>
      </c>
      <c r="F386" t="s">
        <v>47</v>
      </c>
      <c r="G386" t="s">
        <v>211</v>
      </c>
      <c r="H386" t="s">
        <v>231</v>
      </c>
      <c r="I386" s="2">
        <v>45292</v>
      </c>
    </row>
    <row r="387" spans="1:9" x14ac:dyDescent="0.3">
      <c r="A387" t="s">
        <v>982</v>
      </c>
      <c r="B387" t="s">
        <v>983</v>
      </c>
      <c r="C387" t="s">
        <v>76</v>
      </c>
      <c r="D387" t="s">
        <v>51</v>
      </c>
      <c r="E387" t="s">
        <v>52</v>
      </c>
      <c r="F387" t="s">
        <v>53</v>
      </c>
      <c r="G387" t="s">
        <v>222</v>
      </c>
      <c r="H387" t="s">
        <v>231</v>
      </c>
      <c r="I387" s="2">
        <v>45292</v>
      </c>
    </row>
    <row r="388" spans="1:9" x14ac:dyDescent="0.3">
      <c r="A388" t="s">
        <v>984</v>
      </c>
      <c r="B388" t="s">
        <v>985</v>
      </c>
      <c r="C388" t="s">
        <v>84</v>
      </c>
      <c r="D388" t="s">
        <v>51</v>
      </c>
      <c r="E388" t="s">
        <v>52</v>
      </c>
      <c r="F388" t="s">
        <v>53</v>
      </c>
      <c r="G388" t="s">
        <v>211</v>
      </c>
      <c r="H388" t="s">
        <v>219</v>
      </c>
      <c r="I388" s="2">
        <v>45292</v>
      </c>
    </row>
    <row r="389" spans="1:9" x14ac:dyDescent="0.3">
      <c r="A389" t="s">
        <v>986</v>
      </c>
      <c r="B389" t="s">
        <v>987</v>
      </c>
      <c r="C389" t="s">
        <v>76</v>
      </c>
      <c r="D389" t="s">
        <v>210</v>
      </c>
      <c r="E389" t="s">
        <v>52</v>
      </c>
      <c r="F389" t="s">
        <v>59</v>
      </c>
      <c r="G389" t="s">
        <v>222</v>
      </c>
      <c r="H389" t="s">
        <v>212</v>
      </c>
      <c r="I389" s="2">
        <v>45292</v>
      </c>
    </row>
    <row r="390" spans="1:9" x14ac:dyDescent="0.3">
      <c r="A390" t="s">
        <v>988</v>
      </c>
      <c r="B390" t="s">
        <v>989</v>
      </c>
      <c r="C390" t="s">
        <v>76</v>
      </c>
      <c r="D390" t="s">
        <v>51</v>
      </c>
      <c r="E390" t="s">
        <v>52</v>
      </c>
      <c r="F390" t="s">
        <v>53</v>
      </c>
      <c r="G390" t="s">
        <v>211</v>
      </c>
      <c r="H390" t="s">
        <v>212</v>
      </c>
      <c r="I390" s="2">
        <v>45292</v>
      </c>
    </row>
    <row r="391" spans="1:9" x14ac:dyDescent="0.3">
      <c r="A391" t="s">
        <v>990</v>
      </c>
      <c r="B391" t="s">
        <v>991</v>
      </c>
      <c r="C391" t="s">
        <v>76</v>
      </c>
      <c r="D391" t="s">
        <v>210</v>
      </c>
      <c r="E391" t="s">
        <v>52</v>
      </c>
      <c r="F391" t="s">
        <v>59</v>
      </c>
      <c r="G391" t="s">
        <v>206</v>
      </c>
      <c r="H391" t="s">
        <v>207</v>
      </c>
      <c r="I391" s="2">
        <v>45292</v>
      </c>
    </row>
    <row r="392" spans="1:9" x14ac:dyDescent="0.3">
      <c r="A392" t="s">
        <v>992</v>
      </c>
      <c r="B392" t="s">
        <v>993</v>
      </c>
      <c r="C392" t="s">
        <v>76</v>
      </c>
      <c r="D392" t="s">
        <v>62</v>
      </c>
      <c r="E392" t="s">
        <v>63</v>
      </c>
      <c r="F392" t="s">
        <v>64</v>
      </c>
      <c r="G392" t="s">
        <v>211</v>
      </c>
      <c r="H392" t="s">
        <v>207</v>
      </c>
      <c r="I392" s="2">
        <v>45292</v>
      </c>
    </row>
    <row r="393" spans="1:9" x14ac:dyDescent="0.3">
      <c r="A393" t="s">
        <v>994</v>
      </c>
      <c r="B393" t="s">
        <v>995</v>
      </c>
      <c r="C393" t="s">
        <v>84</v>
      </c>
      <c r="D393" t="s">
        <v>210</v>
      </c>
      <c r="E393" t="s">
        <v>52</v>
      </c>
      <c r="F393" t="s">
        <v>59</v>
      </c>
      <c r="G393" t="s">
        <v>206</v>
      </c>
      <c r="H393" t="s">
        <v>207</v>
      </c>
      <c r="I393" s="2">
        <v>45292</v>
      </c>
    </row>
    <row r="394" spans="1:9" x14ac:dyDescent="0.3">
      <c r="A394" t="s">
        <v>996</v>
      </c>
      <c r="B394" t="s">
        <v>997</v>
      </c>
      <c r="C394" t="s">
        <v>80</v>
      </c>
      <c r="D394" t="s">
        <v>62</v>
      </c>
      <c r="E394" t="s">
        <v>63</v>
      </c>
      <c r="F394" t="s">
        <v>64</v>
      </c>
      <c r="G394" t="s">
        <v>206</v>
      </c>
      <c r="H394" t="s">
        <v>207</v>
      </c>
      <c r="I394" s="2">
        <v>45292</v>
      </c>
    </row>
    <row r="395" spans="1:9" x14ac:dyDescent="0.3">
      <c r="A395" t="s">
        <v>998</v>
      </c>
      <c r="B395" t="s">
        <v>999</v>
      </c>
      <c r="C395" t="s">
        <v>76</v>
      </c>
      <c r="D395" t="s">
        <v>51</v>
      </c>
      <c r="E395" t="s">
        <v>52</v>
      </c>
      <c r="F395" t="s">
        <v>53</v>
      </c>
      <c r="G395" t="s">
        <v>206</v>
      </c>
      <c r="H395" t="s">
        <v>212</v>
      </c>
      <c r="I395" s="2">
        <v>45292</v>
      </c>
    </row>
    <row r="396" spans="1:9" x14ac:dyDescent="0.3">
      <c r="A396" t="s">
        <v>1000</v>
      </c>
      <c r="B396" t="s">
        <v>1001</v>
      </c>
      <c r="C396" t="s">
        <v>76</v>
      </c>
      <c r="D396" t="s">
        <v>210</v>
      </c>
      <c r="E396" t="s">
        <v>52</v>
      </c>
      <c r="F396" t="s">
        <v>59</v>
      </c>
      <c r="G396" t="s">
        <v>211</v>
      </c>
      <c r="H396" t="s">
        <v>231</v>
      </c>
      <c r="I396" s="2">
        <v>45292</v>
      </c>
    </row>
    <row r="397" spans="1:9" x14ac:dyDescent="0.3">
      <c r="A397" t="s">
        <v>1002</v>
      </c>
      <c r="B397" t="s">
        <v>1003</v>
      </c>
      <c r="C397" t="s">
        <v>80</v>
      </c>
      <c r="D397" t="s">
        <v>45</v>
      </c>
      <c r="E397" t="s">
        <v>46</v>
      </c>
      <c r="F397" t="s">
        <v>47</v>
      </c>
      <c r="G397" t="s">
        <v>206</v>
      </c>
      <c r="H397" t="s">
        <v>219</v>
      </c>
      <c r="I397" s="2">
        <v>45292</v>
      </c>
    </row>
    <row r="398" spans="1:9" x14ac:dyDescent="0.3">
      <c r="A398" t="s">
        <v>1004</v>
      </c>
      <c r="B398" t="s">
        <v>1005</v>
      </c>
      <c r="C398" t="s">
        <v>71</v>
      </c>
      <c r="D398" t="s">
        <v>57</v>
      </c>
      <c r="E398" t="s">
        <v>58</v>
      </c>
      <c r="F398" t="s">
        <v>59</v>
      </c>
      <c r="G398" t="s">
        <v>222</v>
      </c>
      <c r="H398" t="s">
        <v>207</v>
      </c>
      <c r="I398" s="2">
        <v>45292</v>
      </c>
    </row>
    <row r="399" spans="1:9" x14ac:dyDescent="0.3">
      <c r="A399" t="s">
        <v>1006</v>
      </c>
      <c r="B399" t="s">
        <v>1007</v>
      </c>
      <c r="C399" t="s">
        <v>76</v>
      </c>
      <c r="D399" t="s">
        <v>51</v>
      </c>
      <c r="E399" t="s">
        <v>52</v>
      </c>
      <c r="F399" t="s">
        <v>53</v>
      </c>
      <c r="G399" t="s">
        <v>211</v>
      </c>
      <c r="H399" t="s">
        <v>231</v>
      </c>
      <c r="I399" s="2">
        <v>45292</v>
      </c>
    </row>
    <row r="400" spans="1:9" x14ac:dyDescent="0.3">
      <c r="A400" t="s">
        <v>1008</v>
      </c>
      <c r="B400" t="s">
        <v>1009</v>
      </c>
      <c r="C400" t="s">
        <v>76</v>
      </c>
      <c r="D400" t="s">
        <v>57</v>
      </c>
      <c r="E400" t="s">
        <v>58</v>
      </c>
      <c r="F400" t="s">
        <v>59</v>
      </c>
      <c r="G400" t="s">
        <v>211</v>
      </c>
      <c r="H400" t="s">
        <v>207</v>
      </c>
      <c r="I400" s="2">
        <v>45292</v>
      </c>
    </row>
    <row r="401" spans="1:9" x14ac:dyDescent="0.3">
      <c r="A401" t="s">
        <v>1010</v>
      </c>
      <c r="B401" t="s">
        <v>1011</v>
      </c>
      <c r="C401" t="s">
        <v>76</v>
      </c>
      <c r="D401" t="s">
        <v>62</v>
      </c>
      <c r="E401" t="s">
        <v>63</v>
      </c>
      <c r="F401" t="s">
        <v>64</v>
      </c>
      <c r="G401" t="s">
        <v>211</v>
      </c>
      <c r="H401" t="s">
        <v>207</v>
      </c>
      <c r="I401" s="2">
        <v>45292</v>
      </c>
    </row>
    <row r="402" spans="1:9" x14ac:dyDescent="0.3">
      <c r="A402" t="s">
        <v>1012</v>
      </c>
      <c r="B402" t="s">
        <v>1013</v>
      </c>
      <c r="C402" t="s">
        <v>76</v>
      </c>
      <c r="D402" t="s">
        <v>62</v>
      </c>
      <c r="E402" t="s">
        <v>63</v>
      </c>
      <c r="F402" t="s">
        <v>64</v>
      </c>
      <c r="G402" t="s">
        <v>211</v>
      </c>
      <c r="H402" t="s">
        <v>212</v>
      </c>
      <c r="I402" s="2">
        <v>45292</v>
      </c>
    </row>
    <row r="403" spans="1:9" x14ac:dyDescent="0.3">
      <c r="A403" t="s">
        <v>1014</v>
      </c>
      <c r="B403" t="s">
        <v>1015</v>
      </c>
      <c r="C403" t="s">
        <v>76</v>
      </c>
      <c r="D403" t="s">
        <v>210</v>
      </c>
      <c r="E403" t="s">
        <v>52</v>
      </c>
      <c r="F403" t="s">
        <v>59</v>
      </c>
      <c r="G403" t="s">
        <v>206</v>
      </c>
      <c r="H403" t="s">
        <v>231</v>
      </c>
      <c r="I403" s="2">
        <v>45292</v>
      </c>
    </row>
    <row r="404" spans="1:9" x14ac:dyDescent="0.3">
      <c r="A404" t="s">
        <v>1016</v>
      </c>
      <c r="B404" t="s">
        <v>1017</v>
      </c>
      <c r="C404" t="s">
        <v>76</v>
      </c>
      <c r="D404" t="s">
        <v>210</v>
      </c>
      <c r="E404" t="s">
        <v>52</v>
      </c>
      <c r="F404" t="s">
        <v>59</v>
      </c>
      <c r="G404" t="s">
        <v>211</v>
      </c>
      <c r="H404" t="s">
        <v>231</v>
      </c>
      <c r="I404" s="2">
        <v>45292</v>
      </c>
    </row>
    <row r="405" spans="1:9" x14ac:dyDescent="0.3">
      <c r="A405" t="s">
        <v>1018</v>
      </c>
      <c r="B405" t="s">
        <v>1019</v>
      </c>
      <c r="C405" t="s">
        <v>76</v>
      </c>
      <c r="D405" t="s">
        <v>62</v>
      </c>
      <c r="E405" t="s">
        <v>63</v>
      </c>
      <c r="F405" t="s">
        <v>64</v>
      </c>
      <c r="G405" t="s">
        <v>211</v>
      </c>
      <c r="H405" t="s">
        <v>231</v>
      </c>
      <c r="I405" s="2">
        <v>45292</v>
      </c>
    </row>
    <row r="406" spans="1:9" x14ac:dyDescent="0.3">
      <c r="A406" t="s">
        <v>1020</v>
      </c>
      <c r="B406" t="s">
        <v>1021</v>
      </c>
      <c r="C406" t="s">
        <v>84</v>
      </c>
      <c r="D406" t="s">
        <v>45</v>
      </c>
      <c r="E406" t="s">
        <v>46</v>
      </c>
      <c r="F406" t="s">
        <v>47</v>
      </c>
      <c r="G406" t="s">
        <v>211</v>
      </c>
      <c r="H406" t="s">
        <v>207</v>
      </c>
      <c r="I406" s="2">
        <v>45292</v>
      </c>
    </row>
    <row r="407" spans="1:9" x14ac:dyDescent="0.3">
      <c r="A407" t="s">
        <v>1022</v>
      </c>
      <c r="B407" t="s">
        <v>1023</v>
      </c>
      <c r="C407" t="s">
        <v>76</v>
      </c>
      <c r="D407" t="s">
        <v>45</v>
      </c>
      <c r="E407" t="s">
        <v>46</v>
      </c>
      <c r="F407" t="s">
        <v>47</v>
      </c>
      <c r="G407" t="s">
        <v>211</v>
      </c>
      <c r="H407" t="s">
        <v>212</v>
      </c>
      <c r="I407" s="2">
        <v>45292</v>
      </c>
    </row>
    <row r="408" spans="1:9" x14ac:dyDescent="0.3">
      <c r="A408" t="s">
        <v>1024</v>
      </c>
      <c r="B408" t="s">
        <v>1025</v>
      </c>
      <c r="C408" t="s">
        <v>76</v>
      </c>
      <c r="D408" t="s">
        <v>210</v>
      </c>
      <c r="E408" t="s">
        <v>52</v>
      </c>
      <c r="F408" t="s">
        <v>59</v>
      </c>
      <c r="G408" t="s">
        <v>211</v>
      </c>
      <c r="H408" t="s">
        <v>231</v>
      </c>
      <c r="I408" s="2">
        <v>45292</v>
      </c>
    </row>
    <row r="409" spans="1:9" x14ac:dyDescent="0.3">
      <c r="A409" t="s">
        <v>1026</v>
      </c>
      <c r="B409" t="s">
        <v>1027</v>
      </c>
      <c r="C409" t="s">
        <v>71</v>
      </c>
      <c r="D409" t="s">
        <v>45</v>
      </c>
      <c r="E409" t="s">
        <v>46</v>
      </c>
      <c r="F409" t="s">
        <v>47</v>
      </c>
      <c r="G409" t="s">
        <v>206</v>
      </c>
      <c r="H409" t="s">
        <v>219</v>
      </c>
      <c r="I409" s="2">
        <v>45292</v>
      </c>
    </row>
    <row r="410" spans="1:9" x14ac:dyDescent="0.3">
      <c r="A410" t="s">
        <v>1028</v>
      </c>
      <c r="B410" t="s">
        <v>1029</v>
      </c>
      <c r="C410" t="s">
        <v>76</v>
      </c>
      <c r="D410" t="s">
        <v>210</v>
      </c>
      <c r="E410" t="s">
        <v>52</v>
      </c>
      <c r="F410" t="s">
        <v>59</v>
      </c>
      <c r="G410" t="s">
        <v>206</v>
      </c>
      <c r="H410" t="s">
        <v>212</v>
      </c>
      <c r="I410" s="2">
        <v>45292</v>
      </c>
    </row>
    <row r="411" spans="1:9" x14ac:dyDescent="0.3">
      <c r="A411" t="s">
        <v>1030</v>
      </c>
      <c r="B411" t="s">
        <v>1031</v>
      </c>
      <c r="C411" t="s">
        <v>84</v>
      </c>
      <c r="D411" t="s">
        <v>62</v>
      </c>
      <c r="E411" t="s">
        <v>63</v>
      </c>
      <c r="F411" t="s">
        <v>64</v>
      </c>
      <c r="G411" t="s">
        <v>222</v>
      </c>
      <c r="H411" t="s">
        <v>219</v>
      </c>
      <c r="I411" s="2">
        <v>45292</v>
      </c>
    </row>
    <row r="412" spans="1:9" x14ac:dyDescent="0.3">
      <c r="A412" t="s">
        <v>1032</v>
      </c>
      <c r="B412" t="s">
        <v>1033</v>
      </c>
      <c r="C412" t="s">
        <v>71</v>
      </c>
      <c r="D412" t="s">
        <v>210</v>
      </c>
      <c r="E412" t="s">
        <v>52</v>
      </c>
      <c r="F412" t="s">
        <v>59</v>
      </c>
      <c r="G412" t="s">
        <v>206</v>
      </c>
      <c r="H412" t="s">
        <v>212</v>
      </c>
      <c r="I412" s="2">
        <v>45292</v>
      </c>
    </row>
    <row r="413" spans="1:9" x14ac:dyDescent="0.3">
      <c r="A413" t="s">
        <v>1034</v>
      </c>
      <c r="B413" t="s">
        <v>1035</v>
      </c>
      <c r="C413" t="s">
        <v>76</v>
      </c>
      <c r="D413" t="s">
        <v>210</v>
      </c>
      <c r="E413" t="s">
        <v>52</v>
      </c>
      <c r="F413" t="s">
        <v>59</v>
      </c>
      <c r="G413" t="s">
        <v>211</v>
      </c>
      <c r="H413" t="s">
        <v>219</v>
      </c>
      <c r="I413" s="2">
        <v>45292</v>
      </c>
    </row>
    <row r="414" spans="1:9" x14ac:dyDescent="0.3">
      <c r="A414" t="s">
        <v>1036</v>
      </c>
      <c r="B414" t="s">
        <v>1037</v>
      </c>
      <c r="C414" t="s">
        <v>76</v>
      </c>
      <c r="D414" t="s">
        <v>45</v>
      </c>
      <c r="E414" t="s">
        <v>46</v>
      </c>
      <c r="F414" t="s">
        <v>47</v>
      </c>
      <c r="G414" t="s">
        <v>206</v>
      </c>
      <c r="H414" t="s">
        <v>231</v>
      </c>
      <c r="I414" s="2">
        <v>45292</v>
      </c>
    </row>
    <row r="415" spans="1:9" x14ac:dyDescent="0.3">
      <c r="A415" t="s">
        <v>1038</v>
      </c>
      <c r="B415" t="s">
        <v>1039</v>
      </c>
      <c r="C415" t="s">
        <v>71</v>
      </c>
      <c r="D415" t="s">
        <v>51</v>
      </c>
      <c r="E415" t="s">
        <v>52</v>
      </c>
      <c r="F415" t="s">
        <v>53</v>
      </c>
      <c r="G415" t="s">
        <v>206</v>
      </c>
      <c r="H415" t="s">
        <v>219</v>
      </c>
      <c r="I415" s="2">
        <v>45292</v>
      </c>
    </row>
    <row r="416" spans="1:9" x14ac:dyDescent="0.3">
      <c r="A416" t="s">
        <v>1040</v>
      </c>
      <c r="B416" t="s">
        <v>1041</v>
      </c>
      <c r="C416" t="s">
        <v>76</v>
      </c>
      <c r="D416" t="s">
        <v>51</v>
      </c>
      <c r="E416" t="s">
        <v>52</v>
      </c>
      <c r="F416" t="s">
        <v>53</v>
      </c>
      <c r="G416" t="s">
        <v>222</v>
      </c>
      <c r="H416" t="s">
        <v>231</v>
      </c>
      <c r="I416" s="2">
        <v>45292</v>
      </c>
    </row>
    <row r="417" spans="1:9" x14ac:dyDescent="0.3">
      <c r="A417" t="s">
        <v>1042</v>
      </c>
      <c r="B417" t="s">
        <v>1043</v>
      </c>
      <c r="C417" t="s">
        <v>80</v>
      </c>
      <c r="D417" t="s">
        <v>51</v>
      </c>
      <c r="E417" t="s">
        <v>52</v>
      </c>
      <c r="F417" t="s">
        <v>53</v>
      </c>
      <c r="G417" t="s">
        <v>206</v>
      </c>
      <c r="H417" t="s">
        <v>231</v>
      </c>
      <c r="I417" s="2">
        <v>45292</v>
      </c>
    </row>
    <row r="418" spans="1:9" x14ac:dyDescent="0.3">
      <c r="A418" t="s">
        <v>1044</v>
      </c>
      <c r="B418" t="s">
        <v>1045</v>
      </c>
      <c r="C418" t="s">
        <v>76</v>
      </c>
      <c r="D418" t="s">
        <v>210</v>
      </c>
      <c r="E418" t="s">
        <v>52</v>
      </c>
      <c r="F418" t="s">
        <v>59</v>
      </c>
      <c r="G418" t="s">
        <v>206</v>
      </c>
      <c r="H418" t="s">
        <v>219</v>
      </c>
      <c r="I418" s="2">
        <v>45292</v>
      </c>
    </row>
    <row r="419" spans="1:9" x14ac:dyDescent="0.3">
      <c r="A419" t="s">
        <v>1046</v>
      </c>
      <c r="B419" t="s">
        <v>1047</v>
      </c>
      <c r="C419" t="s">
        <v>76</v>
      </c>
      <c r="D419" t="s">
        <v>62</v>
      </c>
      <c r="E419" t="s">
        <v>63</v>
      </c>
      <c r="F419" t="s">
        <v>64</v>
      </c>
      <c r="G419" t="s">
        <v>211</v>
      </c>
      <c r="H419" t="s">
        <v>212</v>
      </c>
      <c r="I419" s="2">
        <v>45292</v>
      </c>
    </row>
    <row r="420" spans="1:9" x14ac:dyDescent="0.3">
      <c r="A420" t="s">
        <v>1048</v>
      </c>
      <c r="B420" t="s">
        <v>1049</v>
      </c>
      <c r="C420" t="s">
        <v>71</v>
      </c>
      <c r="D420" t="s">
        <v>51</v>
      </c>
      <c r="E420" t="s">
        <v>52</v>
      </c>
      <c r="F420" t="s">
        <v>53</v>
      </c>
      <c r="G420" t="s">
        <v>206</v>
      </c>
      <c r="H420" t="s">
        <v>212</v>
      </c>
      <c r="I420" s="2">
        <v>45292</v>
      </c>
    </row>
    <row r="421" spans="1:9" x14ac:dyDescent="0.3">
      <c r="A421" t="s">
        <v>1050</v>
      </c>
      <c r="B421" t="s">
        <v>1051</v>
      </c>
      <c r="C421" t="s">
        <v>76</v>
      </c>
      <c r="D421" t="s">
        <v>62</v>
      </c>
      <c r="E421" t="s">
        <v>63</v>
      </c>
      <c r="F421" t="s">
        <v>64</v>
      </c>
      <c r="G421" t="s">
        <v>222</v>
      </c>
      <c r="H421" t="s">
        <v>207</v>
      </c>
      <c r="I421" s="2">
        <v>45292</v>
      </c>
    </row>
    <row r="422" spans="1:9" x14ac:dyDescent="0.3">
      <c r="A422" t="s">
        <v>1052</v>
      </c>
      <c r="B422" t="s">
        <v>1053</v>
      </c>
      <c r="C422" t="s">
        <v>80</v>
      </c>
      <c r="D422" t="s">
        <v>51</v>
      </c>
      <c r="E422" t="s">
        <v>52</v>
      </c>
      <c r="F422" t="s">
        <v>53</v>
      </c>
      <c r="G422" t="s">
        <v>222</v>
      </c>
      <c r="H422" t="s">
        <v>231</v>
      </c>
      <c r="I422" s="2">
        <v>45292</v>
      </c>
    </row>
    <row r="423" spans="1:9" x14ac:dyDescent="0.3">
      <c r="A423" t="s">
        <v>1054</v>
      </c>
      <c r="B423" t="s">
        <v>1055</v>
      </c>
      <c r="C423" t="s">
        <v>76</v>
      </c>
      <c r="D423" t="s">
        <v>62</v>
      </c>
      <c r="E423" t="s">
        <v>63</v>
      </c>
      <c r="F423" t="s">
        <v>64</v>
      </c>
      <c r="G423" t="s">
        <v>222</v>
      </c>
      <c r="H423" t="s">
        <v>231</v>
      </c>
      <c r="I423" s="2">
        <v>45292</v>
      </c>
    </row>
    <row r="424" spans="1:9" x14ac:dyDescent="0.3">
      <c r="A424" t="s">
        <v>1056</v>
      </c>
      <c r="B424" t="s">
        <v>1057</v>
      </c>
      <c r="C424" t="s">
        <v>76</v>
      </c>
      <c r="D424" t="s">
        <v>62</v>
      </c>
      <c r="E424" t="s">
        <v>63</v>
      </c>
      <c r="F424" t="s">
        <v>64</v>
      </c>
      <c r="G424" t="s">
        <v>222</v>
      </c>
      <c r="H424" t="s">
        <v>207</v>
      </c>
      <c r="I424" s="2">
        <v>45292</v>
      </c>
    </row>
    <row r="425" spans="1:9" x14ac:dyDescent="0.3">
      <c r="A425" t="s">
        <v>1058</v>
      </c>
      <c r="B425" t="s">
        <v>1059</v>
      </c>
      <c r="C425" t="s">
        <v>76</v>
      </c>
      <c r="D425" t="s">
        <v>45</v>
      </c>
      <c r="E425" t="s">
        <v>46</v>
      </c>
      <c r="F425" t="s">
        <v>47</v>
      </c>
      <c r="G425" t="s">
        <v>211</v>
      </c>
      <c r="H425" t="s">
        <v>219</v>
      </c>
      <c r="I425" s="2">
        <v>45292</v>
      </c>
    </row>
    <row r="426" spans="1:9" x14ac:dyDescent="0.3">
      <c r="A426" t="s">
        <v>1060</v>
      </c>
      <c r="B426" t="s">
        <v>1061</v>
      </c>
      <c r="C426" t="s">
        <v>80</v>
      </c>
      <c r="D426" t="s">
        <v>62</v>
      </c>
      <c r="E426" t="s">
        <v>63</v>
      </c>
      <c r="F426" t="s">
        <v>64</v>
      </c>
      <c r="G426" t="s">
        <v>206</v>
      </c>
      <c r="H426" t="s">
        <v>207</v>
      </c>
      <c r="I426" s="2">
        <v>45292</v>
      </c>
    </row>
    <row r="427" spans="1:9" x14ac:dyDescent="0.3">
      <c r="A427" t="s">
        <v>1062</v>
      </c>
      <c r="B427" t="s">
        <v>1063</v>
      </c>
      <c r="C427" t="s">
        <v>76</v>
      </c>
      <c r="D427" t="s">
        <v>45</v>
      </c>
      <c r="E427" t="s">
        <v>46</v>
      </c>
      <c r="F427" t="s">
        <v>47</v>
      </c>
      <c r="G427" t="s">
        <v>211</v>
      </c>
      <c r="H427" t="s">
        <v>212</v>
      </c>
      <c r="I427" s="2">
        <v>45292</v>
      </c>
    </row>
    <row r="428" spans="1:9" x14ac:dyDescent="0.3">
      <c r="A428" t="s">
        <v>1064</v>
      </c>
      <c r="B428" t="s">
        <v>1065</v>
      </c>
      <c r="C428" t="s">
        <v>84</v>
      </c>
      <c r="D428" t="s">
        <v>45</v>
      </c>
      <c r="E428" t="s">
        <v>46</v>
      </c>
      <c r="F428" t="s">
        <v>47</v>
      </c>
      <c r="G428" t="s">
        <v>211</v>
      </c>
      <c r="H428" t="s">
        <v>219</v>
      </c>
      <c r="I428" s="2">
        <v>45292</v>
      </c>
    </row>
    <row r="429" spans="1:9" x14ac:dyDescent="0.3">
      <c r="A429" t="s">
        <v>1066</v>
      </c>
      <c r="B429" t="s">
        <v>1067</v>
      </c>
      <c r="C429" t="s">
        <v>76</v>
      </c>
      <c r="D429" t="s">
        <v>45</v>
      </c>
      <c r="E429" t="s">
        <v>46</v>
      </c>
      <c r="F429" t="s">
        <v>47</v>
      </c>
      <c r="G429" t="s">
        <v>206</v>
      </c>
      <c r="H429" t="s">
        <v>219</v>
      </c>
      <c r="I429" s="2">
        <v>45292</v>
      </c>
    </row>
    <row r="430" spans="1:9" x14ac:dyDescent="0.3">
      <c r="A430" t="s">
        <v>1068</v>
      </c>
      <c r="B430" t="s">
        <v>1069</v>
      </c>
      <c r="C430" t="s">
        <v>71</v>
      </c>
      <c r="D430" t="s">
        <v>210</v>
      </c>
      <c r="E430" t="s">
        <v>52</v>
      </c>
      <c r="F430" t="s">
        <v>59</v>
      </c>
      <c r="G430" t="s">
        <v>222</v>
      </c>
      <c r="H430" t="s">
        <v>219</v>
      </c>
      <c r="I430" s="2">
        <v>45292</v>
      </c>
    </row>
    <row r="431" spans="1:9" x14ac:dyDescent="0.3">
      <c r="A431" t="s">
        <v>1070</v>
      </c>
      <c r="B431" t="s">
        <v>1071</v>
      </c>
      <c r="C431" t="s">
        <v>71</v>
      </c>
      <c r="D431" t="s">
        <v>210</v>
      </c>
      <c r="E431" t="s">
        <v>52</v>
      </c>
      <c r="F431" t="s">
        <v>59</v>
      </c>
      <c r="G431" t="s">
        <v>222</v>
      </c>
      <c r="H431" t="s">
        <v>212</v>
      </c>
      <c r="I431" s="2">
        <v>45292</v>
      </c>
    </row>
    <row r="432" spans="1:9" x14ac:dyDescent="0.3">
      <c r="A432" t="s">
        <v>1072</v>
      </c>
      <c r="B432" t="s">
        <v>1073</v>
      </c>
      <c r="C432" t="s">
        <v>76</v>
      </c>
      <c r="D432" t="s">
        <v>51</v>
      </c>
      <c r="E432" t="s">
        <v>52</v>
      </c>
      <c r="F432" t="s">
        <v>53</v>
      </c>
      <c r="G432" t="s">
        <v>222</v>
      </c>
      <c r="H432" t="s">
        <v>219</v>
      </c>
      <c r="I432" s="2">
        <v>45292</v>
      </c>
    </row>
    <row r="433" spans="1:9" x14ac:dyDescent="0.3">
      <c r="A433" t="s">
        <v>1074</v>
      </c>
      <c r="B433" t="s">
        <v>1075</v>
      </c>
      <c r="C433" t="s">
        <v>80</v>
      </c>
      <c r="D433" t="s">
        <v>210</v>
      </c>
      <c r="E433" t="s">
        <v>52</v>
      </c>
      <c r="F433" t="s">
        <v>59</v>
      </c>
      <c r="G433" t="s">
        <v>206</v>
      </c>
      <c r="H433" t="s">
        <v>231</v>
      </c>
      <c r="I433" s="2">
        <v>45292</v>
      </c>
    </row>
    <row r="434" spans="1:9" x14ac:dyDescent="0.3">
      <c r="A434" t="s">
        <v>1076</v>
      </c>
      <c r="B434" t="s">
        <v>1077</v>
      </c>
      <c r="C434" t="s">
        <v>80</v>
      </c>
      <c r="D434" t="s">
        <v>210</v>
      </c>
      <c r="E434" t="s">
        <v>52</v>
      </c>
      <c r="F434" t="s">
        <v>59</v>
      </c>
      <c r="G434" t="s">
        <v>206</v>
      </c>
      <c r="H434" t="s">
        <v>231</v>
      </c>
      <c r="I434" s="2">
        <v>45292</v>
      </c>
    </row>
    <row r="435" spans="1:9" x14ac:dyDescent="0.3">
      <c r="A435" t="s">
        <v>1078</v>
      </c>
      <c r="B435" t="s">
        <v>1079</v>
      </c>
      <c r="C435" t="s">
        <v>76</v>
      </c>
      <c r="D435" t="s">
        <v>62</v>
      </c>
      <c r="E435" t="s">
        <v>63</v>
      </c>
      <c r="F435" t="s">
        <v>64</v>
      </c>
      <c r="G435" t="s">
        <v>222</v>
      </c>
      <c r="H435" t="s">
        <v>231</v>
      </c>
      <c r="I435" s="2">
        <v>45292</v>
      </c>
    </row>
    <row r="436" spans="1:9" x14ac:dyDescent="0.3">
      <c r="A436" t="s">
        <v>1080</v>
      </c>
      <c r="B436" t="s">
        <v>1081</v>
      </c>
      <c r="C436" t="s">
        <v>76</v>
      </c>
      <c r="D436" t="s">
        <v>62</v>
      </c>
      <c r="E436" t="s">
        <v>63</v>
      </c>
      <c r="F436" t="s">
        <v>64</v>
      </c>
      <c r="G436" t="s">
        <v>222</v>
      </c>
      <c r="H436" t="s">
        <v>207</v>
      </c>
      <c r="I436" s="2">
        <v>45292</v>
      </c>
    </row>
    <row r="437" spans="1:9" x14ac:dyDescent="0.3">
      <c r="A437" t="s">
        <v>1082</v>
      </c>
      <c r="B437" t="s">
        <v>1083</v>
      </c>
      <c r="C437" t="s">
        <v>80</v>
      </c>
      <c r="D437" t="s">
        <v>51</v>
      </c>
      <c r="E437" t="s">
        <v>52</v>
      </c>
      <c r="F437" t="s">
        <v>53</v>
      </c>
      <c r="G437" t="s">
        <v>222</v>
      </c>
      <c r="H437" t="s">
        <v>219</v>
      </c>
      <c r="I437" s="2">
        <v>45292</v>
      </c>
    </row>
    <row r="438" spans="1:9" x14ac:dyDescent="0.3">
      <c r="A438" t="s">
        <v>1084</v>
      </c>
      <c r="B438" t="s">
        <v>1085</v>
      </c>
      <c r="C438" t="s">
        <v>71</v>
      </c>
      <c r="D438" t="s">
        <v>57</v>
      </c>
      <c r="E438" t="s">
        <v>58</v>
      </c>
      <c r="F438" t="s">
        <v>59</v>
      </c>
      <c r="G438" t="s">
        <v>222</v>
      </c>
      <c r="H438" t="s">
        <v>219</v>
      </c>
      <c r="I438" s="2">
        <v>45292</v>
      </c>
    </row>
    <row r="439" spans="1:9" x14ac:dyDescent="0.3">
      <c r="A439" t="s">
        <v>1086</v>
      </c>
      <c r="B439" t="s">
        <v>1087</v>
      </c>
      <c r="C439" t="s">
        <v>71</v>
      </c>
      <c r="D439" t="s">
        <v>51</v>
      </c>
      <c r="E439" t="s">
        <v>52</v>
      </c>
      <c r="F439" t="s">
        <v>53</v>
      </c>
      <c r="G439" t="s">
        <v>211</v>
      </c>
      <c r="H439" t="s">
        <v>207</v>
      </c>
      <c r="I439" s="2">
        <v>45292</v>
      </c>
    </row>
    <row r="440" spans="1:9" x14ac:dyDescent="0.3">
      <c r="A440" t="s">
        <v>1088</v>
      </c>
      <c r="B440" t="s">
        <v>1089</v>
      </c>
      <c r="C440" t="s">
        <v>76</v>
      </c>
      <c r="D440" t="s">
        <v>51</v>
      </c>
      <c r="E440" t="s">
        <v>52</v>
      </c>
      <c r="F440" t="s">
        <v>53</v>
      </c>
      <c r="G440" t="s">
        <v>206</v>
      </c>
      <c r="H440" t="s">
        <v>212</v>
      </c>
      <c r="I440" s="2">
        <v>45292</v>
      </c>
    </row>
    <row r="441" spans="1:9" x14ac:dyDescent="0.3">
      <c r="A441" t="s">
        <v>1090</v>
      </c>
      <c r="B441" t="s">
        <v>1091</v>
      </c>
      <c r="C441" t="s">
        <v>76</v>
      </c>
      <c r="D441" t="s">
        <v>62</v>
      </c>
      <c r="E441" t="s">
        <v>63</v>
      </c>
      <c r="F441" t="s">
        <v>64</v>
      </c>
      <c r="G441" t="s">
        <v>206</v>
      </c>
      <c r="H441" t="s">
        <v>212</v>
      </c>
      <c r="I441" s="2">
        <v>45292</v>
      </c>
    </row>
    <row r="442" spans="1:9" x14ac:dyDescent="0.3">
      <c r="A442" t="s">
        <v>1092</v>
      </c>
      <c r="B442" t="s">
        <v>1093</v>
      </c>
      <c r="C442" t="s">
        <v>80</v>
      </c>
      <c r="D442" t="s">
        <v>45</v>
      </c>
      <c r="E442" t="s">
        <v>46</v>
      </c>
      <c r="F442" t="s">
        <v>47</v>
      </c>
      <c r="G442" t="s">
        <v>206</v>
      </c>
      <c r="H442" t="s">
        <v>231</v>
      </c>
      <c r="I442" s="2">
        <v>45292</v>
      </c>
    </row>
    <row r="443" spans="1:9" x14ac:dyDescent="0.3">
      <c r="A443" t="s">
        <v>1094</v>
      </c>
      <c r="B443" t="s">
        <v>1095</v>
      </c>
      <c r="C443" t="s">
        <v>76</v>
      </c>
      <c r="D443" t="s">
        <v>210</v>
      </c>
      <c r="E443" t="s">
        <v>52</v>
      </c>
      <c r="F443" t="s">
        <v>59</v>
      </c>
      <c r="G443" t="s">
        <v>206</v>
      </c>
      <c r="H443" t="s">
        <v>219</v>
      </c>
      <c r="I443" s="2">
        <v>45292</v>
      </c>
    </row>
    <row r="444" spans="1:9" x14ac:dyDescent="0.3">
      <c r="A444" t="s">
        <v>1096</v>
      </c>
      <c r="B444" t="s">
        <v>1097</v>
      </c>
      <c r="C444" t="s">
        <v>80</v>
      </c>
      <c r="D444" t="s">
        <v>62</v>
      </c>
      <c r="E444" t="s">
        <v>63</v>
      </c>
      <c r="F444" t="s">
        <v>64</v>
      </c>
      <c r="G444" t="s">
        <v>211</v>
      </c>
      <c r="H444" t="s">
        <v>231</v>
      </c>
      <c r="I444" s="2">
        <v>45292</v>
      </c>
    </row>
    <row r="445" spans="1:9" x14ac:dyDescent="0.3">
      <c r="A445" t="s">
        <v>1098</v>
      </c>
      <c r="B445" t="s">
        <v>1099</v>
      </c>
      <c r="C445" t="s">
        <v>80</v>
      </c>
      <c r="D445" t="s">
        <v>210</v>
      </c>
      <c r="E445" t="s">
        <v>52</v>
      </c>
      <c r="F445" t="s">
        <v>59</v>
      </c>
      <c r="G445" t="s">
        <v>206</v>
      </c>
      <c r="H445" t="s">
        <v>212</v>
      </c>
      <c r="I445" s="2">
        <v>45292</v>
      </c>
    </row>
    <row r="446" spans="1:9" x14ac:dyDescent="0.3">
      <c r="A446" t="s">
        <v>1100</v>
      </c>
      <c r="B446" t="s">
        <v>1101</v>
      </c>
      <c r="C446" t="s">
        <v>76</v>
      </c>
      <c r="D446" t="s">
        <v>57</v>
      </c>
      <c r="E446" t="s">
        <v>58</v>
      </c>
      <c r="F446" t="s">
        <v>59</v>
      </c>
      <c r="G446" t="s">
        <v>222</v>
      </c>
      <c r="H446" t="s">
        <v>212</v>
      </c>
      <c r="I446" s="2">
        <v>45292</v>
      </c>
    </row>
    <row r="447" spans="1:9" x14ac:dyDescent="0.3">
      <c r="A447" t="s">
        <v>1102</v>
      </c>
      <c r="B447" t="s">
        <v>1103</v>
      </c>
      <c r="C447" t="s">
        <v>80</v>
      </c>
      <c r="D447" t="s">
        <v>62</v>
      </c>
      <c r="E447" t="s">
        <v>63</v>
      </c>
      <c r="F447" t="s">
        <v>64</v>
      </c>
      <c r="G447" t="s">
        <v>206</v>
      </c>
      <c r="H447" t="s">
        <v>212</v>
      </c>
      <c r="I447" s="2">
        <v>45292</v>
      </c>
    </row>
    <row r="448" spans="1:9" x14ac:dyDescent="0.3">
      <c r="A448" t="s">
        <v>1104</v>
      </c>
      <c r="B448" t="s">
        <v>1105</v>
      </c>
      <c r="C448" t="s">
        <v>76</v>
      </c>
      <c r="D448" t="s">
        <v>62</v>
      </c>
      <c r="E448" t="s">
        <v>63</v>
      </c>
      <c r="F448" t="s">
        <v>64</v>
      </c>
      <c r="G448" t="s">
        <v>222</v>
      </c>
      <c r="H448" t="s">
        <v>219</v>
      </c>
      <c r="I448" s="2">
        <v>45292</v>
      </c>
    </row>
    <row r="449" spans="1:9" x14ac:dyDescent="0.3">
      <c r="A449" t="s">
        <v>1106</v>
      </c>
      <c r="B449" t="s">
        <v>1107</v>
      </c>
      <c r="C449" t="s">
        <v>71</v>
      </c>
      <c r="D449" t="s">
        <v>51</v>
      </c>
      <c r="E449" t="s">
        <v>52</v>
      </c>
      <c r="F449" t="s">
        <v>53</v>
      </c>
      <c r="G449" t="s">
        <v>222</v>
      </c>
      <c r="H449" t="s">
        <v>231</v>
      </c>
      <c r="I449" s="2">
        <v>45292</v>
      </c>
    </row>
    <row r="450" spans="1:9" x14ac:dyDescent="0.3">
      <c r="A450" t="s">
        <v>1108</v>
      </c>
      <c r="B450" t="s">
        <v>1109</v>
      </c>
      <c r="C450" t="s">
        <v>76</v>
      </c>
      <c r="D450" t="s">
        <v>62</v>
      </c>
      <c r="E450" t="s">
        <v>63</v>
      </c>
      <c r="F450" t="s">
        <v>64</v>
      </c>
      <c r="G450" t="s">
        <v>211</v>
      </c>
      <c r="H450" t="s">
        <v>207</v>
      </c>
      <c r="I450" s="2">
        <v>45292</v>
      </c>
    </row>
    <row r="451" spans="1:9" x14ac:dyDescent="0.3">
      <c r="A451" t="s">
        <v>1110</v>
      </c>
      <c r="B451" t="s">
        <v>1111</v>
      </c>
      <c r="C451" t="s">
        <v>84</v>
      </c>
      <c r="D451" t="s">
        <v>57</v>
      </c>
      <c r="E451" t="s">
        <v>58</v>
      </c>
      <c r="F451" t="s">
        <v>59</v>
      </c>
      <c r="G451" t="s">
        <v>222</v>
      </c>
      <c r="H451" t="s">
        <v>212</v>
      </c>
      <c r="I451" s="2">
        <v>45292</v>
      </c>
    </row>
    <row r="452" spans="1:9" x14ac:dyDescent="0.3">
      <c r="A452" t="s">
        <v>1112</v>
      </c>
      <c r="B452" t="s">
        <v>1113</v>
      </c>
      <c r="C452" t="s">
        <v>76</v>
      </c>
      <c r="D452" t="s">
        <v>51</v>
      </c>
      <c r="E452" t="s">
        <v>52</v>
      </c>
      <c r="F452" t="s">
        <v>53</v>
      </c>
      <c r="G452" t="s">
        <v>222</v>
      </c>
      <c r="H452" t="s">
        <v>231</v>
      </c>
      <c r="I452" s="2">
        <v>45292</v>
      </c>
    </row>
    <row r="453" spans="1:9" x14ac:dyDescent="0.3">
      <c r="A453" t="s">
        <v>1114</v>
      </c>
      <c r="B453" t="s">
        <v>1115</v>
      </c>
      <c r="C453" t="s">
        <v>76</v>
      </c>
      <c r="D453" t="s">
        <v>51</v>
      </c>
      <c r="E453" t="s">
        <v>52</v>
      </c>
      <c r="F453" t="s">
        <v>53</v>
      </c>
      <c r="G453" t="s">
        <v>211</v>
      </c>
      <c r="H453" t="s">
        <v>219</v>
      </c>
      <c r="I453" s="2">
        <v>45292</v>
      </c>
    </row>
    <row r="454" spans="1:9" x14ac:dyDescent="0.3">
      <c r="A454" t="s">
        <v>1116</v>
      </c>
      <c r="B454" t="s">
        <v>1117</v>
      </c>
      <c r="C454" t="s">
        <v>71</v>
      </c>
      <c r="D454" t="s">
        <v>57</v>
      </c>
      <c r="E454" t="s">
        <v>58</v>
      </c>
      <c r="F454" t="s">
        <v>59</v>
      </c>
      <c r="G454" t="s">
        <v>206</v>
      </c>
      <c r="H454" t="s">
        <v>212</v>
      </c>
      <c r="I454" s="2">
        <v>45292</v>
      </c>
    </row>
    <row r="455" spans="1:9" x14ac:dyDescent="0.3">
      <c r="A455" t="s">
        <v>1118</v>
      </c>
      <c r="B455" t="s">
        <v>1119</v>
      </c>
      <c r="C455" t="s">
        <v>76</v>
      </c>
      <c r="D455" t="s">
        <v>210</v>
      </c>
      <c r="E455" t="s">
        <v>52</v>
      </c>
      <c r="F455" t="s">
        <v>59</v>
      </c>
      <c r="G455" t="s">
        <v>211</v>
      </c>
      <c r="H455" t="s">
        <v>207</v>
      </c>
      <c r="I455" s="2">
        <v>45292</v>
      </c>
    </row>
    <row r="456" spans="1:9" x14ac:dyDescent="0.3">
      <c r="A456" t="s">
        <v>1120</v>
      </c>
      <c r="B456" t="s">
        <v>1121</v>
      </c>
      <c r="C456" t="s">
        <v>84</v>
      </c>
      <c r="D456" t="s">
        <v>210</v>
      </c>
      <c r="E456" t="s">
        <v>52</v>
      </c>
      <c r="F456" t="s">
        <v>59</v>
      </c>
      <c r="G456" t="s">
        <v>211</v>
      </c>
      <c r="H456" t="s">
        <v>212</v>
      </c>
      <c r="I456" s="2">
        <v>45292</v>
      </c>
    </row>
    <row r="457" spans="1:9" x14ac:dyDescent="0.3">
      <c r="A457" t="s">
        <v>1122</v>
      </c>
      <c r="B457" t="s">
        <v>1123</v>
      </c>
      <c r="C457" t="s">
        <v>76</v>
      </c>
      <c r="D457" t="s">
        <v>57</v>
      </c>
      <c r="E457" t="s">
        <v>58</v>
      </c>
      <c r="F457" t="s">
        <v>59</v>
      </c>
      <c r="G457" t="s">
        <v>211</v>
      </c>
      <c r="H457" t="s">
        <v>212</v>
      </c>
      <c r="I457" s="2">
        <v>45292</v>
      </c>
    </row>
    <row r="458" spans="1:9" x14ac:dyDescent="0.3">
      <c r="A458" t="s">
        <v>1124</v>
      </c>
      <c r="B458" t="s">
        <v>1125</v>
      </c>
      <c r="C458" t="s">
        <v>84</v>
      </c>
      <c r="D458" t="s">
        <v>45</v>
      </c>
      <c r="E458" t="s">
        <v>46</v>
      </c>
      <c r="F458" t="s">
        <v>47</v>
      </c>
      <c r="G458" t="s">
        <v>211</v>
      </c>
      <c r="H458" t="s">
        <v>212</v>
      </c>
      <c r="I458" s="2">
        <v>45292</v>
      </c>
    </row>
    <row r="459" spans="1:9" x14ac:dyDescent="0.3">
      <c r="A459" t="s">
        <v>1126</v>
      </c>
      <c r="B459" t="s">
        <v>1127</v>
      </c>
      <c r="C459" t="s">
        <v>80</v>
      </c>
      <c r="D459" t="s">
        <v>57</v>
      </c>
      <c r="E459" t="s">
        <v>58</v>
      </c>
      <c r="F459" t="s">
        <v>59</v>
      </c>
      <c r="G459" t="s">
        <v>222</v>
      </c>
      <c r="H459" t="s">
        <v>219</v>
      </c>
      <c r="I459" s="2">
        <v>45292</v>
      </c>
    </row>
    <row r="460" spans="1:9" x14ac:dyDescent="0.3">
      <c r="A460" t="s">
        <v>1128</v>
      </c>
      <c r="B460" t="s">
        <v>1129</v>
      </c>
      <c r="C460" t="s">
        <v>80</v>
      </c>
      <c r="D460" t="s">
        <v>57</v>
      </c>
      <c r="E460" t="s">
        <v>58</v>
      </c>
      <c r="F460" t="s">
        <v>59</v>
      </c>
      <c r="G460" t="s">
        <v>222</v>
      </c>
      <c r="H460" t="s">
        <v>212</v>
      </c>
      <c r="I460" s="2">
        <v>45292</v>
      </c>
    </row>
    <row r="461" spans="1:9" x14ac:dyDescent="0.3">
      <c r="A461" t="s">
        <v>1130</v>
      </c>
      <c r="B461" t="s">
        <v>1131</v>
      </c>
      <c r="C461" t="s">
        <v>71</v>
      </c>
      <c r="D461" t="s">
        <v>51</v>
      </c>
      <c r="E461" t="s">
        <v>52</v>
      </c>
      <c r="F461" t="s">
        <v>53</v>
      </c>
      <c r="G461" t="s">
        <v>222</v>
      </c>
      <c r="H461" t="s">
        <v>207</v>
      </c>
      <c r="I461" s="2">
        <v>45292</v>
      </c>
    </row>
    <row r="462" spans="1:9" x14ac:dyDescent="0.3">
      <c r="A462" t="s">
        <v>1132</v>
      </c>
      <c r="B462" t="s">
        <v>1133</v>
      </c>
      <c r="C462" t="s">
        <v>80</v>
      </c>
      <c r="D462" t="s">
        <v>210</v>
      </c>
      <c r="E462" t="s">
        <v>52</v>
      </c>
      <c r="F462" t="s">
        <v>59</v>
      </c>
      <c r="G462" t="s">
        <v>211</v>
      </c>
      <c r="H462" t="s">
        <v>231</v>
      </c>
      <c r="I462" s="2">
        <v>45292</v>
      </c>
    </row>
    <row r="463" spans="1:9" x14ac:dyDescent="0.3">
      <c r="A463" t="s">
        <v>1134</v>
      </c>
      <c r="B463" t="s">
        <v>1135</v>
      </c>
      <c r="C463" t="s">
        <v>84</v>
      </c>
      <c r="D463" t="s">
        <v>51</v>
      </c>
      <c r="E463" t="s">
        <v>52</v>
      </c>
      <c r="F463" t="s">
        <v>53</v>
      </c>
      <c r="G463" t="s">
        <v>222</v>
      </c>
      <c r="H463" t="s">
        <v>212</v>
      </c>
      <c r="I463" s="2">
        <v>45292</v>
      </c>
    </row>
    <row r="464" spans="1:9" x14ac:dyDescent="0.3">
      <c r="A464" t="s">
        <v>1136</v>
      </c>
      <c r="B464" t="s">
        <v>1137</v>
      </c>
      <c r="C464" t="s">
        <v>76</v>
      </c>
      <c r="D464" t="s">
        <v>51</v>
      </c>
      <c r="E464" t="s">
        <v>52</v>
      </c>
      <c r="F464" t="s">
        <v>53</v>
      </c>
      <c r="G464" t="s">
        <v>211</v>
      </c>
      <c r="H464" t="s">
        <v>219</v>
      </c>
      <c r="I464" s="2">
        <v>45292</v>
      </c>
    </row>
    <row r="465" spans="1:9" x14ac:dyDescent="0.3">
      <c r="A465" t="s">
        <v>1138</v>
      </c>
      <c r="B465" t="s">
        <v>1139</v>
      </c>
      <c r="C465" t="s">
        <v>76</v>
      </c>
      <c r="D465" t="s">
        <v>57</v>
      </c>
      <c r="E465" t="s">
        <v>58</v>
      </c>
      <c r="F465" t="s">
        <v>59</v>
      </c>
      <c r="G465" t="s">
        <v>222</v>
      </c>
      <c r="H465" t="s">
        <v>212</v>
      </c>
      <c r="I465" s="2">
        <v>45292</v>
      </c>
    </row>
    <row r="466" spans="1:9" x14ac:dyDescent="0.3">
      <c r="A466" t="s">
        <v>1140</v>
      </c>
      <c r="B466" t="s">
        <v>1141</v>
      </c>
      <c r="C466" t="s">
        <v>76</v>
      </c>
      <c r="D466" t="s">
        <v>57</v>
      </c>
      <c r="E466" t="s">
        <v>58</v>
      </c>
      <c r="F466" t="s">
        <v>59</v>
      </c>
      <c r="G466" t="s">
        <v>206</v>
      </c>
      <c r="H466" t="s">
        <v>207</v>
      </c>
      <c r="I466" s="2">
        <v>45292</v>
      </c>
    </row>
    <row r="467" spans="1:9" x14ac:dyDescent="0.3">
      <c r="A467" t="s">
        <v>1142</v>
      </c>
      <c r="B467" t="s">
        <v>1143</v>
      </c>
      <c r="C467" t="s">
        <v>76</v>
      </c>
      <c r="D467" t="s">
        <v>51</v>
      </c>
      <c r="E467" t="s">
        <v>52</v>
      </c>
      <c r="F467" t="s">
        <v>53</v>
      </c>
      <c r="G467" t="s">
        <v>222</v>
      </c>
      <c r="H467" t="s">
        <v>207</v>
      </c>
      <c r="I467" s="2">
        <v>45292</v>
      </c>
    </row>
    <row r="468" spans="1:9" x14ac:dyDescent="0.3">
      <c r="A468" t="s">
        <v>1144</v>
      </c>
      <c r="B468" t="s">
        <v>1145</v>
      </c>
      <c r="C468" t="s">
        <v>76</v>
      </c>
      <c r="D468" t="s">
        <v>210</v>
      </c>
      <c r="E468" t="s">
        <v>52</v>
      </c>
      <c r="F468" t="s">
        <v>59</v>
      </c>
      <c r="G468" t="s">
        <v>211</v>
      </c>
      <c r="H468" t="s">
        <v>212</v>
      </c>
      <c r="I468" s="2">
        <v>45292</v>
      </c>
    </row>
    <row r="469" spans="1:9" x14ac:dyDescent="0.3">
      <c r="A469" t="s">
        <v>1146</v>
      </c>
      <c r="B469" t="s">
        <v>1147</v>
      </c>
      <c r="C469" t="s">
        <v>71</v>
      </c>
      <c r="D469" t="s">
        <v>210</v>
      </c>
      <c r="E469" t="s">
        <v>52</v>
      </c>
      <c r="F469" t="s">
        <v>59</v>
      </c>
      <c r="G469" t="s">
        <v>206</v>
      </c>
      <c r="H469" t="s">
        <v>207</v>
      </c>
      <c r="I469" s="2">
        <v>45292</v>
      </c>
    </row>
    <row r="470" spans="1:9" x14ac:dyDescent="0.3">
      <c r="A470" t="s">
        <v>1148</v>
      </c>
      <c r="B470" t="s">
        <v>1149</v>
      </c>
      <c r="C470" t="s">
        <v>76</v>
      </c>
      <c r="D470" t="s">
        <v>57</v>
      </c>
      <c r="E470" t="s">
        <v>58</v>
      </c>
      <c r="F470" t="s">
        <v>59</v>
      </c>
      <c r="G470" t="s">
        <v>206</v>
      </c>
      <c r="H470" t="s">
        <v>231</v>
      </c>
      <c r="I470" s="2">
        <v>45292</v>
      </c>
    </row>
    <row r="471" spans="1:9" x14ac:dyDescent="0.3">
      <c r="A471" t="s">
        <v>1150</v>
      </c>
      <c r="B471" t="s">
        <v>1151</v>
      </c>
      <c r="C471" t="s">
        <v>76</v>
      </c>
      <c r="D471" t="s">
        <v>51</v>
      </c>
      <c r="E471" t="s">
        <v>52</v>
      </c>
      <c r="F471" t="s">
        <v>53</v>
      </c>
      <c r="G471" t="s">
        <v>211</v>
      </c>
      <c r="H471" t="s">
        <v>212</v>
      </c>
      <c r="I471" s="2">
        <v>45292</v>
      </c>
    </row>
    <row r="472" spans="1:9" x14ac:dyDescent="0.3">
      <c r="A472" t="s">
        <v>1152</v>
      </c>
      <c r="B472" t="s">
        <v>1153</v>
      </c>
      <c r="C472" t="s">
        <v>76</v>
      </c>
      <c r="D472" t="s">
        <v>51</v>
      </c>
      <c r="E472" t="s">
        <v>52</v>
      </c>
      <c r="F472" t="s">
        <v>53</v>
      </c>
      <c r="G472" t="s">
        <v>211</v>
      </c>
      <c r="H472" t="s">
        <v>207</v>
      </c>
      <c r="I472" s="2">
        <v>45292</v>
      </c>
    </row>
    <row r="473" spans="1:9" x14ac:dyDescent="0.3">
      <c r="A473" t="s">
        <v>1154</v>
      </c>
      <c r="B473" t="s">
        <v>1155</v>
      </c>
      <c r="C473" t="s">
        <v>76</v>
      </c>
      <c r="D473" t="s">
        <v>45</v>
      </c>
      <c r="E473" t="s">
        <v>46</v>
      </c>
      <c r="F473" t="s">
        <v>47</v>
      </c>
      <c r="G473" t="s">
        <v>222</v>
      </c>
      <c r="H473" t="s">
        <v>207</v>
      </c>
      <c r="I473" s="2">
        <v>45292</v>
      </c>
    </row>
    <row r="474" spans="1:9" x14ac:dyDescent="0.3">
      <c r="A474" t="s">
        <v>1156</v>
      </c>
      <c r="B474" t="s">
        <v>1157</v>
      </c>
      <c r="C474" t="s">
        <v>76</v>
      </c>
      <c r="D474" t="s">
        <v>210</v>
      </c>
      <c r="E474" t="s">
        <v>52</v>
      </c>
      <c r="F474" t="s">
        <v>59</v>
      </c>
      <c r="G474" t="s">
        <v>222</v>
      </c>
      <c r="H474" t="s">
        <v>212</v>
      </c>
      <c r="I474" s="2">
        <v>45292</v>
      </c>
    </row>
    <row r="475" spans="1:9" x14ac:dyDescent="0.3">
      <c r="A475" t="s">
        <v>1158</v>
      </c>
      <c r="B475" t="s">
        <v>1159</v>
      </c>
      <c r="C475" t="s">
        <v>84</v>
      </c>
      <c r="D475" t="s">
        <v>210</v>
      </c>
      <c r="E475" t="s">
        <v>52</v>
      </c>
      <c r="F475" t="s">
        <v>59</v>
      </c>
      <c r="G475" t="s">
        <v>222</v>
      </c>
      <c r="H475" t="s">
        <v>219</v>
      </c>
      <c r="I475" s="2">
        <v>45292</v>
      </c>
    </row>
    <row r="476" spans="1:9" x14ac:dyDescent="0.3">
      <c r="A476" t="s">
        <v>1160</v>
      </c>
      <c r="B476" t="s">
        <v>1161</v>
      </c>
      <c r="C476" t="s">
        <v>80</v>
      </c>
      <c r="D476" t="s">
        <v>57</v>
      </c>
      <c r="E476" t="s">
        <v>58</v>
      </c>
      <c r="F476" t="s">
        <v>59</v>
      </c>
      <c r="G476" t="s">
        <v>222</v>
      </c>
      <c r="H476" t="s">
        <v>207</v>
      </c>
      <c r="I476" s="2">
        <v>45292</v>
      </c>
    </row>
    <row r="477" spans="1:9" x14ac:dyDescent="0.3">
      <c r="A477" t="s">
        <v>1162</v>
      </c>
      <c r="B477" t="s">
        <v>1163</v>
      </c>
      <c r="C477" t="s">
        <v>76</v>
      </c>
      <c r="D477" t="s">
        <v>210</v>
      </c>
      <c r="E477" t="s">
        <v>52</v>
      </c>
      <c r="F477" t="s">
        <v>59</v>
      </c>
      <c r="G477" t="s">
        <v>211</v>
      </c>
      <c r="H477" t="s">
        <v>231</v>
      </c>
      <c r="I477" s="2">
        <v>45292</v>
      </c>
    </row>
    <row r="478" spans="1:9" x14ac:dyDescent="0.3">
      <c r="A478" t="s">
        <v>1164</v>
      </c>
      <c r="B478" t="s">
        <v>1165</v>
      </c>
      <c r="C478" t="s">
        <v>80</v>
      </c>
      <c r="D478" t="s">
        <v>62</v>
      </c>
      <c r="E478" t="s">
        <v>63</v>
      </c>
      <c r="F478" t="s">
        <v>64</v>
      </c>
      <c r="G478" t="s">
        <v>222</v>
      </c>
      <c r="H478" t="s">
        <v>212</v>
      </c>
      <c r="I478" s="2">
        <v>45292</v>
      </c>
    </row>
    <row r="479" spans="1:9" x14ac:dyDescent="0.3">
      <c r="A479" t="s">
        <v>1166</v>
      </c>
      <c r="B479" t="s">
        <v>1167</v>
      </c>
      <c r="C479" t="s">
        <v>76</v>
      </c>
      <c r="D479" t="s">
        <v>62</v>
      </c>
      <c r="E479" t="s">
        <v>63</v>
      </c>
      <c r="F479" t="s">
        <v>64</v>
      </c>
      <c r="G479" t="s">
        <v>206</v>
      </c>
      <c r="H479" t="s">
        <v>231</v>
      </c>
      <c r="I479" s="2">
        <v>45292</v>
      </c>
    </row>
    <row r="480" spans="1:9" x14ac:dyDescent="0.3">
      <c r="A480" t="s">
        <v>1168</v>
      </c>
      <c r="B480" t="s">
        <v>1169</v>
      </c>
      <c r="C480" t="s">
        <v>71</v>
      </c>
      <c r="D480" t="s">
        <v>57</v>
      </c>
      <c r="E480" t="s">
        <v>58</v>
      </c>
      <c r="F480" t="s">
        <v>59</v>
      </c>
      <c r="G480" t="s">
        <v>211</v>
      </c>
      <c r="H480" t="s">
        <v>212</v>
      </c>
      <c r="I480" s="2">
        <v>45292</v>
      </c>
    </row>
    <row r="481" spans="1:9" x14ac:dyDescent="0.3">
      <c r="A481" t="s">
        <v>1170</v>
      </c>
      <c r="B481" t="s">
        <v>1171</v>
      </c>
      <c r="C481" t="s">
        <v>76</v>
      </c>
      <c r="D481" t="s">
        <v>57</v>
      </c>
      <c r="E481" t="s">
        <v>58</v>
      </c>
      <c r="F481" t="s">
        <v>59</v>
      </c>
      <c r="G481" t="s">
        <v>211</v>
      </c>
      <c r="H481" t="s">
        <v>219</v>
      </c>
      <c r="I481" s="2">
        <v>45292</v>
      </c>
    </row>
    <row r="482" spans="1:9" x14ac:dyDescent="0.3">
      <c r="A482" t="s">
        <v>1172</v>
      </c>
      <c r="B482" t="s">
        <v>1173</v>
      </c>
      <c r="C482" t="s">
        <v>76</v>
      </c>
      <c r="D482" t="s">
        <v>45</v>
      </c>
      <c r="E482" t="s">
        <v>46</v>
      </c>
      <c r="F482" t="s">
        <v>47</v>
      </c>
      <c r="G482" t="s">
        <v>206</v>
      </c>
      <c r="H482" t="s">
        <v>212</v>
      </c>
      <c r="I482" s="2">
        <v>45292</v>
      </c>
    </row>
    <row r="483" spans="1:9" x14ac:dyDescent="0.3">
      <c r="A483" t="s">
        <v>1174</v>
      </c>
      <c r="B483" t="s">
        <v>1175</v>
      </c>
      <c r="C483" t="s">
        <v>76</v>
      </c>
      <c r="D483" t="s">
        <v>45</v>
      </c>
      <c r="E483" t="s">
        <v>46</v>
      </c>
      <c r="F483" t="s">
        <v>47</v>
      </c>
      <c r="G483" t="s">
        <v>206</v>
      </c>
      <c r="H483" t="s">
        <v>219</v>
      </c>
      <c r="I483" s="2">
        <v>45292</v>
      </c>
    </row>
    <row r="484" spans="1:9" x14ac:dyDescent="0.3">
      <c r="A484" t="s">
        <v>1176</v>
      </c>
      <c r="B484" t="s">
        <v>1177</v>
      </c>
      <c r="C484" t="s">
        <v>71</v>
      </c>
      <c r="D484" t="s">
        <v>45</v>
      </c>
      <c r="E484" t="s">
        <v>46</v>
      </c>
      <c r="F484" t="s">
        <v>47</v>
      </c>
      <c r="G484" t="s">
        <v>222</v>
      </c>
      <c r="H484" t="s">
        <v>231</v>
      </c>
      <c r="I484" s="2">
        <v>45292</v>
      </c>
    </row>
    <row r="485" spans="1:9" x14ac:dyDescent="0.3">
      <c r="A485" t="s">
        <v>1178</v>
      </c>
      <c r="B485" t="s">
        <v>1179</v>
      </c>
      <c r="C485" t="s">
        <v>84</v>
      </c>
      <c r="D485" t="s">
        <v>210</v>
      </c>
      <c r="E485" t="s">
        <v>52</v>
      </c>
      <c r="F485" t="s">
        <v>59</v>
      </c>
      <c r="G485" t="s">
        <v>206</v>
      </c>
      <c r="H485" t="s">
        <v>231</v>
      </c>
      <c r="I485" s="2">
        <v>45292</v>
      </c>
    </row>
    <row r="486" spans="1:9" x14ac:dyDescent="0.3">
      <c r="A486" t="s">
        <v>1180</v>
      </c>
      <c r="B486" t="s">
        <v>1181</v>
      </c>
      <c r="C486" t="s">
        <v>76</v>
      </c>
      <c r="D486" t="s">
        <v>51</v>
      </c>
      <c r="E486" t="s">
        <v>52</v>
      </c>
      <c r="F486" t="s">
        <v>53</v>
      </c>
      <c r="G486" t="s">
        <v>211</v>
      </c>
      <c r="H486" t="s">
        <v>212</v>
      </c>
      <c r="I486" s="2">
        <v>45292</v>
      </c>
    </row>
    <row r="487" spans="1:9" x14ac:dyDescent="0.3">
      <c r="A487" t="s">
        <v>1182</v>
      </c>
      <c r="B487" t="s">
        <v>1183</v>
      </c>
      <c r="C487" t="s">
        <v>80</v>
      </c>
      <c r="D487" t="s">
        <v>62</v>
      </c>
      <c r="E487" t="s">
        <v>63</v>
      </c>
      <c r="F487" t="s">
        <v>64</v>
      </c>
      <c r="G487" t="s">
        <v>206</v>
      </c>
      <c r="H487" t="s">
        <v>207</v>
      </c>
      <c r="I487" s="2">
        <v>45292</v>
      </c>
    </row>
    <row r="488" spans="1:9" x14ac:dyDescent="0.3">
      <c r="A488" t="s">
        <v>1184</v>
      </c>
      <c r="B488" t="s">
        <v>1185</v>
      </c>
      <c r="C488" t="s">
        <v>71</v>
      </c>
      <c r="D488" t="s">
        <v>57</v>
      </c>
      <c r="E488" t="s">
        <v>58</v>
      </c>
      <c r="F488" t="s">
        <v>59</v>
      </c>
      <c r="G488" t="s">
        <v>206</v>
      </c>
      <c r="H488" t="s">
        <v>231</v>
      </c>
      <c r="I488" s="2">
        <v>45292</v>
      </c>
    </row>
    <row r="489" spans="1:9" x14ac:dyDescent="0.3">
      <c r="A489" t="s">
        <v>1186</v>
      </c>
      <c r="B489" t="s">
        <v>1187</v>
      </c>
      <c r="C489" t="s">
        <v>76</v>
      </c>
      <c r="D489" t="s">
        <v>45</v>
      </c>
      <c r="E489" t="s">
        <v>46</v>
      </c>
      <c r="F489" t="s">
        <v>47</v>
      </c>
      <c r="G489" t="s">
        <v>222</v>
      </c>
      <c r="H489" t="s">
        <v>219</v>
      </c>
      <c r="I489" s="2">
        <v>45292</v>
      </c>
    </row>
    <row r="490" spans="1:9" x14ac:dyDescent="0.3">
      <c r="A490" t="s">
        <v>1188</v>
      </c>
      <c r="B490" t="s">
        <v>1189</v>
      </c>
      <c r="C490" t="s">
        <v>76</v>
      </c>
      <c r="D490" t="s">
        <v>62</v>
      </c>
      <c r="E490" t="s">
        <v>63</v>
      </c>
      <c r="F490" t="s">
        <v>64</v>
      </c>
      <c r="G490" t="s">
        <v>206</v>
      </c>
      <c r="H490" t="s">
        <v>207</v>
      </c>
      <c r="I490" s="2">
        <v>45292</v>
      </c>
    </row>
    <row r="491" spans="1:9" x14ac:dyDescent="0.3">
      <c r="A491" t="s">
        <v>1190</v>
      </c>
      <c r="B491" t="s">
        <v>1191</v>
      </c>
      <c r="C491" t="s">
        <v>76</v>
      </c>
      <c r="D491" t="s">
        <v>57</v>
      </c>
      <c r="E491" t="s">
        <v>58</v>
      </c>
      <c r="F491" t="s">
        <v>59</v>
      </c>
      <c r="G491" t="s">
        <v>211</v>
      </c>
      <c r="H491" t="s">
        <v>219</v>
      </c>
      <c r="I491" s="2">
        <v>45292</v>
      </c>
    </row>
    <row r="492" spans="1:9" x14ac:dyDescent="0.3">
      <c r="A492" t="s">
        <v>1192</v>
      </c>
      <c r="B492" t="s">
        <v>1193</v>
      </c>
      <c r="C492" t="s">
        <v>76</v>
      </c>
      <c r="D492" t="s">
        <v>57</v>
      </c>
      <c r="E492" t="s">
        <v>58</v>
      </c>
      <c r="F492" t="s">
        <v>59</v>
      </c>
      <c r="G492" t="s">
        <v>206</v>
      </c>
      <c r="H492" t="s">
        <v>219</v>
      </c>
      <c r="I492" s="2">
        <v>45292</v>
      </c>
    </row>
    <row r="493" spans="1:9" x14ac:dyDescent="0.3">
      <c r="A493" t="s">
        <v>1194</v>
      </c>
      <c r="B493" t="s">
        <v>1195</v>
      </c>
      <c r="C493" t="s">
        <v>84</v>
      </c>
      <c r="D493" t="s">
        <v>45</v>
      </c>
      <c r="E493" t="s">
        <v>46</v>
      </c>
      <c r="F493" t="s">
        <v>47</v>
      </c>
      <c r="G493" t="s">
        <v>206</v>
      </c>
      <c r="H493" t="s">
        <v>207</v>
      </c>
      <c r="I493" s="2">
        <v>45292</v>
      </c>
    </row>
    <row r="494" spans="1:9" x14ac:dyDescent="0.3">
      <c r="A494" t="s">
        <v>1196</v>
      </c>
      <c r="B494" t="s">
        <v>1197</v>
      </c>
      <c r="C494" t="s">
        <v>76</v>
      </c>
      <c r="D494" t="s">
        <v>62</v>
      </c>
      <c r="E494" t="s">
        <v>63</v>
      </c>
      <c r="F494" t="s">
        <v>64</v>
      </c>
      <c r="G494" t="s">
        <v>206</v>
      </c>
      <c r="H494" t="s">
        <v>207</v>
      </c>
      <c r="I494" s="2">
        <v>45292</v>
      </c>
    </row>
    <row r="495" spans="1:9" x14ac:dyDescent="0.3">
      <c r="A495" t="s">
        <v>1198</v>
      </c>
      <c r="B495" t="s">
        <v>1199</v>
      </c>
      <c r="C495" t="s">
        <v>76</v>
      </c>
      <c r="D495" t="s">
        <v>45</v>
      </c>
      <c r="E495" t="s">
        <v>46</v>
      </c>
      <c r="F495" t="s">
        <v>47</v>
      </c>
      <c r="G495" t="s">
        <v>211</v>
      </c>
      <c r="H495" t="s">
        <v>207</v>
      </c>
      <c r="I495" s="2">
        <v>45292</v>
      </c>
    </row>
    <row r="496" spans="1:9" x14ac:dyDescent="0.3">
      <c r="A496" t="s">
        <v>1200</v>
      </c>
      <c r="B496" t="s">
        <v>1201</v>
      </c>
      <c r="C496" t="s">
        <v>76</v>
      </c>
      <c r="D496" t="s">
        <v>51</v>
      </c>
      <c r="E496" t="s">
        <v>52</v>
      </c>
      <c r="F496" t="s">
        <v>53</v>
      </c>
      <c r="G496" t="s">
        <v>222</v>
      </c>
      <c r="H496" t="s">
        <v>231</v>
      </c>
      <c r="I496" s="2">
        <v>45292</v>
      </c>
    </row>
    <row r="497" spans="1:9" x14ac:dyDescent="0.3">
      <c r="A497" t="s">
        <v>1202</v>
      </c>
      <c r="B497" t="s">
        <v>1203</v>
      </c>
      <c r="C497" t="s">
        <v>76</v>
      </c>
      <c r="D497" t="s">
        <v>62</v>
      </c>
      <c r="E497" t="s">
        <v>63</v>
      </c>
      <c r="F497" t="s">
        <v>64</v>
      </c>
      <c r="G497" t="s">
        <v>222</v>
      </c>
      <c r="H497" t="s">
        <v>207</v>
      </c>
      <c r="I497" s="2">
        <v>45292</v>
      </c>
    </row>
    <row r="498" spans="1:9" x14ac:dyDescent="0.3">
      <c r="A498" t="s">
        <v>1204</v>
      </c>
      <c r="B498" t="s">
        <v>1205</v>
      </c>
      <c r="C498" t="s">
        <v>71</v>
      </c>
      <c r="D498" t="s">
        <v>45</v>
      </c>
      <c r="E498" t="s">
        <v>46</v>
      </c>
      <c r="F498" t="s">
        <v>47</v>
      </c>
      <c r="G498" t="s">
        <v>211</v>
      </c>
      <c r="H498" t="s">
        <v>219</v>
      </c>
      <c r="I498" s="2">
        <v>45292</v>
      </c>
    </row>
    <row r="499" spans="1:9" x14ac:dyDescent="0.3">
      <c r="A499" t="s">
        <v>1206</v>
      </c>
      <c r="B499" t="s">
        <v>1207</v>
      </c>
      <c r="C499" t="s">
        <v>76</v>
      </c>
      <c r="D499" t="s">
        <v>51</v>
      </c>
      <c r="E499" t="s">
        <v>52</v>
      </c>
      <c r="F499" t="s">
        <v>53</v>
      </c>
      <c r="G499" t="s">
        <v>206</v>
      </c>
      <c r="H499" t="s">
        <v>219</v>
      </c>
      <c r="I499" s="2">
        <v>45292</v>
      </c>
    </row>
    <row r="500" spans="1:9" x14ac:dyDescent="0.3">
      <c r="A500" t="s">
        <v>1208</v>
      </c>
      <c r="B500" t="s">
        <v>1209</v>
      </c>
      <c r="C500" t="s">
        <v>80</v>
      </c>
      <c r="D500" t="s">
        <v>62</v>
      </c>
      <c r="E500" t="s">
        <v>63</v>
      </c>
      <c r="F500" t="s">
        <v>64</v>
      </c>
      <c r="G500" t="s">
        <v>211</v>
      </c>
      <c r="H500" t="s">
        <v>231</v>
      </c>
      <c r="I500" s="2">
        <v>45292</v>
      </c>
    </row>
    <row r="501" spans="1:9" x14ac:dyDescent="0.3">
      <c r="A501" t="s">
        <v>1210</v>
      </c>
      <c r="B501" t="s">
        <v>1211</v>
      </c>
      <c r="C501" t="s">
        <v>76</v>
      </c>
      <c r="D501" t="s">
        <v>210</v>
      </c>
      <c r="E501" t="s">
        <v>52</v>
      </c>
      <c r="F501" t="s">
        <v>59</v>
      </c>
      <c r="G501" t="s">
        <v>222</v>
      </c>
      <c r="H501" t="s">
        <v>219</v>
      </c>
      <c r="I501" s="2">
        <v>45292</v>
      </c>
    </row>
    <row r="502" spans="1:9" x14ac:dyDescent="0.3">
      <c r="A502" t="s">
        <v>1212</v>
      </c>
      <c r="B502" t="s">
        <v>1213</v>
      </c>
      <c r="C502" t="s">
        <v>80</v>
      </c>
      <c r="D502" t="s">
        <v>62</v>
      </c>
      <c r="E502" t="s">
        <v>63</v>
      </c>
      <c r="F502" t="s">
        <v>64</v>
      </c>
      <c r="G502" t="s">
        <v>222</v>
      </c>
      <c r="H502" t="s">
        <v>212</v>
      </c>
      <c r="I502" s="2">
        <v>45292</v>
      </c>
    </row>
    <row r="503" spans="1:9" x14ac:dyDescent="0.3">
      <c r="A503" t="s">
        <v>1214</v>
      </c>
      <c r="B503" t="s">
        <v>1215</v>
      </c>
      <c r="C503" t="s">
        <v>76</v>
      </c>
      <c r="D503" t="s">
        <v>51</v>
      </c>
      <c r="E503" t="s">
        <v>52</v>
      </c>
      <c r="F503" t="s">
        <v>53</v>
      </c>
      <c r="G503" t="s">
        <v>206</v>
      </c>
      <c r="H503" t="s">
        <v>231</v>
      </c>
      <c r="I503" s="2">
        <v>45292</v>
      </c>
    </row>
    <row r="504" spans="1:9" x14ac:dyDescent="0.3">
      <c r="A504" t="s">
        <v>1216</v>
      </c>
      <c r="B504" t="s">
        <v>1217</v>
      </c>
      <c r="C504" t="s">
        <v>76</v>
      </c>
      <c r="D504" t="s">
        <v>210</v>
      </c>
      <c r="E504" t="s">
        <v>52</v>
      </c>
      <c r="F504" t="s">
        <v>59</v>
      </c>
      <c r="G504" t="s">
        <v>206</v>
      </c>
      <c r="H504" t="s">
        <v>212</v>
      </c>
      <c r="I504" s="2">
        <v>45292</v>
      </c>
    </row>
    <row r="505" spans="1:9" x14ac:dyDescent="0.3">
      <c r="A505" t="s">
        <v>1218</v>
      </c>
      <c r="B505" t="s">
        <v>1219</v>
      </c>
      <c r="C505" t="s">
        <v>76</v>
      </c>
      <c r="D505" t="s">
        <v>45</v>
      </c>
      <c r="E505" t="s">
        <v>46</v>
      </c>
      <c r="F505" t="s">
        <v>47</v>
      </c>
      <c r="G505" t="s">
        <v>211</v>
      </c>
      <c r="H505" t="s">
        <v>212</v>
      </c>
      <c r="I505" s="2">
        <v>45292</v>
      </c>
    </row>
    <row r="506" spans="1:9" x14ac:dyDescent="0.3">
      <c r="A506" t="s">
        <v>1220</v>
      </c>
      <c r="B506" t="s">
        <v>1221</v>
      </c>
      <c r="C506" t="s">
        <v>76</v>
      </c>
      <c r="D506" t="s">
        <v>51</v>
      </c>
      <c r="E506" t="s">
        <v>52</v>
      </c>
      <c r="F506" t="s">
        <v>53</v>
      </c>
      <c r="G506" t="s">
        <v>222</v>
      </c>
      <c r="H506" t="s">
        <v>231</v>
      </c>
      <c r="I506" s="2">
        <v>45292</v>
      </c>
    </row>
    <row r="507" spans="1:9" x14ac:dyDescent="0.3">
      <c r="A507" t="s">
        <v>1222</v>
      </c>
      <c r="B507" t="s">
        <v>1223</v>
      </c>
      <c r="C507" t="s">
        <v>76</v>
      </c>
      <c r="D507" t="s">
        <v>57</v>
      </c>
      <c r="E507" t="s">
        <v>58</v>
      </c>
      <c r="F507" t="s">
        <v>59</v>
      </c>
      <c r="G507" t="s">
        <v>222</v>
      </c>
      <c r="H507" t="s">
        <v>207</v>
      </c>
      <c r="I507" s="2">
        <v>45292</v>
      </c>
    </row>
    <row r="508" spans="1:9" x14ac:dyDescent="0.3">
      <c r="A508" t="s">
        <v>1224</v>
      </c>
      <c r="B508" t="s">
        <v>1225</v>
      </c>
      <c r="C508" t="s">
        <v>71</v>
      </c>
      <c r="D508" t="s">
        <v>51</v>
      </c>
      <c r="E508" t="s">
        <v>52</v>
      </c>
      <c r="F508" t="s">
        <v>53</v>
      </c>
      <c r="G508" t="s">
        <v>206</v>
      </c>
      <c r="H508" t="s">
        <v>231</v>
      </c>
      <c r="I508" s="2">
        <v>45292</v>
      </c>
    </row>
    <row r="509" spans="1:9" x14ac:dyDescent="0.3">
      <c r="A509" t="s">
        <v>1226</v>
      </c>
      <c r="B509" t="s">
        <v>1227</v>
      </c>
      <c r="C509" t="s">
        <v>76</v>
      </c>
      <c r="D509" t="s">
        <v>62</v>
      </c>
      <c r="E509" t="s">
        <v>63</v>
      </c>
      <c r="F509" t="s">
        <v>64</v>
      </c>
      <c r="G509" t="s">
        <v>211</v>
      </c>
      <c r="H509" t="s">
        <v>207</v>
      </c>
      <c r="I509" s="2">
        <v>45292</v>
      </c>
    </row>
    <row r="510" spans="1:9" x14ac:dyDescent="0.3">
      <c r="A510" t="s">
        <v>1228</v>
      </c>
      <c r="B510" t="s">
        <v>1229</v>
      </c>
      <c r="C510" t="s">
        <v>80</v>
      </c>
      <c r="D510" t="s">
        <v>51</v>
      </c>
      <c r="E510" t="s">
        <v>52</v>
      </c>
      <c r="F510" t="s">
        <v>53</v>
      </c>
      <c r="G510" t="s">
        <v>222</v>
      </c>
      <c r="H510" t="s">
        <v>212</v>
      </c>
      <c r="I510" s="2">
        <v>45292</v>
      </c>
    </row>
    <row r="511" spans="1:9" x14ac:dyDescent="0.3">
      <c r="A511" t="s">
        <v>1230</v>
      </c>
      <c r="B511" t="s">
        <v>1231</v>
      </c>
      <c r="C511" t="s">
        <v>76</v>
      </c>
      <c r="D511" t="s">
        <v>57</v>
      </c>
      <c r="E511" t="s">
        <v>58</v>
      </c>
      <c r="F511" t="s">
        <v>59</v>
      </c>
      <c r="G511" t="s">
        <v>211</v>
      </c>
      <c r="H511" t="s">
        <v>219</v>
      </c>
      <c r="I511" s="2">
        <v>45292</v>
      </c>
    </row>
    <row r="512" spans="1:9" x14ac:dyDescent="0.3">
      <c r="A512" t="s">
        <v>1232</v>
      </c>
      <c r="B512" t="s">
        <v>1233</v>
      </c>
      <c r="C512" t="s">
        <v>76</v>
      </c>
      <c r="D512" t="s">
        <v>62</v>
      </c>
      <c r="E512" t="s">
        <v>63</v>
      </c>
      <c r="F512" t="s">
        <v>64</v>
      </c>
      <c r="G512" t="s">
        <v>211</v>
      </c>
      <c r="H512" t="s">
        <v>207</v>
      </c>
      <c r="I512" s="2">
        <v>45292</v>
      </c>
    </row>
    <row r="513" spans="1:9" x14ac:dyDescent="0.3">
      <c r="A513" t="s">
        <v>1234</v>
      </c>
      <c r="B513" t="s">
        <v>1235</v>
      </c>
      <c r="C513" t="s">
        <v>84</v>
      </c>
      <c r="D513" t="s">
        <v>51</v>
      </c>
      <c r="E513" t="s">
        <v>52</v>
      </c>
      <c r="F513" t="s">
        <v>53</v>
      </c>
      <c r="G513" t="s">
        <v>211</v>
      </c>
      <c r="H513" t="s">
        <v>207</v>
      </c>
      <c r="I513" s="2">
        <v>45292</v>
      </c>
    </row>
    <row r="514" spans="1:9" x14ac:dyDescent="0.3">
      <c r="A514" t="s">
        <v>1236</v>
      </c>
      <c r="B514" t="s">
        <v>1237</v>
      </c>
      <c r="C514" t="s">
        <v>84</v>
      </c>
      <c r="D514" t="s">
        <v>210</v>
      </c>
      <c r="E514" t="s">
        <v>52</v>
      </c>
      <c r="F514" t="s">
        <v>59</v>
      </c>
      <c r="G514" t="s">
        <v>206</v>
      </c>
      <c r="H514" t="s">
        <v>231</v>
      </c>
      <c r="I514" s="2">
        <v>45292</v>
      </c>
    </row>
    <row r="515" spans="1:9" x14ac:dyDescent="0.3">
      <c r="A515" t="s">
        <v>1238</v>
      </c>
      <c r="B515" t="s">
        <v>1239</v>
      </c>
      <c r="C515" t="s">
        <v>80</v>
      </c>
      <c r="D515" t="s">
        <v>45</v>
      </c>
      <c r="E515" t="s">
        <v>46</v>
      </c>
      <c r="F515" t="s">
        <v>47</v>
      </c>
      <c r="G515" t="s">
        <v>206</v>
      </c>
      <c r="H515" t="s">
        <v>212</v>
      </c>
      <c r="I515" s="2">
        <v>45292</v>
      </c>
    </row>
    <row r="516" spans="1:9" x14ac:dyDescent="0.3">
      <c r="A516" t="s">
        <v>1240</v>
      </c>
      <c r="B516" t="s">
        <v>1241</v>
      </c>
      <c r="C516" t="s">
        <v>76</v>
      </c>
      <c r="D516" t="s">
        <v>51</v>
      </c>
      <c r="E516" t="s">
        <v>52</v>
      </c>
      <c r="F516" t="s">
        <v>53</v>
      </c>
      <c r="G516" t="s">
        <v>222</v>
      </c>
      <c r="H516" t="s">
        <v>219</v>
      </c>
      <c r="I516" s="2">
        <v>45292</v>
      </c>
    </row>
    <row r="517" spans="1:9" x14ac:dyDescent="0.3">
      <c r="A517" t="s">
        <v>1242</v>
      </c>
      <c r="B517" t="s">
        <v>1243</v>
      </c>
      <c r="C517" t="s">
        <v>76</v>
      </c>
      <c r="D517" t="s">
        <v>210</v>
      </c>
      <c r="E517" t="s">
        <v>52</v>
      </c>
      <c r="F517" t="s">
        <v>59</v>
      </c>
      <c r="G517" t="s">
        <v>211</v>
      </c>
      <c r="H517" t="s">
        <v>212</v>
      </c>
      <c r="I517" s="2">
        <v>45292</v>
      </c>
    </row>
    <row r="518" spans="1:9" x14ac:dyDescent="0.3">
      <c r="A518" t="s">
        <v>1244</v>
      </c>
      <c r="B518" t="s">
        <v>1245</v>
      </c>
      <c r="C518" t="s">
        <v>76</v>
      </c>
      <c r="D518" t="s">
        <v>62</v>
      </c>
      <c r="E518" t="s">
        <v>63</v>
      </c>
      <c r="F518" t="s">
        <v>64</v>
      </c>
      <c r="G518" t="s">
        <v>206</v>
      </c>
      <c r="H518" t="s">
        <v>231</v>
      </c>
      <c r="I518" s="2">
        <v>45292</v>
      </c>
    </row>
    <row r="519" spans="1:9" x14ac:dyDescent="0.3">
      <c r="A519" t="s">
        <v>1246</v>
      </c>
      <c r="B519" t="s">
        <v>1247</v>
      </c>
      <c r="C519" t="s">
        <v>76</v>
      </c>
      <c r="D519" t="s">
        <v>51</v>
      </c>
      <c r="E519" t="s">
        <v>52</v>
      </c>
      <c r="F519" t="s">
        <v>53</v>
      </c>
      <c r="G519" t="s">
        <v>211</v>
      </c>
      <c r="H519" t="s">
        <v>231</v>
      </c>
      <c r="I519" s="2">
        <v>45292</v>
      </c>
    </row>
    <row r="520" spans="1:9" x14ac:dyDescent="0.3">
      <c r="A520" t="s">
        <v>1248</v>
      </c>
      <c r="B520" t="s">
        <v>1249</v>
      </c>
      <c r="C520" t="s">
        <v>71</v>
      </c>
      <c r="D520" t="s">
        <v>57</v>
      </c>
      <c r="E520" t="s">
        <v>58</v>
      </c>
      <c r="F520" t="s">
        <v>59</v>
      </c>
      <c r="G520" t="s">
        <v>206</v>
      </c>
      <c r="H520" t="s">
        <v>219</v>
      </c>
      <c r="I520" s="2">
        <v>45292</v>
      </c>
    </row>
    <row r="521" spans="1:9" x14ac:dyDescent="0.3">
      <c r="A521" t="s">
        <v>1250</v>
      </c>
      <c r="B521" t="s">
        <v>1251</v>
      </c>
      <c r="C521" t="s">
        <v>84</v>
      </c>
      <c r="D521" t="s">
        <v>57</v>
      </c>
      <c r="E521" t="s">
        <v>58</v>
      </c>
      <c r="F521" t="s">
        <v>59</v>
      </c>
      <c r="G521" t="s">
        <v>222</v>
      </c>
      <c r="H521" t="s">
        <v>231</v>
      </c>
      <c r="I521" s="2">
        <v>45292</v>
      </c>
    </row>
    <row r="522" spans="1:9" x14ac:dyDescent="0.3">
      <c r="A522" t="s">
        <v>1252</v>
      </c>
      <c r="B522" t="s">
        <v>1253</v>
      </c>
      <c r="C522" t="s">
        <v>76</v>
      </c>
      <c r="D522" t="s">
        <v>57</v>
      </c>
      <c r="E522" t="s">
        <v>58</v>
      </c>
      <c r="F522" t="s">
        <v>59</v>
      </c>
      <c r="G522" t="s">
        <v>211</v>
      </c>
      <c r="H522" t="s">
        <v>212</v>
      </c>
      <c r="I522" s="2">
        <v>45292</v>
      </c>
    </row>
    <row r="523" spans="1:9" x14ac:dyDescent="0.3">
      <c r="A523" t="s">
        <v>1254</v>
      </c>
      <c r="B523" t="s">
        <v>1255</v>
      </c>
      <c r="C523" t="s">
        <v>71</v>
      </c>
      <c r="D523" t="s">
        <v>57</v>
      </c>
      <c r="E523" t="s">
        <v>58</v>
      </c>
      <c r="F523" t="s">
        <v>59</v>
      </c>
      <c r="G523" t="s">
        <v>222</v>
      </c>
      <c r="H523" t="s">
        <v>231</v>
      </c>
      <c r="I523" s="2">
        <v>45292</v>
      </c>
    </row>
    <row r="524" spans="1:9" x14ac:dyDescent="0.3">
      <c r="A524" t="s">
        <v>1256</v>
      </c>
      <c r="B524" t="s">
        <v>1257</v>
      </c>
      <c r="C524" t="s">
        <v>71</v>
      </c>
      <c r="D524" t="s">
        <v>51</v>
      </c>
      <c r="E524" t="s">
        <v>52</v>
      </c>
      <c r="F524" t="s">
        <v>53</v>
      </c>
      <c r="G524" t="s">
        <v>206</v>
      </c>
      <c r="H524" t="s">
        <v>219</v>
      </c>
      <c r="I524" s="2">
        <v>45292</v>
      </c>
    </row>
    <row r="525" spans="1:9" x14ac:dyDescent="0.3">
      <c r="A525" t="s">
        <v>1258</v>
      </c>
      <c r="B525" t="s">
        <v>1259</v>
      </c>
      <c r="C525" t="s">
        <v>76</v>
      </c>
      <c r="D525" t="s">
        <v>57</v>
      </c>
      <c r="E525" t="s">
        <v>58</v>
      </c>
      <c r="F525" t="s">
        <v>59</v>
      </c>
      <c r="G525" t="s">
        <v>222</v>
      </c>
      <c r="H525" t="s">
        <v>219</v>
      </c>
      <c r="I525" s="2">
        <v>45292</v>
      </c>
    </row>
    <row r="526" spans="1:9" x14ac:dyDescent="0.3">
      <c r="A526" t="s">
        <v>1260</v>
      </c>
      <c r="B526" t="s">
        <v>1261</v>
      </c>
      <c r="C526" t="s">
        <v>76</v>
      </c>
      <c r="D526" t="s">
        <v>57</v>
      </c>
      <c r="E526" t="s">
        <v>58</v>
      </c>
      <c r="F526" t="s">
        <v>59</v>
      </c>
      <c r="G526" t="s">
        <v>206</v>
      </c>
      <c r="H526" t="s">
        <v>231</v>
      </c>
      <c r="I526" s="2">
        <v>45292</v>
      </c>
    </row>
    <row r="527" spans="1:9" x14ac:dyDescent="0.3">
      <c r="A527" t="s">
        <v>1262</v>
      </c>
      <c r="B527" t="s">
        <v>1263</v>
      </c>
      <c r="C527" t="s">
        <v>84</v>
      </c>
      <c r="D527" t="s">
        <v>57</v>
      </c>
      <c r="E527" t="s">
        <v>58</v>
      </c>
      <c r="F527" t="s">
        <v>59</v>
      </c>
      <c r="G527" t="s">
        <v>211</v>
      </c>
      <c r="H527" t="s">
        <v>219</v>
      </c>
      <c r="I527" s="2">
        <v>45292</v>
      </c>
    </row>
    <row r="528" spans="1:9" x14ac:dyDescent="0.3">
      <c r="A528" t="s">
        <v>1264</v>
      </c>
      <c r="B528" t="s">
        <v>1265</v>
      </c>
      <c r="C528" t="s">
        <v>76</v>
      </c>
      <c r="D528" t="s">
        <v>57</v>
      </c>
      <c r="E528" t="s">
        <v>58</v>
      </c>
      <c r="F528" t="s">
        <v>59</v>
      </c>
      <c r="G528" t="s">
        <v>222</v>
      </c>
      <c r="H528" t="s">
        <v>212</v>
      </c>
      <c r="I528" s="2">
        <v>45292</v>
      </c>
    </row>
    <row r="529" spans="1:9" x14ac:dyDescent="0.3">
      <c r="A529" t="s">
        <v>1266</v>
      </c>
      <c r="B529" t="s">
        <v>1267</v>
      </c>
      <c r="C529" t="s">
        <v>80</v>
      </c>
      <c r="D529" t="s">
        <v>62</v>
      </c>
      <c r="E529" t="s">
        <v>63</v>
      </c>
      <c r="F529" t="s">
        <v>64</v>
      </c>
      <c r="G529" t="s">
        <v>222</v>
      </c>
      <c r="H529" t="s">
        <v>219</v>
      </c>
      <c r="I529" s="2">
        <v>45292</v>
      </c>
    </row>
    <row r="530" spans="1:9" x14ac:dyDescent="0.3">
      <c r="A530" t="s">
        <v>1268</v>
      </c>
      <c r="B530" t="s">
        <v>1269</v>
      </c>
      <c r="C530" t="s">
        <v>84</v>
      </c>
      <c r="D530" t="s">
        <v>45</v>
      </c>
      <c r="E530" t="s">
        <v>46</v>
      </c>
      <c r="F530" t="s">
        <v>47</v>
      </c>
      <c r="G530" t="s">
        <v>211</v>
      </c>
      <c r="H530" t="s">
        <v>207</v>
      </c>
      <c r="I530" s="2">
        <v>45292</v>
      </c>
    </row>
    <row r="531" spans="1:9" x14ac:dyDescent="0.3">
      <c r="A531" t="s">
        <v>1270</v>
      </c>
      <c r="B531" t="s">
        <v>1271</v>
      </c>
      <c r="C531" t="s">
        <v>76</v>
      </c>
      <c r="D531" t="s">
        <v>210</v>
      </c>
      <c r="E531" t="s">
        <v>52</v>
      </c>
      <c r="F531" t="s">
        <v>59</v>
      </c>
      <c r="G531" t="s">
        <v>211</v>
      </c>
      <c r="H531" t="s">
        <v>231</v>
      </c>
      <c r="I531" s="2">
        <v>45292</v>
      </c>
    </row>
    <row r="532" spans="1:9" x14ac:dyDescent="0.3">
      <c r="A532" t="s">
        <v>1272</v>
      </c>
      <c r="B532" t="s">
        <v>1273</v>
      </c>
      <c r="C532" t="s">
        <v>76</v>
      </c>
      <c r="D532" t="s">
        <v>62</v>
      </c>
      <c r="E532" t="s">
        <v>63</v>
      </c>
      <c r="F532" t="s">
        <v>64</v>
      </c>
      <c r="G532" t="s">
        <v>206</v>
      </c>
      <c r="H532" t="s">
        <v>212</v>
      </c>
      <c r="I532" s="2">
        <v>45292</v>
      </c>
    </row>
    <row r="533" spans="1:9" x14ac:dyDescent="0.3">
      <c r="A533" t="s">
        <v>1274</v>
      </c>
      <c r="B533" t="s">
        <v>1275</v>
      </c>
      <c r="C533" t="s">
        <v>76</v>
      </c>
      <c r="D533" t="s">
        <v>62</v>
      </c>
      <c r="E533" t="s">
        <v>63</v>
      </c>
      <c r="F533" t="s">
        <v>64</v>
      </c>
      <c r="G533" t="s">
        <v>206</v>
      </c>
      <c r="H533" t="s">
        <v>219</v>
      </c>
      <c r="I533" s="2">
        <v>45292</v>
      </c>
    </row>
    <row r="534" spans="1:9" x14ac:dyDescent="0.3">
      <c r="A534" t="s">
        <v>1276</v>
      </c>
      <c r="B534" t="s">
        <v>1277</v>
      </c>
      <c r="C534" t="s">
        <v>76</v>
      </c>
      <c r="D534" t="s">
        <v>57</v>
      </c>
      <c r="E534" t="s">
        <v>58</v>
      </c>
      <c r="F534" t="s">
        <v>59</v>
      </c>
      <c r="G534" t="s">
        <v>206</v>
      </c>
      <c r="H534" t="s">
        <v>207</v>
      </c>
      <c r="I534" s="2">
        <v>45292</v>
      </c>
    </row>
    <row r="535" spans="1:9" x14ac:dyDescent="0.3">
      <c r="A535" t="s">
        <v>1278</v>
      </c>
      <c r="B535" t="s">
        <v>1279</v>
      </c>
      <c r="C535" t="s">
        <v>71</v>
      </c>
      <c r="D535" t="s">
        <v>57</v>
      </c>
      <c r="E535" t="s">
        <v>58</v>
      </c>
      <c r="F535" t="s">
        <v>59</v>
      </c>
      <c r="G535" t="s">
        <v>222</v>
      </c>
      <c r="H535" t="s">
        <v>219</v>
      </c>
      <c r="I535" s="2">
        <v>45292</v>
      </c>
    </row>
    <row r="536" spans="1:9" x14ac:dyDescent="0.3">
      <c r="A536" t="s">
        <v>1280</v>
      </c>
      <c r="B536" t="s">
        <v>1281</v>
      </c>
      <c r="C536" t="s">
        <v>76</v>
      </c>
      <c r="D536" t="s">
        <v>62</v>
      </c>
      <c r="E536" t="s">
        <v>63</v>
      </c>
      <c r="F536" t="s">
        <v>64</v>
      </c>
      <c r="G536" t="s">
        <v>206</v>
      </c>
      <c r="H536" t="s">
        <v>219</v>
      </c>
      <c r="I536" s="2">
        <v>45292</v>
      </c>
    </row>
    <row r="537" spans="1:9" x14ac:dyDescent="0.3">
      <c r="A537" t="s">
        <v>1282</v>
      </c>
      <c r="B537" t="s">
        <v>1283</v>
      </c>
      <c r="C537" t="s">
        <v>76</v>
      </c>
      <c r="D537" t="s">
        <v>45</v>
      </c>
      <c r="E537" t="s">
        <v>46</v>
      </c>
      <c r="F537" t="s">
        <v>47</v>
      </c>
      <c r="G537" t="s">
        <v>211</v>
      </c>
      <c r="H537" t="s">
        <v>231</v>
      </c>
      <c r="I537" s="2">
        <v>45292</v>
      </c>
    </row>
    <row r="538" spans="1:9" x14ac:dyDescent="0.3">
      <c r="A538" t="s">
        <v>1284</v>
      </c>
      <c r="B538" t="s">
        <v>1285</v>
      </c>
      <c r="C538" t="s">
        <v>76</v>
      </c>
      <c r="D538" t="s">
        <v>57</v>
      </c>
      <c r="E538" t="s">
        <v>58</v>
      </c>
      <c r="F538" t="s">
        <v>59</v>
      </c>
      <c r="G538" t="s">
        <v>222</v>
      </c>
      <c r="H538" t="s">
        <v>207</v>
      </c>
      <c r="I538" s="2">
        <v>45292</v>
      </c>
    </row>
    <row r="539" spans="1:9" x14ac:dyDescent="0.3">
      <c r="A539" t="s">
        <v>1286</v>
      </c>
      <c r="B539" t="s">
        <v>1287</v>
      </c>
      <c r="C539" t="s">
        <v>71</v>
      </c>
      <c r="D539" t="s">
        <v>210</v>
      </c>
      <c r="E539" t="s">
        <v>52</v>
      </c>
      <c r="F539" t="s">
        <v>59</v>
      </c>
      <c r="G539" t="s">
        <v>206</v>
      </c>
      <c r="H539" t="s">
        <v>207</v>
      </c>
      <c r="I539" s="2">
        <v>45292</v>
      </c>
    </row>
    <row r="540" spans="1:9" x14ac:dyDescent="0.3">
      <c r="A540" t="s">
        <v>1288</v>
      </c>
      <c r="B540" t="s">
        <v>1289</v>
      </c>
      <c r="C540" t="s">
        <v>80</v>
      </c>
      <c r="D540" t="s">
        <v>57</v>
      </c>
      <c r="E540" t="s">
        <v>58</v>
      </c>
      <c r="F540" t="s">
        <v>59</v>
      </c>
      <c r="G540" t="s">
        <v>211</v>
      </c>
      <c r="H540" t="s">
        <v>212</v>
      </c>
      <c r="I540" s="2">
        <v>45292</v>
      </c>
    </row>
    <row r="541" spans="1:9" x14ac:dyDescent="0.3">
      <c r="A541" t="s">
        <v>1290</v>
      </c>
      <c r="B541" t="s">
        <v>1291</v>
      </c>
      <c r="C541" t="s">
        <v>84</v>
      </c>
      <c r="D541" t="s">
        <v>51</v>
      </c>
      <c r="E541" t="s">
        <v>52</v>
      </c>
      <c r="F541" t="s">
        <v>53</v>
      </c>
      <c r="G541" t="s">
        <v>222</v>
      </c>
      <c r="H541" t="s">
        <v>231</v>
      </c>
      <c r="I541" s="2">
        <v>45292</v>
      </c>
    </row>
    <row r="542" spans="1:9" x14ac:dyDescent="0.3">
      <c r="A542" t="s">
        <v>1292</v>
      </c>
      <c r="B542" t="s">
        <v>1293</v>
      </c>
      <c r="C542" t="s">
        <v>76</v>
      </c>
      <c r="D542" t="s">
        <v>51</v>
      </c>
      <c r="E542" t="s">
        <v>52</v>
      </c>
      <c r="F542" t="s">
        <v>53</v>
      </c>
      <c r="G542" t="s">
        <v>211</v>
      </c>
      <c r="H542" t="s">
        <v>207</v>
      </c>
      <c r="I542" s="2">
        <v>45292</v>
      </c>
    </row>
    <row r="543" spans="1:9" x14ac:dyDescent="0.3">
      <c r="A543" t="s">
        <v>1294</v>
      </c>
      <c r="B543" t="s">
        <v>1295</v>
      </c>
      <c r="C543" t="s">
        <v>80</v>
      </c>
      <c r="D543" t="s">
        <v>62</v>
      </c>
      <c r="E543" t="s">
        <v>63</v>
      </c>
      <c r="F543" t="s">
        <v>64</v>
      </c>
      <c r="G543" t="s">
        <v>211</v>
      </c>
      <c r="H543" t="s">
        <v>207</v>
      </c>
      <c r="I543" s="2">
        <v>45292</v>
      </c>
    </row>
    <row r="544" spans="1:9" x14ac:dyDescent="0.3">
      <c r="A544" t="s">
        <v>1296</v>
      </c>
      <c r="B544" t="s">
        <v>1297</v>
      </c>
      <c r="C544" t="s">
        <v>71</v>
      </c>
      <c r="D544" t="s">
        <v>45</v>
      </c>
      <c r="E544" t="s">
        <v>46</v>
      </c>
      <c r="F544" t="s">
        <v>47</v>
      </c>
      <c r="G544" t="s">
        <v>222</v>
      </c>
      <c r="H544" t="s">
        <v>219</v>
      </c>
      <c r="I544" s="2">
        <v>45292</v>
      </c>
    </row>
    <row r="545" spans="1:9" x14ac:dyDescent="0.3">
      <c r="A545" t="s">
        <v>1298</v>
      </c>
      <c r="B545" t="s">
        <v>1299</v>
      </c>
      <c r="C545" t="s">
        <v>84</v>
      </c>
      <c r="D545" t="s">
        <v>45</v>
      </c>
      <c r="E545" t="s">
        <v>46</v>
      </c>
      <c r="F545" t="s">
        <v>47</v>
      </c>
      <c r="G545" t="s">
        <v>222</v>
      </c>
      <c r="H545" t="s">
        <v>231</v>
      </c>
      <c r="I545" s="2">
        <v>45292</v>
      </c>
    </row>
    <row r="546" spans="1:9" x14ac:dyDescent="0.3">
      <c r="A546" t="s">
        <v>1300</v>
      </c>
      <c r="B546" t="s">
        <v>1301</v>
      </c>
      <c r="C546" t="s">
        <v>76</v>
      </c>
      <c r="D546" t="s">
        <v>62</v>
      </c>
      <c r="E546" t="s">
        <v>63</v>
      </c>
      <c r="F546" t="s">
        <v>64</v>
      </c>
      <c r="G546" t="s">
        <v>206</v>
      </c>
      <c r="H546" t="s">
        <v>231</v>
      </c>
      <c r="I546" s="2">
        <v>45292</v>
      </c>
    </row>
    <row r="547" spans="1:9" x14ac:dyDescent="0.3">
      <c r="A547" t="s">
        <v>1302</v>
      </c>
      <c r="B547" t="s">
        <v>1303</v>
      </c>
      <c r="C547" t="s">
        <v>80</v>
      </c>
      <c r="D547" t="s">
        <v>57</v>
      </c>
      <c r="E547" t="s">
        <v>58</v>
      </c>
      <c r="F547" t="s">
        <v>59</v>
      </c>
      <c r="G547" t="s">
        <v>222</v>
      </c>
      <c r="H547" t="s">
        <v>207</v>
      </c>
      <c r="I547" s="2">
        <v>45292</v>
      </c>
    </row>
    <row r="548" spans="1:9" x14ac:dyDescent="0.3">
      <c r="A548" t="s">
        <v>1304</v>
      </c>
      <c r="B548" t="s">
        <v>1305</v>
      </c>
      <c r="C548" t="s">
        <v>84</v>
      </c>
      <c r="D548" t="s">
        <v>51</v>
      </c>
      <c r="E548" t="s">
        <v>52</v>
      </c>
      <c r="F548" t="s">
        <v>53</v>
      </c>
      <c r="G548" t="s">
        <v>211</v>
      </c>
      <c r="H548" t="s">
        <v>219</v>
      </c>
      <c r="I548" s="2">
        <v>45292</v>
      </c>
    </row>
    <row r="549" spans="1:9" x14ac:dyDescent="0.3">
      <c r="A549" t="s">
        <v>1306</v>
      </c>
      <c r="B549" t="s">
        <v>1307</v>
      </c>
      <c r="C549" t="s">
        <v>76</v>
      </c>
      <c r="D549" t="s">
        <v>62</v>
      </c>
      <c r="E549" t="s">
        <v>63</v>
      </c>
      <c r="F549" t="s">
        <v>64</v>
      </c>
      <c r="G549" t="s">
        <v>211</v>
      </c>
      <c r="H549" t="s">
        <v>219</v>
      </c>
      <c r="I549" s="2">
        <v>45292</v>
      </c>
    </row>
    <row r="550" spans="1:9" x14ac:dyDescent="0.3">
      <c r="A550" t="s">
        <v>1308</v>
      </c>
      <c r="B550" t="s">
        <v>1309</v>
      </c>
      <c r="C550" t="s">
        <v>71</v>
      </c>
      <c r="D550" t="s">
        <v>51</v>
      </c>
      <c r="E550" t="s">
        <v>52</v>
      </c>
      <c r="F550" t="s">
        <v>53</v>
      </c>
      <c r="G550" t="s">
        <v>206</v>
      </c>
      <c r="H550" t="s">
        <v>219</v>
      </c>
      <c r="I550" s="2">
        <v>45292</v>
      </c>
    </row>
    <row r="551" spans="1:9" x14ac:dyDescent="0.3">
      <c r="A551" t="s">
        <v>1310</v>
      </c>
      <c r="B551" t="s">
        <v>1311</v>
      </c>
      <c r="C551" t="s">
        <v>76</v>
      </c>
      <c r="D551" t="s">
        <v>45</v>
      </c>
      <c r="E551" t="s">
        <v>46</v>
      </c>
      <c r="F551" t="s">
        <v>47</v>
      </c>
      <c r="G551" t="s">
        <v>206</v>
      </c>
      <c r="H551" t="s">
        <v>207</v>
      </c>
      <c r="I551" s="2">
        <v>45292</v>
      </c>
    </row>
    <row r="552" spans="1:9" x14ac:dyDescent="0.3">
      <c r="A552" t="s">
        <v>1312</v>
      </c>
      <c r="B552" t="s">
        <v>1313</v>
      </c>
      <c r="C552" t="s">
        <v>80</v>
      </c>
      <c r="D552" t="s">
        <v>57</v>
      </c>
      <c r="E552" t="s">
        <v>58</v>
      </c>
      <c r="F552" t="s">
        <v>59</v>
      </c>
      <c r="G552" t="s">
        <v>211</v>
      </c>
      <c r="H552" t="s">
        <v>219</v>
      </c>
      <c r="I552" s="2">
        <v>45292</v>
      </c>
    </row>
    <row r="553" spans="1:9" x14ac:dyDescent="0.3">
      <c r="A553" t="s">
        <v>1314</v>
      </c>
      <c r="B553" t="s">
        <v>1315</v>
      </c>
      <c r="C553" t="s">
        <v>71</v>
      </c>
      <c r="D553" t="s">
        <v>210</v>
      </c>
      <c r="E553" t="s">
        <v>52</v>
      </c>
      <c r="F553" t="s">
        <v>59</v>
      </c>
      <c r="G553" t="s">
        <v>211</v>
      </c>
      <c r="H553" t="s">
        <v>212</v>
      </c>
      <c r="I553" s="2">
        <v>45292</v>
      </c>
    </row>
    <row r="554" spans="1:9" x14ac:dyDescent="0.3">
      <c r="A554" t="s">
        <v>1316</v>
      </c>
      <c r="B554" t="s">
        <v>1317</v>
      </c>
      <c r="C554" t="s">
        <v>76</v>
      </c>
      <c r="D554" t="s">
        <v>210</v>
      </c>
      <c r="E554" t="s">
        <v>52</v>
      </c>
      <c r="F554" t="s">
        <v>59</v>
      </c>
      <c r="G554" t="s">
        <v>206</v>
      </c>
      <c r="H554" t="s">
        <v>207</v>
      </c>
      <c r="I554" s="2">
        <v>45292</v>
      </c>
    </row>
    <row r="555" spans="1:9" x14ac:dyDescent="0.3">
      <c r="A555" t="s">
        <v>1318</v>
      </c>
      <c r="B555" t="s">
        <v>1319</v>
      </c>
      <c r="C555" t="s">
        <v>76</v>
      </c>
      <c r="D555" t="s">
        <v>210</v>
      </c>
      <c r="E555" t="s">
        <v>52</v>
      </c>
      <c r="F555" t="s">
        <v>59</v>
      </c>
      <c r="G555" t="s">
        <v>222</v>
      </c>
      <c r="H555" t="s">
        <v>212</v>
      </c>
      <c r="I555" s="2">
        <v>45292</v>
      </c>
    </row>
    <row r="556" spans="1:9" x14ac:dyDescent="0.3">
      <c r="A556" t="s">
        <v>1320</v>
      </c>
      <c r="B556" t="s">
        <v>1321</v>
      </c>
      <c r="C556" t="s">
        <v>76</v>
      </c>
      <c r="D556" t="s">
        <v>51</v>
      </c>
      <c r="E556" t="s">
        <v>52</v>
      </c>
      <c r="F556" t="s">
        <v>53</v>
      </c>
      <c r="G556" t="s">
        <v>211</v>
      </c>
      <c r="H556" t="s">
        <v>219</v>
      </c>
      <c r="I556" s="2">
        <v>45292</v>
      </c>
    </row>
    <row r="557" spans="1:9" x14ac:dyDescent="0.3">
      <c r="A557" t="s">
        <v>1322</v>
      </c>
      <c r="B557" t="s">
        <v>1323</v>
      </c>
      <c r="C557" t="s">
        <v>76</v>
      </c>
      <c r="D557" t="s">
        <v>62</v>
      </c>
      <c r="E557" t="s">
        <v>63</v>
      </c>
      <c r="F557" t="s">
        <v>64</v>
      </c>
      <c r="G557" t="s">
        <v>211</v>
      </c>
      <c r="H557" t="s">
        <v>207</v>
      </c>
      <c r="I557" s="2">
        <v>45292</v>
      </c>
    </row>
    <row r="558" spans="1:9" x14ac:dyDescent="0.3">
      <c r="A558" t="s">
        <v>1324</v>
      </c>
      <c r="B558" t="s">
        <v>1325</v>
      </c>
      <c r="C558" t="s">
        <v>76</v>
      </c>
      <c r="D558" t="s">
        <v>45</v>
      </c>
      <c r="E558" t="s">
        <v>46</v>
      </c>
      <c r="F558" t="s">
        <v>47</v>
      </c>
      <c r="G558" t="s">
        <v>206</v>
      </c>
      <c r="H558" t="s">
        <v>212</v>
      </c>
      <c r="I558" s="2">
        <v>45292</v>
      </c>
    </row>
    <row r="559" spans="1:9" x14ac:dyDescent="0.3">
      <c r="A559" t="s">
        <v>1326</v>
      </c>
      <c r="B559" t="s">
        <v>1327</v>
      </c>
      <c r="C559" t="s">
        <v>80</v>
      </c>
      <c r="D559" t="s">
        <v>45</v>
      </c>
      <c r="E559" t="s">
        <v>46</v>
      </c>
      <c r="F559" t="s">
        <v>47</v>
      </c>
      <c r="G559" t="s">
        <v>206</v>
      </c>
      <c r="H559" t="s">
        <v>207</v>
      </c>
      <c r="I559" s="2">
        <v>45292</v>
      </c>
    </row>
    <row r="560" spans="1:9" x14ac:dyDescent="0.3">
      <c r="A560" t="s">
        <v>1328</v>
      </c>
      <c r="B560" t="s">
        <v>1329</v>
      </c>
      <c r="C560" t="s">
        <v>84</v>
      </c>
      <c r="D560" t="s">
        <v>45</v>
      </c>
      <c r="E560" t="s">
        <v>46</v>
      </c>
      <c r="F560" t="s">
        <v>47</v>
      </c>
      <c r="G560" t="s">
        <v>222</v>
      </c>
      <c r="H560" t="s">
        <v>212</v>
      </c>
      <c r="I560" s="2">
        <v>45292</v>
      </c>
    </row>
    <row r="561" spans="1:9" x14ac:dyDescent="0.3">
      <c r="A561" t="s">
        <v>1330</v>
      </c>
      <c r="B561" t="s">
        <v>1331</v>
      </c>
      <c r="C561" t="s">
        <v>76</v>
      </c>
      <c r="D561" t="s">
        <v>57</v>
      </c>
      <c r="E561" t="s">
        <v>58</v>
      </c>
      <c r="F561" t="s">
        <v>59</v>
      </c>
      <c r="G561" t="s">
        <v>211</v>
      </c>
      <c r="H561" t="s">
        <v>207</v>
      </c>
      <c r="I561" s="2">
        <v>45292</v>
      </c>
    </row>
    <row r="562" spans="1:9" x14ac:dyDescent="0.3">
      <c r="A562" t="s">
        <v>1332</v>
      </c>
      <c r="B562" t="s">
        <v>1333</v>
      </c>
      <c r="C562" t="s">
        <v>80</v>
      </c>
      <c r="D562" t="s">
        <v>57</v>
      </c>
      <c r="E562" t="s">
        <v>58</v>
      </c>
      <c r="F562" t="s">
        <v>59</v>
      </c>
      <c r="G562" t="s">
        <v>222</v>
      </c>
      <c r="H562" t="s">
        <v>219</v>
      </c>
      <c r="I562" s="2">
        <v>45292</v>
      </c>
    </row>
    <row r="563" spans="1:9" x14ac:dyDescent="0.3">
      <c r="A563" t="s">
        <v>1334</v>
      </c>
      <c r="B563" t="s">
        <v>1335</v>
      </c>
      <c r="C563" t="s">
        <v>76</v>
      </c>
      <c r="D563" t="s">
        <v>57</v>
      </c>
      <c r="E563" t="s">
        <v>58</v>
      </c>
      <c r="F563" t="s">
        <v>59</v>
      </c>
      <c r="G563" t="s">
        <v>222</v>
      </c>
      <c r="H563" t="s">
        <v>231</v>
      </c>
      <c r="I563" s="2">
        <v>45292</v>
      </c>
    </row>
    <row r="564" spans="1:9" x14ac:dyDescent="0.3">
      <c r="A564" t="s">
        <v>1336</v>
      </c>
      <c r="B564" t="s">
        <v>1337</v>
      </c>
      <c r="C564" t="s">
        <v>71</v>
      </c>
      <c r="D564" t="s">
        <v>62</v>
      </c>
      <c r="E564" t="s">
        <v>63</v>
      </c>
      <c r="F564" t="s">
        <v>64</v>
      </c>
      <c r="G564" t="s">
        <v>211</v>
      </c>
      <c r="H564" t="s">
        <v>212</v>
      </c>
      <c r="I564" s="2">
        <v>45292</v>
      </c>
    </row>
    <row r="565" spans="1:9" x14ac:dyDescent="0.3">
      <c r="A565" t="s">
        <v>1338</v>
      </c>
      <c r="B565" t="s">
        <v>1339</v>
      </c>
      <c r="C565" t="s">
        <v>76</v>
      </c>
      <c r="D565" t="s">
        <v>45</v>
      </c>
      <c r="E565" t="s">
        <v>46</v>
      </c>
      <c r="F565" t="s">
        <v>47</v>
      </c>
      <c r="G565" t="s">
        <v>206</v>
      </c>
      <c r="H565" t="s">
        <v>207</v>
      </c>
      <c r="I565" s="2">
        <v>45292</v>
      </c>
    </row>
    <row r="566" spans="1:9" x14ac:dyDescent="0.3">
      <c r="A566" t="s">
        <v>1340</v>
      </c>
      <c r="B566" t="s">
        <v>1341</v>
      </c>
      <c r="C566" t="s">
        <v>84</v>
      </c>
      <c r="D566" t="s">
        <v>210</v>
      </c>
      <c r="E566" t="s">
        <v>52</v>
      </c>
      <c r="F566" t="s">
        <v>59</v>
      </c>
      <c r="G566" t="s">
        <v>222</v>
      </c>
      <c r="H566" t="s">
        <v>207</v>
      </c>
      <c r="I566" s="2">
        <v>45292</v>
      </c>
    </row>
    <row r="567" spans="1:9" x14ac:dyDescent="0.3">
      <c r="A567" t="s">
        <v>1342</v>
      </c>
      <c r="B567" t="s">
        <v>1343</v>
      </c>
      <c r="C567" t="s">
        <v>76</v>
      </c>
      <c r="D567" t="s">
        <v>57</v>
      </c>
      <c r="E567" t="s">
        <v>58</v>
      </c>
      <c r="F567" t="s">
        <v>59</v>
      </c>
      <c r="G567" t="s">
        <v>222</v>
      </c>
      <c r="H567" t="s">
        <v>219</v>
      </c>
      <c r="I567" s="2">
        <v>45292</v>
      </c>
    </row>
    <row r="568" spans="1:9" x14ac:dyDescent="0.3">
      <c r="A568" t="s">
        <v>1344</v>
      </c>
      <c r="B568" t="s">
        <v>1345</v>
      </c>
      <c r="C568" t="s">
        <v>71</v>
      </c>
      <c r="D568" t="s">
        <v>210</v>
      </c>
      <c r="E568" t="s">
        <v>52</v>
      </c>
      <c r="F568" t="s">
        <v>59</v>
      </c>
      <c r="G568" t="s">
        <v>206</v>
      </c>
      <c r="H568" t="s">
        <v>219</v>
      </c>
      <c r="I568" s="2">
        <v>45292</v>
      </c>
    </row>
    <row r="569" spans="1:9" x14ac:dyDescent="0.3">
      <c r="A569" t="s">
        <v>1346</v>
      </c>
      <c r="B569" t="s">
        <v>1347</v>
      </c>
      <c r="C569" t="s">
        <v>80</v>
      </c>
      <c r="D569" t="s">
        <v>210</v>
      </c>
      <c r="E569" t="s">
        <v>52</v>
      </c>
      <c r="F569" t="s">
        <v>59</v>
      </c>
      <c r="G569" t="s">
        <v>206</v>
      </c>
      <c r="H569" t="s">
        <v>219</v>
      </c>
      <c r="I569" s="2">
        <v>45292</v>
      </c>
    </row>
    <row r="570" spans="1:9" x14ac:dyDescent="0.3">
      <c r="A570" t="s">
        <v>1348</v>
      </c>
      <c r="B570" t="s">
        <v>1349</v>
      </c>
      <c r="C570" t="s">
        <v>76</v>
      </c>
      <c r="D570" t="s">
        <v>57</v>
      </c>
      <c r="E570" t="s">
        <v>58</v>
      </c>
      <c r="F570" t="s">
        <v>59</v>
      </c>
      <c r="G570" t="s">
        <v>206</v>
      </c>
      <c r="H570" t="s">
        <v>231</v>
      </c>
      <c r="I570" s="2">
        <v>45292</v>
      </c>
    </row>
    <row r="571" spans="1:9" x14ac:dyDescent="0.3">
      <c r="A571" t="s">
        <v>1350</v>
      </c>
      <c r="B571" t="s">
        <v>1351</v>
      </c>
      <c r="C571" t="s">
        <v>76</v>
      </c>
      <c r="D571" t="s">
        <v>57</v>
      </c>
      <c r="E571" t="s">
        <v>58</v>
      </c>
      <c r="F571" t="s">
        <v>59</v>
      </c>
      <c r="G571" t="s">
        <v>206</v>
      </c>
      <c r="H571" t="s">
        <v>231</v>
      </c>
      <c r="I571" s="2">
        <v>45292</v>
      </c>
    </row>
    <row r="572" spans="1:9" x14ac:dyDescent="0.3">
      <c r="A572" t="s">
        <v>1352</v>
      </c>
      <c r="B572" t="s">
        <v>1353</v>
      </c>
      <c r="C572" t="s">
        <v>71</v>
      </c>
      <c r="D572" t="s">
        <v>57</v>
      </c>
      <c r="E572" t="s">
        <v>58</v>
      </c>
      <c r="F572" t="s">
        <v>59</v>
      </c>
      <c r="G572" t="s">
        <v>206</v>
      </c>
      <c r="H572" t="s">
        <v>207</v>
      </c>
      <c r="I572" s="2">
        <v>45292</v>
      </c>
    </row>
    <row r="573" spans="1:9" x14ac:dyDescent="0.3">
      <c r="A573" t="s">
        <v>1354</v>
      </c>
      <c r="B573" t="s">
        <v>1355</v>
      </c>
      <c r="C573" t="s">
        <v>76</v>
      </c>
      <c r="D573" t="s">
        <v>57</v>
      </c>
      <c r="E573" t="s">
        <v>58</v>
      </c>
      <c r="F573" t="s">
        <v>59</v>
      </c>
      <c r="G573" t="s">
        <v>206</v>
      </c>
      <c r="H573" t="s">
        <v>212</v>
      </c>
      <c r="I573" s="2">
        <v>45292</v>
      </c>
    </row>
    <row r="574" spans="1:9" x14ac:dyDescent="0.3">
      <c r="A574" t="s">
        <v>1356</v>
      </c>
      <c r="B574" t="s">
        <v>1357</v>
      </c>
      <c r="C574" t="s">
        <v>80</v>
      </c>
      <c r="D574" t="s">
        <v>57</v>
      </c>
      <c r="E574" t="s">
        <v>58</v>
      </c>
      <c r="F574" t="s">
        <v>59</v>
      </c>
      <c r="G574" t="s">
        <v>206</v>
      </c>
      <c r="H574" t="s">
        <v>231</v>
      </c>
      <c r="I574" s="2">
        <v>45292</v>
      </c>
    </row>
    <row r="575" spans="1:9" x14ac:dyDescent="0.3">
      <c r="A575" t="s">
        <v>1358</v>
      </c>
      <c r="B575" t="s">
        <v>1359</v>
      </c>
      <c r="C575" t="s">
        <v>71</v>
      </c>
      <c r="D575" t="s">
        <v>51</v>
      </c>
      <c r="E575" t="s">
        <v>52</v>
      </c>
      <c r="F575" t="s">
        <v>53</v>
      </c>
      <c r="G575" t="s">
        <v>206</v>
      </c>
      <c r="H575" t="s">
        <v>207</v>
      </c>
      <c r="I575" s="2">
        <v>45292</v>
      </c>
    </row>
    <row r="576" spans="1:9" x14ac:dyDescent="0.3">
      <c r="A576" t="s">
        <v>1360</v>
      </c>
      <c r="B576" t="s">
        <v>1361</v>
      </c>
      <c r="C576" t="s">
        <v>76</v>
      </c>
      <c r="D576" t="s">
        <v>51</v>
      </c>
      <c r="E576" t="s">
        <v>52</v>
      </c>
      <c r="F576" t="s">
        <v>53</v>
      </c>
      <c r="G576" t="s">
        <v>222</v>
      </c>
      <c r="H576" t="s">
        <v>231</v>
      </c>
      <c r="I576" s="2">
        <v>45292</v>
      </c>
    </row>
    <row r="577" spans="1:9" x14ac:dyDescent="0.3">
      <c r="A577" t="s">
        <v>1362</v>
      </c>
      <c r="B577" t="s">
        <v>1363</v>
      </c>
      <c r="C577" t="s">
        <v>76</v>
      </c>
      <c r="D577" t="s">
        <v>210</v>
      </c>
      <c r="E577" t="s">
        <v>52</v>
      </c>
      <c r="F577" t="s">
        <v>59</v>
      </c>
      <c r="G577" t="s">
        <v>222</v>
      </c>
      <c r="H577" t="s">
        <v>207</v>
      </c>
      <c r="I577" s="2">
        <v>45292</v>
      </c>
    </row>
    <row r="578" spans="1:9" x14ac:dyDescent="0.3">
      <c r="A578" t="s">
        <v>1364</v>
      </c>
      <c r="B578" t="s">
        <v>1365</v>
      </c>
      <c r="C578" t="s">
        <v>76</v>
      </c>
      <c r="D578" t="s">
        <v>51</v>
      </c>
      <c r="E578" t="s">
        <v>52</v>
      </c>
      <c r="F578" t="s">
        <v>53</v>
      </c>
      <c r="G578" t="s">
        <v>211</v>
      </c>
      <c r="H578" t="s">
        <v>219</v>
      </c>
      <c r="I578" s="2">
        <v>45292</v>
      </c>
    </row>
    <row r="579" spans="1:9" x14ac:dyDescent="0.3">
      <c r="A579" t="s">
        <v>1366</v>
      </c>
      <c r="B579" t="s">
        <v>1367</v>
      </c>
      <c r="C579" t="s">
        <v>71</v>
      </c>
      <c r="D579" t="s">
        <v>210</v>
      </c>
      <c r="E579" t="s">
        <v>52</v>
      </c>
      <c r="F579" t="s">
        <v>59</v>
      </c>
      <c r="G579" t="s">
        <v>211</v>
      </c>
      <c r="H579" t="s">
        <v>207</v>
      </c>
      <c r="I579" s="2">
        <v>45292</v>
      </c>
    </row>
    <row r="580" spans="1:9" x14ac:dyDescent="0.3">
      <c r="A580" t="s">
        <v>1368</v>
      </c>
      <c r="B580" t="s">
        <v>1369</v>
      </c>
      <c r="C580" t="s">
        <v>76</v>
      </c>
      <c r="D580" t="s">
        <v>57</v>
      </c>
      <c r="E580" t="s">
        <v>58</v>
      </c>
      <c r="F580" t="s">
        <v>59</v>
      </c>
      <c r="G580" t="s">
        <v>222</v>
      </c>
      <c r="H580" t="s">
        <v>212</v>
      </c>
      <c r="I580" s="2">
        <v>45292</v>
      </c>
    </row>
    <row r="581" spans="1:9" x14ac:dyDescent="0.3">
      <c r="A581" t="s">
        <v>1370</v>
      </c>
      <c r="B581" t="s">
        <v>1371</v>
      </c>
      <c r="C581" t="s">
        <v>76</v>
      </c>
      <c r="D581" t="s">
        <v>62</v>
      </c>
      <c r="E581" t="s">
        <v>63</v>
      </c>
      <c r="F581" t="s">
        <v>64</v>
      </c>
      <c r="G581" t="s">
        <v>222</v>
      </c>
      <c r="H581" t="s">
        <v>212</v>
      </c>
      <c r="I581" s="2">
        <v>45292</v>
      </c>
    </row>
    <row r="582" spans="1:9" x14ac:dyDescent="0.3">
      <c r="A582" t="s">
        <v>1372</v>
      </c>
      <c r="B582" t="s">
        <v>1373</v>
      </c>
      <c r="C582" t="s">
        <v>76</v>
      </c>
      <c r="D582" t="s">
        <v>62</v>
      </c>
      <c r="E582" t="s">
        <v>63</v>
      </c>
      <c r="F582" t="s">
        <v>64</v>
      </c>
      <c r="G582" t="s">
        <v>211</v>
      </c>
      <c r="H582" t="s">
        <v>207</v>
      </c>
      <c r="I582" s="2">
        <v>45292</v>
      </c>
    </row>
    <row r="583" spans="1:9" x14ac:dyDescent="0.3">
      <c r="A583" t="s">
        <v>1374</v>
      </c>
      <c r="B583" t="s">
        <v>1375</v>
      </c>
      <c r="C583" t="s">
        <v>76</v>
      </c>
      <c r="D583" t="s">
        <v>45</v>
      </c>
      <c r="E583" t="s">
        <v>46</v>
      </c>
      <c r="F583" t="s">
        <v>47</v>
      </c>
      <c r="G583" t="s">
        <v>206</v>
      </c>
      <c r="H583" t="s">
        <v>231</v>
      </c>
      <c r="I583" s="2">
        <v>45292</v>
      </c>
    </row>
    <row r="584" spans="1:9" x14ac:dyDescent="0.3">
      <c r="A584" t="s">
        <v>1376</v>
      </c>
      <c r="B584" t="s">
        <v>1377</v>
      </c>
      <c r="C584" t="s">
        <v>71</v>
      </c>
      <c r="D584" t="s">
        <v>57</v>
      </c>
      <c r="E584" t="s">
        <v>58</v>
      </c>
      <c r="F584" t="s">
        <v>59</v>
      </c>
      <c r="G584" t="s">
        <v>206</v>
      </c>
      <c r="H584" t="s">
        <v>207</v>
      </c>
      <c r="I584" s="2">
        <v>45292</v>
      </c>
    </row>
    <row r="585" spans="1:9" x14ac:dyDescent="0.3">
      <c r="A585" t="s">
        <v>1378</v>
      </c>
      <c r="B585" t="s">
        <v>1379</v>
      </c>
      <c r="C585" t="s">
        <v>80</v>
      </c>
      <c r="D585" t="s">
        <v>57</v>
      </c>
      <c r="E585" t="s">
        <v>58</v>
      </c>
      <c r="F585" t="s">
        <v>59</v>
      </c>
      <c r="G585" t="s">
        <v>206</v>
      </c>
      <c r="H585" t="s">
        <v>212</v>
      </c>
      <c r="I585" s="2">
        <v>45292</v>
      </c>
    </row>
    <row r="586" spans="1:9" x14ac:dyDescent="0.3">
      <c r="A586" t="s">
        <v>1380</v>
      </c>
      <c r="B586" t="s">
        <v>1381</v>
      </c>
      <c r="C586" t="s">
        <v>71</v>
      </c>
      <c r="D586" t="s">
        <v>45</v>
      </c>
      <c r="E586" t="s">
        <v>46</v>
      </c>
      <c r="F586" t="s">
        <v>47</v>
      </c>
      <c r="G586" t="s">
        <v>222</v>
      </c>
      <c r="H586" t="s">
        <v>212</v>
      </c>
      <c r="I586" s="2">
        <v>45292</v>
      </c>
    </row>
    <row r="587" spans="1:9" x14ac:dyDescent="0.3">
      <c r="A587" t="s">
        <v>1382</v>
      </c>
      <c r="B587" t="s">
        <v>1383</v>
      </c>
      <c r="C587" t="s">
        <v>76</v>
      </c>
      <c r="D587" t="s">
        <v>51</v>
      </c>
      <c r="E587" t="s">
        <v>52</v>
      </c>
      <c r="F587" t="s">
        <v>53</v>
      </c>
      <c r="G587" t="s">
        <v>211</v>
      </c>
      <c r="H587" t="s">
        <v>219</v>
      </c>
      <c r="I587" s="2">
        <v>45292</v>
      </c>
    </row>
    <row r="588" spans="1:9" x14ac:dyDescent="0.3">
      <c r="A588" t="s">
        <v>1384</v>
      </c>
      <c r="B588" t="s">
        <v>1385</v>
      </c>
      <c r="C588" t="s">
        <v>76</v>
      </c>
      <c r="D588" t="s">
        <v>51</v>
      </c>
      <c r="E588" t="s">
        <v>52</v>
      </c>
      <c r="F588" t="s">
        <v>53</v>
      </c>
      <c r="G588" t="s">
        <v>206</v>
      </c>
      <c r="H588" t="s">
        <v>207</v>
      </c>
      <c r="I588" s="2">
        <v>45292</v>
      </c>
    </row>
    <row r="589" spans="1:9" x14ac:dyDescent="0.3">
      <c r="A589" t="s">
        <v>1386</v>
      </c>
      <c r="B589" t="s">
        <v>1387</v>
      </c>
      <c r="C589" t="s">
        <v>71</v>
      </c>
      <c r="D589" t="s">
        <v>45</v>
      </c>
      <c r="E589" t="s">
        <v>46</v>
      </c>
      <c r="F589" t="s">
        <v>47</v>
      </c>
      <c r="G589" t="s">
        <v>211</v>
      </c>
      <c r="H589" t="s">
        <v>231</v>
      </c>
      <c r="I589" s="2">
        <v>45292</v>
      </c>
    </row>
    <row r="590" spans="1:9" x14ac:dyDescent="0.3">
      <c r="A590" t="s">
        <v>1388</v>
      </c>
      <c r="B590" t="s">
        <v>1389</v>
      </c>
      <c r="C590" t="s">
        <v>71</v>
      </c>
      <c r="D590" t="s">
        <v>51</v>
      </c>
      <c r="E590" t="s">
        <v>52</v>
      </c>
      <c r="F590" t="s">
        <v>53</v>
      </c>
      <c r="G590" t="s">
        <v>222</v>
      </c>
      <c r="H590" t="s">
        <v>207</v>
      </c>
      <c r="I590" s="2">
        <v>45292</v>
      </c>
    </row>
    <row r="591" spans="1:9" x14ac:dyDescent="0.3">
      <c r="A591" t="s">
        <v>1390</v>
      </c>
      <c r="B591" t="s">
        <v>1391</v>
      </c>
      <c r="C591" t="s">
        <v>76</v>
      </c>
      <c r="D591" t="s">
        <v>62</v>
      </c>
      <c r="E591" t="s">
        <v>63</v>
      </c>
      <c r="F591" t="s">
        <v>64</v>
      </c>
      <c r="G591" t="s">
        <v>206</v>
      </c>
      <c r="H591" t="s">
        <v>219</v>
      </c>
      <c r="I591" s="2">
        <v>45292</v>
      </c>
    </row>
    <row r="592" spans="1:9" x14ac:dyDescent="0.3">
      <c r="A592" t="s">
        <v>1392</v>
      </c>
      <c r="B592" t="s">
        <v>1393</v>
      </c>
      <c r="C592" t="s">
        <v>76</v>
      </c>
      <c r="D592" t="s">
        <v>62</v>
      </c>
      <c r="E592" t="s">
        <v>63</v>
      </c>
      <c r="F592" t="s">
        <v>64</v>
      </c>
      <c r="G592" t="s">
        <v>211</v>
      </c>
      <c r="H592" t="s">
        <v>231</v>
      </c>
      <c r="I592" s="2">
        <v>45292</v>
      </c>
    </row>
    <row r="593" spans="1:9" x14ac:dyDescent="0.3">
      <c r="A593" t="s">
        <v>1394</v>
      </c>
      <c r="B593" t="s">
        <v>1395</v>
      </c>
      <c r="C593" t="s">
        <v>71</v>
      </c>
      <c r="D593" t="s">
        <v>45</v>
      </c>
      <c r="E593" t="s">
        <v>46</v>
      </c>
      <c r="F593" t="s">
        <v>47</v>
      </c>
      <c r="G593" t="s">
        <v>206</v>
      </c>
      <c r="H593" t="s">
        <v>219</v>
      </c>
      <c r="I593" s="2">
        <v>45292</v>
      </c>
    </row>
    <row r="594" spans="1:9" x14ac:dyDescent="0.3">
      <c r="A594" t="s">
        <v>1396</v>
      </c>
      <c r="B594" t="s">
        <v>1397</v>
      </c>
      <c r="C594" t="s">
        <v>76</v>
      </c>
      <c r="D594" t="s">
        <v>62</v>
      </c>
      <c r="E594" t="s">
        <v>63</v>
      </c>
      <c r="F594" t="s">
        <v>64</v>
      </c>
      <c r="G594" t="s">
        <v>211</v>
      </c>
      <c r="H594" t="s">
        <v>231</v>
      </c>
      <c r="I594" s="2">
        <v>45292</v>
      </c>
    </row>
    <row r="595" spans="1:9" x14ac:dyDescent="0.3">
      <c r="A595" t="s">
        <v>1398</v>
      </c>
      <c r="B595" t="s">
        <v>1399</v>
      </c>
      <c r="C595" t="s">
        <v>76</v>
      </c>
      <c r="D595" t="s">
        <v>62</v>
      </c>
      <c r="E595" t="s">
        <v>63</v>
      </c>
      <c r="F595" t="s">
        <v>64</v>
      </c>
      <c r="G595" t="s">
        <v>211</v>
      </c>
      <c r="H595" t="s">
        <v>219</v>
      </c>
      <c r="I595" s="2">
        <v>45292</v>
      </c>
    </row>
    <row r="596" spans="1:9" x14ac:dyDescent="0.3">
      <c r="A596" t="s">
        <v>1400</v>
      </c>
      <c r="B596" t="s">
        <v>1401</v>
      </c>
      <c r="C596" t="s">
        <v>84</v>
      </c>
      <c r="D596" t="s">
        <v>51</v>
      </c>
      <c r="E596" t="s">
        <v>52</v>
      </c>
      <c r="F596" t="s">
        <v>53</v>
      </c>
      <c r="G596" t="s">
        <v>211</v>
      </c>
      <c r="H596" t="s">
        <v>207</v>
      </c>
      <c r="I596" s="2">
        <v>45292</v>
      </c>
    </row>
    <row r="597" spans="1:9" x14ac:dyDescent="0.3">
      <c r="A597" t="s">
        <v>1402</v>
      </c>
      <c r="B597" t="s">
        <v>1403</v>
      </c>
      <c r="C597" t="s">
        <v>76</v>
      </c>
      <c r="D597" t="s">
        <v>57</v>
      </c>
      <c r="E597" t="s">
        <v>58</v>
      </c>
      <c r="F597" t="s">
        <v>59</v>
      </c>
      <c r="G597" t="s">
        <v>211</v>
      </c>
      <c r="H597" t="s">
        <v>231</v>
      </c>
      <c r="I597" s="2">
        <v>45292</v>
      </c>
    </row>
    <row r="598" spans="1:9" x14ac:dyDescent="0.3">
      <c r="A598" t="s">
        <v>1404</v>
      </c>
      <c r="B598" t="s">
        <v>1405</v>
      </c>
      <c r="C598" t="s">
        <v>76</v>
      </c>
      <c r="D598" t="s">
        <v>62</v>
      </c>
      <c r="E598" t="s">
        <v>63</v>
      </c>
      <c r="F598" t="s">
        <v>64</v>
      </c>
      <c r="G598" t="s">
        <v>206</v>
      </c>
      <c r="H598" t="s">
        <v>219</v>
      </c>
      <c r="I598" s="2">
        <v>45292</v>
      </c>
    </row>
    <row r="599" spans="1:9" x14ac:dyDescent="0.3">
      <c r="A599" t="s">
        <v>1406</v>
      </c>
      <c r="B599" t="s">
        <v>1407</v>
      </c>
      <c r="C599" t="s">
        <v>71</v>
      </c>
      <c r="D599" t="s">
        <v>210</v>
      </c>
      <c r="E599" t="s">
        <v>52</v>
      </c>
      <c r="F599" t="s">
        <v>59</v>
      </c>
      <c r="G599" t="s">
        <v>206</v>
      </c>
      <c r="H599" t="s">
        <v>231</v>
      </c>
      <c r="I599" s="2">
        <v>45292</v>
      </c>
    </row>
    <row r="600" spans="1:9" x14ac:dyDescent="0.3">
      <c r="A600" t="s">
        <v>1408</v>
      </c>
      <c r="B600" t="s">
        <v>1409</v>
      </c>
      <c r="C600" t="s">
        <v>84</v>
      </c>
      <c r="D600" t="s">
        <v>51</v>
      </c>
      <c r="E600" t="s">
        <v>52</v>
      </c>
      <c r="F600" t="s">
        <v>53</v>
      </c>
      <c r="G600" t="s">
        <v>222</v>
      </c>
      <c r="H600" t="s">
        <v>212</v>
      </c>
      <c r="I600" s="2">
        <v>45292</v>
      </c>
    </row>
    <row r="601" spans="1:9" x14ac:dyDescent="0.3">
      <c r="A601" t="s">
        <v>1410</v>
      </c>
      <c r="B601" t="s">
        <v>1411</v>
      </c>
      <c r="C601" t="s">
        <v>84</v>
      </c>
      <c r="D601" t="s">
        <v>57</v>
      </c>
      <c r="E601" t="s">
        <v>58</v>
      </c>
      <c r="F601" t="s">
        <v>59</v>
      </c>
      <c r="G601" t="s">
        <v>211</v>
      </c>
      <c r="H601" t="s">
        <v>207</v>
      </c>
      <c r="I601" s="2">
        <v>45292</v>
      </c>
    </row>
    <row r="602" spans="1:9" x14ac:dyDescent="0.3">
      <c r="A602" t="s">
        <v>1412</v>
      </c>
      <c r="B602" t="s">
        <v>1413</v>
      </c>
      <c r="C602" t="s">
        <v>71</v>
      </c>
      <c r="D602" t="s">
        <v>51</v>
      </c>
      <c r="E602" t="s">
        <v>52</v>
      </c>
      <c r="F602" t="s">
        <v>53</v>
      </c>
      <c r="G602" t="s">
        <v>211</v>
      </c>
      <c r="H602" t="s">
        <v>212</v>
      </c>
      <c r="I602" s="2">
        <v>45292</v>
      </c>
    </row>
    <row r="603" spans="1:9" x14ac:dyDescent="0.3">
      <c r="A603" t="s">
        <v>1414</v>
      </c>
      <c r="B603" t="s">
        <v>1415</v>
      </c>
      <c r="C603" t="s">
        <v>76</v>
      </c>
      <c r="D603" t="s">
        <v>62</v>
      </c>
      <c r="E603" t="s">
        <v>63</v>
      </c>
      <c r="F603" t="s">
        <v>64</v>
      </c>
      <c r="G603" t="s">
        <v>206</v>
      </c>
      <c r="H603" t="s">
        <v>231</v>
      </c>
      <c r="I603" s="2">
        <v>45292</v>
      </c>
    </row>
    <row r="604" spans="1:9" x14ac:dyDescent="0.3">
      <c r="A604" t="s">
        <v>1416</v>
      </c>
      <c r="B604" t="s">
        <v>1417</v>
      </c>
      <c r="C604" t="s">
        <v>80</v>
      </c>
      <c r="D604" t="s">
        <v>51</v>
      </c>
      <c r="E604" t="s">
        <v>52</v>
      </c>
      <c r="F604" t="s">
        <v>53</v>
      </c>
      <c r="G604" t="s">
        <v>206</v>
      </c>
      <c r="H604" t="s">
        <v>219</v>
      </c>
      <c r="I604" s="2">
        <v>45292</v>
      </c>
    </row>
    <row r="605" spans="1:9" x14ac:dyDescent="0.3">
      <c r="A605" t="s">
        <v>1418</v>
      </c>
      <c r="B605" t="s">
        <v>1419</v>
      </c>
      <c r="C605" t="s">
        <v>71</v>
      </c>
      <c r="D605" t="s">
        <v>57</v>
      </c>
      <c r="E605" t="s">
        <v>58</v>
      </c>
      <c r="F605" t="s">
        <v>59</v>
      </c>
      <c r="G605" t="s">
        <v>206</v>
      </c>
      <c r="H605" t="s">
        <v>219</v>
      </c>
      <c r="I605" s="2">
        <v>45292</v>
      </c>
    </row>
    <row r="606" spans="1:9" x14ac:dyDescent="0.3">
      <c r="A606" t="s">
        <v>1420</v>
      </c>
      <c r="B606" t="s">
        <v>1421</v>
      </c>
      <c r="C606" t="s">
        <v>76</v>
      </c>
      <c r="D606" t="s">
        <v>51</v>
      </c>
      <c r="E606" t="s">
        <v>52</v>
      </c>
      <c r="F606" t="s">
        <v>53</v>
      </c>
      <c r="G606" t="s">
        <v>222</v>
      </c>
      <c r="H606" t="s">
        <v>207</v>
      </c>
      <c r="I606" s="2">
        <v>45292</v>
      </c>
    </row>
    <row r="607" spans="1:9" x14ac:dyDescent="0.3">
      <c r="A607" t="s">
        <v>1422</v>
      </c>
      <c r="B607" t="s">
        <v>1423</v>
      </c>
      <c r="C607" t="s">
        <v>76</v>
      </c>
      <c r="D607" t="s">
        <v>210</v>
      </c>
      <c r="E607" t="s">
        <v>52</v>
      </c>
      <c r="F607" t="s">
        <v>59</v>
      </c>
      <c r="G607" t="s">
        <v>222</v>
      </c>
      <c r="H607" t="s">
        <v>212</v>
      </c>
      <c r="I607" s="2">
        <v>45292</v>
      </c>
    </row>
    <row r="608" spans="1:9" x14ac:dyDescent="0.3">
      <c r="A608" t="s">
        <v>1424</v>
      </c>
      <c r="B608" t="s">
        <v>1425</v>
      </c>
      <c r="C608" t="s">
        <v>80</v>
      </c>
      <c r="D608" t="s">
        <v>62</v>
      </c>
      <c r="E608" t="s">
        <v>63</v>
      </c>
      <c r="F608" t="s">
        <v>64</v>
      </c>
      <c r="G608" t="s">
        <v>211</v>
      </c>
      <c r="H608" t="s">
        <v>207</v>
      </c>
      <c r="I608" s="2">
        <v>45292</v>
      </c>
    </row>
    <row r="609" spans="1:9" x14ac:dyDescent="0.3">
      <c r="A609" t="s">
        <v>1426</v>
      </c>
      <c r="B609" t="s">
        <v>1427</v>
      </c>
      <c r="C609" t="s">
        <v>76</v>
      </c>
      <c r="D609" t="s">
        <v>57</v>
      </c>
      <c r="E609" t="s">
        <v>58</v>
      </c>
      <c r="F609" t="s">
        <v>59</v>
      </c>
      <c r="G609" t="s">
        <v>211</v>
      </c>
      <c r="H609" t="s">
        <v>212</v>
      </c>
      <c r="I609" s="2">
        <v>45292</v>
      </c>
    </row>
    <row r="610" spans="1:9" x14ac:dyDescent="0.3">
      <c r="A610" t="s">
        <v>1428</v>
      </c>
      <c r="B610" t="s">
        <v>1429</v>
      </c>
      <c r="C610" t="s">
        <v>76</v>
      </c>
      <c r="D610" t="s">
        <v>57</v>
      </c>
      <c r="E610" t="s">
        <v>58</v>
      </c>
      <c r="F610" t="s">
        <v>59</v>
      </c>
      <c r="G610" t="s">
        <v>206</v>
      </c>
      <c r="H610" t="s">
        <v>219</v>
      </c>
      <c r="I610" s="2">
        <v>45292</v>
      </c>
    </row>
    <row r="611" spans="1:9" x14ac:dyDescent="0.3">
      <c r="A611" t="s">
        <v>1430</v>
      </c>
      <c r="B611" t="s">
        <v>1431</v>
      </c>
      <c r="C611" t="s">
        <v>76</v>
      </c>
      <c r="D611" t="s">
        <v>57</v>
      </c>
      <c r="E611" t="s">
        <v>58</v>
      </c>
      <c r="F611" t="s">
        <v>59</v>
      </c>
      <c r="G611" t="s">
        <v>222</v>
      </c>
      <c r="H611" t="s">
        <v>212</v>
      </c>
      <c r="I611" s="2">
        <v>45292</v>
      </c>
    </row>
    <row r="612" spans="1:9" x14ac:dyDescent="0.3">
      <c r="A612" t="s">
        <v>1432</v>
      </c>
      <c r="B612" t="s">
        <v>1433</v>
      </c>
      <c r="C612" t="s">
        <v>71</v>
      </c>
      <c r="D612" t="s">
        <v>57</v>
      </c>
      <c r="E612" t="s">
        <v>58</v>
      </c>
      <c r="F612" t="s">
        <v>59</v>
      </c>
      <c r="G612" t="s">
        <v>206</v>
      </c>
      <c r="H612" t="s">
        <v>231</v>
      </c>
      <c r="I612" s="2">
        <v>45292</v>
      </c>
    </row>
    <row r="613" spans="1:9" x14ac:dyDescent="0.3">
      <c r="A613" t="s">
        <v>1434</v>
      </c>
      <c r="B613" t="s">
        <v>1435</v>
      </c>
      <c r="C613" t="s">
        <v>80</v>
      </c>
      <c r="D613" t="s">
        <v>210</v>
      </c>
      <c r="E613" t="s">
        <v>52</v>
      </c>
      <c r="F613" t="s">
        <v>59</v>
      </c>
      <c r="G613" t="s">
        <v>211</v>
      </c>
      <c r="H613" t="s">
        <v>219</v>
      </c>
      <c r="I613" s="2">
        <v>45292</v>
      </c>
    </row>
    <row r="614" spans="1:9" x14ac:dyDescent="0.3">
      <c r="A614" t="s">
        <v>1436</v>
      </c>
      <c r="B614" t="s">
        <v>1437</v>
      </c>
      <c r="C614" t="s">
        <v>76</v>
      </c>
      <c r="D614" t="s">
        <v>210</v>
      </c>
      <c r="E614" t="s">
        <v>52</v>
      </c>
      <c r="F614" t="s">
        <v>59</v>
      </c>
      <c r="G614" t="s">
        <v>206</v>
      </c>
      <c r="H614" t="s">
        <v>219</v>
      </c>
      <c r="I614" s="2">
        <v>45292</v>
      </c>
    </row>
    <row r="615" spans="1:9" x14ac:dyDescent="0.3">
      <c r="A615" t="s">
        <v>1438</v>
      </c>
      <c r="B615" t="s">
        <v>1439</v>
      </c>
      <c r="C615" t="s">
        <v>76</v>
      </c>
      <c r="D615" t="s">
        <v>57</v>
      </c>
      <c r="E615" t="s">
        <v>58</v>
      </c>
      <c r="F615" t="s">
        <v>59</v>
      </c>
      <c r="G615" t="s">
        <v>222</v>
      </c>
      <c r="H615" t="s">
        <v>231</v>
      </c>
      <c r="I615" s="2">
        <v>45292</v>
      </c>
    </row>
    <row r="616" spans="1:9" x14ac:dyDescent="0.3">
      <c r="A616" t="s">
        <v>1440</v>
      </c>
      <c r="B616" t="s">
        <v>1441</v>
      </c>
      <c r="C616" t="s">
        <v>80</v>
      </c>
      <c r="D616" t="s">
        <v>62</v>
      </c>
      <c r="E616" t="s">
        <v>63</v>
      </c>
      <c r="F616" t="s">
        <v>64</v>
      </c>
      <c r="G616" t="s">
        <v>211</v>
      </c>
      <c r="H616" t="s">
        <v>207</v>
      </c>
      <c r="I616" s="2">
        <v>45292</v>
      </c>
    </row>
    <row r="617" spans="1:9" x14ac:dyDescent="0.3">
      <c r="A617" t="s">
        <v>1442</v>
      </c>
      <c r="B617" t="s">
        <v>1443</v>
      </c>
      <c r="C617" t="s">
        <v>80</v>
      </c>
      <c r="D617" t="s">
        <v>62</v>
      </c>
      <c r="E617" t="s">
        <v>63</v>
      </c>
      <c r="F617" t="s">
        <v>64</v>
      </c>
      <c r="G617" t="s">
        <v>211</v>
      </c>
      <c r="H617" t="s">
        <v>212</v>
      </c>
      <c r="I617" s="2">
        <v>45292</v>
      </c>
    </row>
    <row r="618" spans="1:9" x14ac:dyDescent="0.3">
      <c r="A618" t="s">
        <v>1444</v>
      </c>
      <c r="B618" t="s">
        <v>1445</v>
      </c>
      <c r="C618" t="s">
        <v>76</v>
      </c>
      <c r="D618" t="s">
        <v>210</v>
      </c>
      <c r="E618" t="s">
        <v>52</v>
      </c>
      <c r="F618" t="s">
        <v>59</v>
      </c>
      <c r="G618" t="s">
        <v>206</v>
      </c>
      <c r="H618" t="s">
        <v>212</v>
      </c>
      <c r="I618" s="2">
        <v>45292</v>
      </c>
    </row>
    <row r="619" spans="1:9" x14ac:dyDescent="0.3">
      <c r="A619" t="s">
        <v>1446</v>
      </c>
      <c r="B619" t="s">
        <v>1447</v>
      </c>
      <c r="C619" t="s">
        <v>76</v>
      </c>
      <c r="D619" t="s">
        <v>45</v>
      </c>
      <c r="E619" t="s">
        <v>46</v>
      </c>
      <c r="F619" t="s">
        <v>47</v>
      </c>
      <c r="G619" t="s">
        <v>211</v>
      </c>
      <c r="H619" t="s">
        <v>219</v>
      </c>
      <c r="I619" s="2">
        <v>45292</v>
      </c>
    </row>
    <row r="620" spans="1:9" x14ac:dyDescent="0.3">
      <c r="A620" t="s">
        <v>1448</v>
      </c>
      <c r="B620" t="s">
        <v>1449</v>
      </c>
      <c r="C620" t="s">
        <v>84</v>
      </c>
      <c r="D620" t="s">
        <v>210</v>
      </c>
      <c r="E620" t="s">
        <v>52</v>
      </c>
      <c r="F620" t="s">
        <v>59</v>
      </c>
      <c r="G620" t="s">
        <v>211</v>
      </c>
      <c r="H620" t="s">
        <v>207</v>
      </c>
      <c r="I620" s="2">
        <v>45292</v>
      </c>
    </row>
    <row r="621" spans="1:9" x14ac:dyDescent="0.3">
      <c r="A621" t="s">
        <v>1450</v>
      </c>
      <c r="B621" t="s">
        <v>1451</v>
      </c>
      <c r="C621" t="s">
        <v>71</v>
      </c>
      <c r="D621" t="s">
        <v>210</v>
      </c>
      <c r="E621" t="s">
        <v>52</v>
      </c>
      <c r="F621" t="s">
        <v>59</v>
      </c>
      <c r="G621" t="s">
        <v>222</v>
      </c>
      <c r="H621" t="s">
        <v>231</v>
      </c>
      <c r="I621" s="2">
        <v>45292</v>
      </c>
    </row>
    <row r="622" spans="1:9" x14ac:dyDescent="0.3">
      <c r="A622" t="s">
        <v>1452</v>
      </c>
      <c r="B622" t="s">
        <v>1453</v>
      </c>
      <c r="C622" t="s">
        <v>80</v>
      </c>
      <c r="D622" t="s">
        <v>51</v>
      </c>
      <c r="E622" t="s">
        <v>52</v>
      </c>
      <c r="F622" t="s">
        <v>53</v>
      </c>
      <c r="G622" t="s">
        <v>206</v>
      </c>
      <c r="H622" t="s">
        <v>212</v>
      </c>
      <c r="I622" s="2">
        <v>45292</v>
      </c>
    </row>
    <row r="623" spans="1:9" x14ac:dyDescent="0.3">
      <c r="A623" t="s">
        <v>1454</v>
      </c>
      <c r="B623" t="s">
        <v>1455</v>
      </c>
      <c r="C623" t="s">
        <v>80</v>
      </c>
      <c r="D623" t="s">
        <v>62</v>
      </c>
      <c r="E623" t="s">
        <v>63</v>
      </c>
      <c r="F623" t="s">
        <v>64</v>
      </c>
      <c r="G623" t="s">
        <v>206</v>
      </c>
      <c r="H623" t="s">
        <v>212</v>
      </c>
      <c r="I623" s="2">
        <v>45292</v>
      </c>
    </row>
    <row r="624" spans="1:9" x14ac:dyDescent="0.3">
      <c r="A624" t="s">
        <v>1456</v>
      </c>
      <c r="B624" t="s">
        <v>1457</v>
      </c>
      <c r="C624" t="s">
        <v>80</v>
      </c>
      <c r="D624" t="s">
        <v>62</v>
      </c>
      <c r="E624" t="s">
        <v>63</v>
      </c>
      <c r="F624" t="s">
        <v>64</v>
      </c>
      <c r="G624" t="s">
        <v>222</v>
      </c>
      <c r="H624" t="s">
        <v>231</v>
      </c>
      <c r="I624" s="2">
        <v>45292</v>
      </c>
    </row>
    <row r="625" spans="1:9" x14ac:dyDescent="0.3">
      <c r="A625" t="s">
        <v>1458</v>
      </c>
      <c r="B625" t="s">
        <v>1459</v>
      </c>
      <c r="C625" t="s">
        <v>76</v>
      </c>
      <c r="D625" t="s">
        <v>57</v>
      </c>
      <c r="E625" t="s">
        <v>58</v>
      </c>
      <c r="F625" t="s">
        <v>59</v>
      </c>
      <c r="G625" t="s">
        <v>206</v>
      </c>
      <c r="H625" t="s">
        <v>212</v>
      </c>
      <c r="I625" s="2">
        <v>45292</v>
      </c>
    </row>
    <row r="626" spans="1:9" x14ac:dyDescent="0.3">
      <c r="A626" t="s">
        <v>1460</v>
      </c>
      <c r="B626" t="s">
        <v>1461</v>
      </c>
      <c r="C626" t="s">
        <v>80</v>
      </c>
      <c r="D626" t="s">
        <v>51</v>
      </c>
      <c r="E626" t="s">
        <v>52</v>
      </c>
      <c r="F626" t="s">
        <v>53</v>
      </c>
      <c r="G626" t="s">
        <v>222</v>
      </c>
      <c r="H626" t="s">
        <v>219</v>
      </c>
      <c r="I626" s="2">
        <v>45292</v>
      </c>
    </row>
    <row r="627" spans="1:9" x14ac:dyDescent="0.3">
      <c r="A627" t="s">
        <v>1462</v>
      </c>
      <c r="B627" t="s">
        <v>1463</v>
      </c>
      <c r="C627" t="s">
        <v>76</v>
      </c>
      <c r="D627" t="s">
        <v>51</v>
      </c>
      <c r="E627" t="s">
        <v>52</v>
      </c>
      <c r="F627" t="s">
        <v>53</v>
      </c>
      <c r="G627" t="s">
        <v>222</v>
      </c>
      <c r="H627" t="s">
        <v>212</v>
      </c>
      <c r="I627" s="2">
        <v>45292</v>
      </c>
    </row>
    <row r="628" spans="1:9" x14ac:dyDescent="0.3">
      <c r="A628" t="s">
        <v>1464</v>
      </c>
      <c r="B628" t="s">
        <v>1465</v>
      </c>
      <c r="C628" t="s">
        <v>76</v>
      </c>
      <c r="D628" t="s">
        <v>210</v>
      </c>
      <c r="E628" t="s">
        <v>52</v>
      </c>
      <c r="F628" t="s">
        <v>59</v>
      </c>
      <c r="G628" t="s">
        <v>222</v>
      </c>
      <c r="H628" t="s">
        <v>231</v>
      </c>
      <c r="I628" s="2">
        <v>45292</v>
      </c>
    </row>
    <row r="629" spans="1:9" x14ac:dyDescent="0.3">
      <c r="A629" t="s">
        <v>1466</v>
      </c>
      <c r="B629" t="s">
        <v>1467</v>
      </c>
      <c r="C629" t="s">
        <v>76</v>
      </c>
      <c r="D629" t="s">
        <v>45</v>
      </c>
      <c r="E629" t="s">
        <v>46</v>
      </c>
      <c r="F629" t="s">
        <v>47</v>
      </c>
      <c r="G629" t="s">
        <v>222</v>
      </c>
      <c r="H629" t="s">
        <v>212</v>
      </c>
      <c r="I629" s="2">
        <v>45292</v>
      </c>
    </row>
    <row r="630" spans="1:9" x14ac:dyDescent="0.3">
      <c r="A630" t="s">
        <v>1468</v>
      </c>
      <c r="B630" t="s">
        <v>1469</v>
      </c>
      <c r="C630" t="s">
        <v>80</v>
      </c>
      <c r="D630" t="s">
        <v>62</v>
      </c>
      <c r="E630" t="s">
        <v>63</v>
      </c>
      <c r="F630" t="s">
        <v>64</v>
      </c>
      <c r="G630" t="s">
        <v>206</v>
      </c>
      <c r="H630" t="s">
        <v>231</v>
      </c>
      <c r="I630" s="2">
        <v>45292</v>
      </c>
    </row>
    <row r="631" spans="1:9" x14ac:dyDescent="0.3">
      <c r="A631" t="s">
        <v>1470</v>
      </c>
      <c r="B631" t="s">
        <v>1471</v>
      </c>
      <c r="C631" t="s">
        <v>80</v>
      </c>
      <c r="D631" t="s">
        <v>45</v>
      </c>
      <c r="E631" t="s">
        <v>46</v>
      </c>
      <c r="F631" t="s">
        <v>47</v>
      </c>
      <c r="G631" t="s">
        <v>211</v>
      </c>
      <c r="H631" t="s">
        <v>231</v>
      </c>
      <c r="I631" s="2">
        <v>45292</v>
      </c>
    </row>
    <row r="632" spans="1:9" x14ac:dyDescent="0.3">
      <c r="A632" t="s">
        <v>1472</v>
      </c>
      <c r="B632" t="s">
        <v>1473</v>
      </c>
      <c r="C632" t="s">
        <v>80</v>
      </c>
      <c r="D632" t="s">
        <v>210</v>
      </c>
      <c r="E632" t="s">
        <v>52</v>
      </c>
      <c r="F632" t="s">
        <v>59</v>
      </c>
      <c r="G632" t="s">
        <v>211</v>
      </c>
      <c r="H632" t="s">
        <v>207</v>
      </c>
      <c r="I632" s="2">
        <v>45292</v>
      </c>
    </row>
    <row r="633" spans="1:9" x14ac:dyDescent="0.3">
      <c r="A633" t="s">
        <v>1474</v>
      </c>
      <c r="B633" t="s">
        <v>1475</v>
      </c>
      <c r="C633" t="s">
        <v>71</v>
      </c>
      <c r="D633" t="s">
        <v>51</v>
      </c>
      <c r="E633" t="s">
        <v>52</v>
      </c>
      <c r="F633" t="s">
        <v>53</v>
      </c>
      <c r="G633" t="s">
        <v>211</v>
      </c>
      <c r="H633" t="s">
        <v>207</v>
      </c>
      <c r="I633" s="2">
        <v>45292</v>
      </c>
    </row>
    <row r="634" spans="1:9" x14ac:dyDescent="0.3">
      <c r="A634" t="s">
        <v>1476</v>
      </c>
      <c r="B634" t="s">
        <v>1477</v>
      </c>
      <c r="C634" t="s">
        <v>76</v>
      </c>
      <c r="D634" t="s">
        <v>51</v>
      </c>
      <c r="E634" t="s">
        <v>52</v>
      </c>
      <c r="F634" t="s">
        <v>53</v>
      </c>
      <c r="G634" t="s">
        <v>222</v>
      </c>
      <c r="H634" t="s">
        <v>231</v>
      </c>
      <c r="I634" s="2">
        <v>45292</v>
      </c>
    </row>
    <row r="635" spans="1:9" x14ac:dyDescent="0.3">
      <c r="A635" t="s">
        <v>1478</v>
      </c>
      <c r="B635" t="s">
        <v>1479</v>
      </c>
      <c r="C635" t="s">
        <v>76</v>
      </c>
      <c r="D635" t="s">
        <v>45</v>
      </c>
      <c r="E635" t="s">
        <v>46</v>
      </c>
      <c r="F635" t="s">
        <v>47</v>
      </c>
      <c r="G635" t="s">
        <v>206</v>
      </c>
      <c r="H635" t="s">
        <v>212</v>
      </c>
      <c r="I635" s="2">
        <v>45292</v>
      </c>
    </row>
    <row r="636" spans="1:9" x14ac:dyDescent="0.3">
      <c r="A636" t="s">
        <v>1480</v>
      </c>
      <c r="B636" t="s">
        <v>1481</v>
      </c>
      <c r="C636" t="s">
        <v>76</v>
      </c>
      <c r="D636" t="s">
        <v>51</v>
      </c>
      <c r="E636" t="s">
        <v>52</v>
      </c>
      <c r="F636" t="s">
        <v>53</v>
      </c>
      <c r="G636" t="s">
        <v>206</v>
      </c>
      <c r="H636" t="s">
        <v>207</v>
      </c>
      <c r="I636" s="2">
        <v>45292</v>
      </c>
    </row>
    <row r="637" spans="1:9" x14ac:dyDescent="0.3">
      <c r="A637" t="s">
        <v>1482</v>
      </c>
      <c r="B637" t="s">
        <v>1483</v>
      </c>
      <c r="C637" t="s">
        <v>76</v>
      </c>
      <c r="D637" t="s">
        <v>62</v>
      </c>
      <c r="E637" t="s">
        <v>63</v>
      </c>
      <c r="F637" t="s">
        <v>64</v>
      </c>
      <c r="G637" t="s">
        <v>211</v>
      </c>
      <c r="H637" t="s">
        <v>212</v>
      </c>
      <c r="I637" s="2">
        <v>45292</v>
      </c>
    </row>
    <row r="638" spans="1:9" x14ac:dyDescent="0.3">
      <c r="A638" t="s">
        <v>1484</v>
      </c>
      <c r="B638" t="s">
        <v>1485</v>
      </c>
      <c r="C638" t="s">
        <v>76</v>
      </c>
      <c r="D638" t="s">
        <v>45</v>
      </c>
      <c r="E638" t="s">
        <v>46</v>
      </c>
      <c r="F638" t="s">
        <v>47</v>
      </c>
      <c r="G638" t="s">
        <v>222</v>
      </c>
      <c r="H638" t="s">
        <v>207</v>
      </c>
      <c r="I638" s="2">
        <v>45292</v>
      </c>
    </row>
    <row r="639" spans="1:9" x14ac:dyDescent="0.3">
      <c r="A639" t="s">
        <v>1486</v>
      </c>
      <c r="B639" t="s">
        <v>1487</v>
      </c>
      <c r="C639" t="s">
        <v>80</v>
      </c>
      <c r="D639" t="s">
        <v>45</v>
      </c>
      <c r="E639" t="s">
        <v>46</v>
      </c>
      <c r="F639" t="s">
        <v>47</v>
      </c>
      <c r="G639" t="s">
        <v>206</v>
      </c>
      <c r="H639" t="s">
        <v>207</v>
      </c>
      <c r="I639" s="2">
        <v>45292</v>
      </c>
    </row>
    <row r="640" spans="1:9" x14ac:dyDescent="0.3">
      <c r="A640" t="s">
        <v>1488</v>
      </c>
      <c r="B640" t="s">
        <v>1489</v>
      </c>
      <c r="C640" t="s">
        <v>71</v>
      </c>
      <c r="D640" t="s">
        <v>51</v>
      </c>
      <c r="E640" t="s">
        <v>52</v>
      </c>
      <c r="F640" t="s">
        <v>53</v>
      </c>
      <c r="G640" t="s">
        <v>206</v>
      </c>
      <c r="H640" t="s">
        <v>219</v>
      </c>
      <c r="I640" s="2">
        <v>45292</v>
      </c>
    </row>
    <row r="641" spans="1:9" x14ac:dyDescent="0.3">
      <c r="A641" t="s">
        <v>1490</v>
      </c>
      <c r="B641" t="s">
        <v>1491</v>
      </c>
      <c r="C641" t="s">
        <v>76</v>
      </c>
      <c r="D641" t="s">
        <v>57</v>
      </c>
      <c r="E641" t="s">
        <v>58</v>
      </c>
      <c r="F641" t="s">
        <v>59</v>
      </c>
      <c r="G641" t="s">
        <v>222</v>
      </c>
      <c r="H641" t="s">
        <v>219</v>
      </c>
      <c r="I641" s="2">
        <v>45292</v>
      </c>
    </row>
    <row r="642" spans="1:9" x14ac:dyDescent="0.3">
      <c r="A642" t="s">
        <v>1492</v>
      </c>
      <c r="B642" t="s">
        <v>1493</v>
      </c>
      <c r="C642" t="s">
        <v>84</v>
      </c>
      <c r="D642" t="s">
        <v>51</v>
      </c>
      <c r="E642" t="s">
        <v>52</v>
      </c>
      <c r="F642" t="s">
        <v>53</v>
      </c>
      <c r="G642" t="s">
        <v>206</v>
      </c>
      <c r="H642" t="s">
        <v>207</v>
      </c>
      <c r="I642" s="2">
        <v>45292</v>
      </c>
    </row>
    <row r="643" spans="1:9" x14ac:dyDescent="0.3">
      <c r="A643" t="s">
        <v>1494</v>
      </c>
      <c r="B643" t="s">
        <v>1495</v>
      </c>
      <c r="C643" t="s">
        <v>84</v>
      </c>
      <c r="D643" t="s">
        <v>62</v>
      </c>
      <c r="E643" t="s">
        <v>63</v>
      </c>
      <c r="F643" t="s">
        <v>64</v>
      </c>
      <c r="G643" t="s">
        <v>222</v>
      </c>
      <c r="H643" t="s">
        <v>219</v>
      </c>
      <c r="I643" s="2">
        <v>45292</v>
      </c>
    </row>
    <row r="644" spans="1:9" x14ac:dyDescent="0.3">
      <c r="A644" t="s">
        <v>1496</v>
      </c>
      <c r="B644" t="s">
        <v>1497</v>
      </c>
      <c r="C644" t="s">
        <v>80</v>
      </c>
      <c r="D644" t="s">
        <v>62</v>
      </c>
      <c r="E644" t="s">
        <v>63</v>
      </c>
      <c r="F644" t="s">
        <v>64</v>
      </c>
      <c r="G644" t="s">
        <v>211</v>
      </c>
      <c r="H644" t="s">
        <v>219</v>
      </c>
      <c r="I644" s="2">
        <v>45292</v>
      </c>
    </row>
    <row r="645" spans="1:9" x14ac:dyDescent="0.3">
      <c r="A645" t="s">
        <v>1498</v>
      </c>
      <c r="B645" t="s">
        <v>1499</v>
      </c>
      <c r="C645" t="s">
        <v>71</v>
      </c>
      <c r="D645" t="s">
        <v>210</v>
      </c>
      <c r="E645" t="s">
        <v>52</v>
      </c>
      <c r="F645" t="s">
        <v>59</v>
      </c>
      <c r="G645" t="s">
        <v>211</v>
      </c>
      <c r="H645" t="s">
        <v>231</v>
      </c>
      <c r="I645" s="2">
        <v>45292</v>
      </c>
    </row>
    <row r="646" spans="1:9" x14ac:dyDescent="0.3">
      <c r="A646" t="s">
        <v>1500</v>
      </c>
      <c r="B646" t="s">
        <v>1501</v>
      </c>
      <c r="C646" t="s">
        <v>76</v>
      </c>
      <c r="D646" t="s">
        <v>45</v>
      </c>
      <c r="E646" t="s">
        <v>46</v>
      </c>
      <c r="F646" t="s">
        <v>47</v>
      </c>
      <c r="G646" t="s">
        <v>206</v>
      </c>
      <c r="H646" t="s">
        <v>219</v>
      </c>
      <c r="I646" s="2">
        <v>45292</v>
      </c>
    </row>
    <row r="647" spans="1:9" x14ac:dyDescent="0.3">
      <c r="A647" t="s">
        <v>1502</v>
      </c>
      <c r="B647" t="s">
        <v>1503</v>
      </c>
      <c r="C647" t="s">
        <v>71</v>
      </c>
      <c r="D647" t="s">
        <v>51</v>
      </c>
      <c r="E647" t="s">
        <v>52</v>
      </c>
      <c r="F647" t="s">
        <v>53</v>
      </c>
      <c r="G647" t="s">
        <v>206</v>
      </c>
      <c r="H647" t="s">
        <v>212</v>
      </c>
      <c r="I647" s="2">
        <v>45292</v>
      </c>
    </row>
    <row r="648" spans="1:9" x14ac:dyDescent="0.3">
      <c r="A648" t="s">
        <v>1504</v>
      </c>
      <c r="B648" t="s">
        <v>1505</v>
      </c>
      <c r="C648" t="s">
        <v>71</v>
      </c>
      <c r="D648" t="s">
        <v>45</v>
      </c>
      <c r="E648" t="s">
        <v>46</v>
      </c>
      <c r="F648" t="s">
        <v>47</v>
      </c>
      <c r="G648" t="s">
        <v>222</v>
      </c>
      <c r="H648" t="s">
        <v>231</v>
      </c>
      <c r="I648" s="2">
        <v>45292</v>
      </c>
    </row>
    <row r="649" spans="1:9" x14ac:dyDescent="0.3">
      <c r="A649" t="s">
        <v>1506</v>
      </c>
      <c r="B649" t="s">
        <v>1507</v>
      </c>
      <c r="C649" t="s">
        <v>76</v>
      </c>
      <c r="D649" t="s">
        <v>45</v>
      </c>
      <c r="E649" t="s">
        <v>46</v>
      </c>
      <c r="F649" t="s">
        <v>47</v>
      </c>
      <c r="G649" t="s">
        <v>211</v>
      </c>
      <c r="H649" t="s">
        <v>219</v>
      </c>
      <c r="I649" s="2">
        <v>45292</v>
      </c>
    </row>
    <row r="650" spans="1:9" x14ac:dyDescent="0.3">
      <c r="A650" t="s">
        <v>1508</v>
      </c>
      <c r="B650" t="s">
        <v>1509</v>
      </c>
      <c r="C650" t="s">
        <v>80</v>
      </c>
      <c r="D650" t="s">
        <v>45</v>
      </c>
      <c r="E650" t="s">
        <v>46</v>
      </c>
      <c r="F650" t="s">
        <v>47</v>
      </c>
      <c r="G650" t="s">
        <v>206</v>
      </c>
      <c r="H650" t="s">
        <v>212</v>
      </c>
      <c r="I650" s="2">
        <v>45292</v>
      </c>
    </row>
    <row r="651" spans="1:9" x14ac:dyDescent="0.3">
      <c r="A651" t="s">
        <v>1510</v>
      </c>
      <c r="B651" t="s">
        <v>1511</v>
      </c>
      <c r="C651" t="s">
        <v>80</v>
      </c>
      <c r="D651" t="s">
        <v>210</v>
      </c>
      <c r="E651" t="s">
        <v>52</v>
      </c>
      <c r="F651" t="s">
        <v>59</v>
      </c>
      <c r="G651" t="s">
        <v>222</v>
      </c>
      <c r="H651" t="s">
        <v>219</v>
      </c>
      <c r="I651" s="2">
        <v>45292</v>
      </c>
    </row>
    <row r="652" spans="1:9" x14ac:dyDescent="0.3">
      <c r="A652" t="s">
        <v>1512</v>
      </c>
      <c r="B652" t="s">
        <v>1513</v>
      </c>
      <c r="C652" t="s">
        <v>76</v>
      </c>
      <c r="D652" t="s">
        <v>62</v>
      </c>
      <c r="E652" t="s">
        <v>63</v>
      </c>
      <c r="F652" t="s">
        <v>64</v>
      </c>
      <c r="G652" t="s">
        <v>211</v>
      </c>
      <c r="H652" t="s">
        <v>212</v>
      </c>
      <c r="I652" s="2">
        <v>45292</v>
      </c>
    </row>
    <row r="653" spans="1:9" x14ac:dyDescent="0.3">
      <c r="A653" t="s">
        <v>1514</v>
      </c>
      <c r="B653" t="s">
        <v>1515</v>
      </c>
      <c r="C653" t="s">
        <v>76</v>
      </c>
      <c r="D653" t="s">
        <v>51</v>
      </c>
      <c r="E653" t="s">
        <v>52</v>
      </c>
      <c r="F653" t="s">
        <v>53</v>
      </c>
      <c r="G653" t="s">
        <v>211</v>
      </c>
      <c r="H653" t="s">
        <v>231</v>
      </c>
      <c r="I653" s="2">
        <v>45292</v>
      </c>
    </row>
    <row r="654" spans="1:9" x14ac:dyDescent="0.3">
      <c r="A654" t="s">
        <v>1516</v>
      </c>
      <c r="B654" t="s">
        <v>1517</v>
      </c>
      <c r="C654" t="s">
        <v>76</v>
      </c>
      <c r="D654" t="s">
        <v>210</v>
      </c>
      <c r="E654" t="s">
        <v>52</v>
      </c>
      <c r="F654" t="s">
        <v>59</v>
      </c>
      <c r="G654" t="s">
        <v>206</v>
      </c>
      <c r="H654" t="s">
        <v>207</v>
      </c>
      <c r="I654" s="2">
        <v>45292</v>
      </c>
    </row>
    <row r="655" spans="1:9" x14ac:dyDescent="0.3">
      <c r="A655" t="s">
        <v>1518</v>
      </c>
      <c r="B655" t="s">
        <v>1519</v>
      </c>
      <c r="C655" t="s">
        <v>84</v>
      </c>
      <c r="D655" t="s">
        <v>45</v>
      </c>
      <c r="E655" t="s">
        <v>46</v>
      </c>
      <c r="F655" t="s">
        <v>47</v>
      </c>
      <c r="G655" t="s">
        <v>206</v>
      </c>
      <c r="H655" t="s">
        <v>207</v>
      </c>
      <c r="I655" s="2">
        <v>45292</v>
      </c>
    </row>
    <row r="656" spans="1:9" x14ac:dyDescent="0.3">
      <c r="A656" t="s">
        <v>1520</v>
      </c>
      <c r="B656" t="s">
        <v>1521</v>
      </c>
      <c r="C656" t="s">
        <v>80</v>
      </c>
      <c r="D656" t="s">
        <v>62</v>
      </c>
      <c r="E656" t="s">
        <v>63</v>
      </c>
      <c r="F656" t="s">
        <v>64</v>
      </c>
      <c r="G656" t="s">
        <v>222</v>
      </c>
      <c r="H656" t="s">
        <v>231</v>
      </c>
      <c r="I656" s="2">
        <v>45292</v>
      </c>
    </row>
    <row r="657" spans="1:9" x14ac:dyDescent="0.3">
      <c r="A657" t="s">
        <v>1522</v>
      </c>
      <c r="B657" t="s">
        <v>1523</v>
      </c>
      <c r="C657" t="s">
        <v>84</v>
      </c>
      <c r="D657" t="s">
        <v>51</v>
      </c>
      <c r="E657" t="s">
        <v>52</v>
      </c>
      <c r="F657" t="s">
        <v>53</v>
      </c>
      <c r="G657" t="s">
        <v>222</v>
      </c>
      <c r="H657" t="s">
        <v>207</v>
      </c>
      <c r="I657" s="2">
        <v>45292</v>
      </c>
    </row>
    <row r="658" spans="1:9" x14ac:dyDescent="0.3">
      <c r="A658" t="s">
        <v>1524</v>
      </c>
      <c r="B658" t="s">
        <v>1525</v>
      </c>
      <c r="C658" t="s">
        <v>71</v>
      </c>
      <c r="D658" t="s">
        <v>210</v>
      </c>
      <c r="E658" t="s">
        <v>52</v>
      </c>
      <c r="F658" t="s">
        <v>59</v>
      </c>
      <c r="G658" t="s">
        <v>222</v>
      </c>
      <c r="H658" t="s">
        <v>231</v>
      </c>
      <c r="I658" s="2">
        <v>45292</v>
      </c>
    </row>
    <row r="659" spans="1:9" x14ac:dyDescent="0.3">
      <c r="A659" t="s">
        <v>1526</v>
      </c>
      <c r="B659" t="s">
        <v>1527</v>
      </c>
      <c r="C659" t="s">
        <v>76</v>
      </c>
      <c r="D659" t="s">
        <v>62</v>
      </c>
      <c r="E659" t="s">
        <v>63</v>
      </c>
      <c r="F659" t="s">
        <v>64</v>
      </c>
      <c r="G659" t="s">
        <v>206</v>
      </c>
      <c r="H659" t="s">
        <v>219</v>
      </c>
      <c r="I659" s="2">
        <v>45292</v>
      </c>
    </row>
    <row r="660" spans="1:9" x14ac:dyDescent="0.3">
      <c r="A660" t="s">
        <v>1528</v>
      </c>
      <c r="B660" t="s">
        <v>1529</v>
      </c>
      <c r="C660" t="s">
        <v>76</v>
      </c>
      <c r="D660" t="s">
        <v>210</v>
      </c>
      <c r="E660" t="s">
        <v>52</v>
      </c>
      <c r="F660" t="s">
        <v>59</v>
      </c>
      <c r="G660" t="s">
        <v>206</v>
      </c>
      <c r="H660" t="s">
        <v>219</v>
      </c>
      <c r="I660" s="2">
        <v>45292</v>
      </c>
    </row>
    <row r="661" spans="1:9" x14ac:dyDescent="0.3">
      <c r="A661" t="s">
        <v>1530</v>
      </c>
      <c r="B661" t="s">
        <v>1531</v>
      </c>
      <c r="C661" t="s">
        <v>71</v>
      </c>
      <c r="D661" t="s">
        <v>210</v>
      </c>
      <c r="E661" t="s">
        <v>52</v>
      </c>
      <c r="F661" t="s">
        <v>59</v>
      </c>
      <c r="G661" t="s">
        <v>211</v>
      </c>
      <c r="H661" t="s">
        <v>231</v>
      </c>
      <c r="I661" s="2">
        <v>45292</v>
      </c>
    </row>
    <row r="662" spans="1:9" x14ac:dyDescent="0.3">
      <c r="A662" t="s">
        <v>1532</v>
      </c>
      <c r="B662" t="s">
        <v>1533</v>
      </c>
      <c r="C662" t="s">
        <v>71</v>
      </c>
      <c r="D662" t="s">
        <v>57</v>
      </c>
      <c r="E662" t="s">
        <v>58</v>
      </c>
      <c r="F662" t="s">
        <v>59</v>
      </c>
      <c r="G662" t="s">
        <v>222</v>
      </c>
      <c r="H662" t="s">
        <v>219</v>
      </c>
      <c r="I662" s="2">
        <v>45292</v>
      </c>
    </row>
    <row r="663" spans="1:9" x14ac:dyDescent="0.3">
      <c r="A663" t="s">
        <v>1534</v>
      </c>
      <c r="B663" t="s">
        <v>1535</v>
      </c>
      <c r="C663" t="s">
        <v>84</v>
      </c>
      <c r="D663" t="s">
        <v>51</v>
      </c>
      <c r="E663" t="s">
        <v>52</v>
      </c>
      <c r="F663" t="s">
        <v>53</v>
      </c>
      <c r="G663" t="s">
        <v>222</v>
      </c>
      <c r="H663" t="s">
        <v>207</v>
      </c>
      <c r="I663" s="2">
        <v>45292</v>
      </c>
    </row>
    <row r="664" spans="1:9" x14ac:dyDescent="0.3">
      <c r="A664" t="s">
        <v>1536</v>
      </c>
      <c r="B664" t="s">
        <v>1537</v>
      </c>
      <c r="C664" t="s">
        <v>84</v>
      </c>
      <c r="D664" t="s">
        <v>210</v>
      </c>
      <c r="E664" t="s">
        <v>52</v>
      </c>
      <c r="F664" t="s">
        <v>59</v>
      </c>
      <c r="G664" t="s">
        <v>206</v>
      </c>
      <c r="H664" t="s">
        <v>219</v>
      </c>
      <c r="I664" s="2">
        <v>45292</v>
      </c>
    </row>
    <row r="665" spans="1:9" x14ac:dyDescent="0.3">
      <c r="A665" t="s">
        <v>1538</v>
      </c>
      <c r="B665" t="s">
        <v>1539</v>
      </c>
      <c r="C665" t="s">
        <v>76</v>
      </c>
      <c r="D665" t="s">
        <v>62</v>
      </c>
      <c r="E665" t="s">
        <v>63</v>
      </c>
      <c r="F665" t="s">
        <v>64</v>
      </c>
      <c r="G665" t="s">
        <v>222</v>
      </c>
      <c r="H665" t="s">
        <v>212</v>
      </c>
      <c r="I665" s="2">
        <v>45292</v>
      </c>
    </row>
    <row r="666" spans="1:9" x14ac:dyDescent="0.3">
      <c r="A666" t="s">
        <v>1540</v>
      </c>
      <c r="B666" t="s">
        <v>1541</v>
      </c>
      <c r="C666" t="s">
        <v>76</v>
      </c>
      <c r="D666" t="s">
        <v>57</v>
      </c>
      <c r="E666" t="s">
        <v>58</v>
      </c>
      <c r="F666" t="s">
        <v>59</v>
      </c>
      <c r="G666" t="s">
        <v>211</v>
      </c>
      <c r="H666" t="s">
        <v>231</v>
      </c>
      <c r="I666" s="2">
        <v>45292</v>
      </c>
    </row>
    <row r="667" spans="1:9" x14ac:dyDescent="0.3">
      <c r="A667" t="s">
        <v>1542</v>
      </c>
      <c r="B667" t="s">
        <v>1543</v>
      </c>
      <c r="C667" t="s">
        <v>76</v>
      </c>
      <c r="D667" t="s">
        <v>45</v>
      </c>
      <c r="E667" t="s">
        <v>46</v>
      </c>
      <c r="F667" t="s">
        <v>47</v>
      </c>
      <c r="G667" t="s">
        <v>211</v>
      </c>
      <c r="H667" t="s">
        <v>207</v>
      </c>
      <c r="I667" s="2">
        <v>45292</v>
      </c>
    </row>
    <row r="668" spans="1:9" x14ac:dyDescent="0.3">
      <c r="A668" t="s">
        <v>1544</v>
      </c>
      <c r="B668" t="s">
        <v>1545</v>
      </c>
      <c r="C668" t="s">
        <v>76</v>
      </c>
      <c r="D668" t="s">
        <v>45</v>
      </c>
      <c r="E668" t="s">
        <v>46</v>
      </c>
      <c r="F668" t="s">
        <v>47</v>
      </c>
      <c r="G668" t="s">
        <v>222</v>
      </c>
      <c r="H668" t="s">
        <v>212</v>
      </c>
      <c r="I668" s="2">
        <v>45292</v>
      </c>
    </row>
    <row r="669" spans="1:9" x14ac:dyDescent="0.3">
      <c r="A669" t="s">
        <v>1546</v>
      </c>
      <c r="B669" t="s">
        <v>1547</v>
      </c>
      <c r="C669" t="s">
        <v>76</v>
      </c>
      <c r="D669" t="s">
        <v>51</v>
      </c>
      <c r="E669" t="s">
        <v>52</v>
      </c>
      <c r="F669" t="s">
        <v>53</v>
      </c>
      <c r="G669" t="s">
        <v>206</v>
      </c>
      <c r="H669" t="s">
        <v>219</v>
      </c>
      <c r="I669" s="2">
        <v>45292</v>
      </c>
    </row>
    <row r="670" spans="1:9" x14ac:dyDescent="0.3">
      <c r="A670" t="s">
        <v>1548</v>
      </c>
      <c r="B670" t="s">
        <v>1549</v>
      </c>
      <c r="C670" t="s">
        <v>84</v>
      </c>
      <c r="D670" t="s">
        <v>51</v>
      </c>
      <c r="E670" t="s">
        <v>52</v>
      </c>
      <c r="F670" t="s">
        <v>53</v>
      </c>
      <c r="G670" t="s">
        <v>206</v>
      </c>
      <c r="H670" t="s">
        <v>207</v>
      </c>
      <c r="I670" s="2">
        <v>45292</v>
      </c>
    </row>
    <row r="671" spans="1:9" x14ac:dyDescent="0.3">
      <c r="A671" t="s">
        <v>1550</v>
      </c>
      <c r="B671" t="s">
        <v>1551</v>
      </c>
      <c r="C671" t="s">
        <v>76</v>
      </c>
      <c r="D671" t="s">
        <v>45</v>
      </c>
      <c r="E671" t="s">
        <v>46</v>
      </c>
      <c r="F671" t="s">
        <v>47</v>
      </c>
      <c r="G671" t="s">
        <v>206</v>
      </c>
      <c r="H671" t="s">
        <v>231</v>
      </c>
      <c r="I671" s="2">
        <v>45292</v>
      </c>
    </row>
    <row r="672" spans="1:9" x14ac:dyDescent="0.3">
      <c r="A672" t="s">
        <v>1552</v>
      </c>
      <c r="B672" t="s">
        <v>1553</v>
      </c>
      <c r="C672" t="s">
        <v>76</v>
      </c>
      <c r="D672" t="s">
        <v>210</v>
      </c>
      <c r="E672" t="s">
        <v>52</v>
      </c>
      <c r="F672" t="s">
        <v>59</v>
      </c>
      <c r="G672" t="s">
        <v>222</v>
      </c>
      <c r="H672" t="s">
        <v>231</v>
      </c>
      <c r="I672" s="2">
        <v>45292</v>
      </c>
    </row>
    <row r="673" spans="1:9" x14ac:dyDescent="0.3">
      <c r="A673" t="s">
        <v>1554</v>
      </c>
      <c r="B673" t="s">
        <v>1555</v>
      </c>
      <c r="C673" t="s">
        <v>76</v>
      </c>
      <c r="D673" t="s">
        <v>210</v>
      </c>
      <c r="E673" t="s">
        <v>52</v>
      </c>
      <c r="F673" t="s">
        <v>59</v>
      </c>
      <c r="G673" t="s">
        <v>206</v>
      </c>
      <c r="H673" t="s">
        <v>231</v>
      </c>
      <c r="I673" s="2">
        <v>45292</v>
      </c>
    </row>
    <row r="674" spans="1:9" x14ac:dyDescent="0.3">
      <c r="A674" t="s">
        <v>1556</v>
      </c>
      <c r="B674" t="s">
        <v>1557</v>
      </c>
      <c r="C674" t="s">
        <v>80</v>
      </c>
      <c r="D674" t="s">
        <v>45</v>
      </c>
      <c r="E674" t="s">
        <v>46</v>
      </c>
      <c r="F674" t="s">
        <v>47</v>
      </c>
      <c r="G674" t="s">
        <v>206</v>
      </c>
      <c r="H674" t="s">
        <v>231</v>
      </c>
      <c r="I674" s="2">
        <v>45292</v>
      </c>
    </row>
    <row r="675" spans="1:9" x14ac:dyDescent="0.3">
      <c r="A675" t="s">
        <v>1558</v>
      </c>
      <c r="B675" t="s">
        <v>1559</v>
      </c>
      <c r="C675" t="s">
        <v>71</v>
      </c>
      <c r="D675" t="s">
        <v>57</v>
      </c>
      <c r="E675" t="s">
        <v>58</v>
      </c>
      <c r="F675" t="s">
        <v>59</v>
      </c>
      <c r="G675" t="s">
        <v>211</v>
      </c>
      <c r="H675" t="s">
        <v>231</v>
      </c>
      <c r="I675" s="2">
        <v>45292</v>
      </c>
    </row>
    <row r="676" spans="1:9" x14ac:dyDescent="0.3">
      <c r="A676" t="s">
        <v>1560</v>
      </c>
      <c r="B676" t="s">
        <v>1561</v>
      </c>
      <c r="C676" t="s">
        <v>80</v>
      </c>
      <c r="D676" t="s">
        <v>45</v>
      </c>
      <c r="E676" t="s">
        <v>46</v>
      </c>
      <c r="F676" t="s">
        <v>47</v>
      </c>
      <c r="G676" t="s">
        <v>211</v>
      </c>
      <c r="H676" t="s">
        <v>231</v>
      </c>
      <c r="I676" s="2">
        <v>45292</v>
      </c>
    </row>
    <row r="677" spans="1:9" x14ac:dyDescent="0.3">
      <c r="A677" t="s">
        <v>1562</v>
      </c>
      <c r="B677" t="s">
        <v>1563</v>
      </c>
      <c r="C677" t="s">
        <v>76</v>
      </c>
      <c r="D677" t="s">
        <v>45</v>
      </c>
      <c r="E677" t="s">
        <v>46</v>
      </c>
      <c r="F677" t="s">
        <v>47</v>
      </c>
      <c r="G677" t="s">
        <v>222</v>
      </c>
      <c r="H677" t="s">
        <v>219</v>
      </c>
      <c r="I677" s="2">
        <v>45292</v>
      </c>
    </row>
    <row r="678" spans="1:9" x14ac:dyDescent="0.3">
      <c r="A678" t="s">
        <v>1564</v>
      </c>
      <c r="B678" t="s">
        <v>1565</v>
      </c>
      <c r="C678" t="s">
        <v>80</v>
      </c>
      <c r="D678" t="s">
        <v>210</v>
      </c>
      <c r="E678" t="s">
        <v>52</v>
      </c>
      <c r="F678" t="s">
        <v>59</v>
      </c>
      <c r="G678" t="s">
        <v>222</v>
      </c>
      <c r="H678" t="s">
        <v>231</v>
      </c>
      <c r="I678" s="2">
        <v>45292</v>
      </c>
    </row>
    <row r="679" spans="1:9" x14ac:dyDescent="0.3">
      <c r="A679" t="s">
        <v>1566</v>
      </c>
      <c r="B679" t="s">
        <v>1567</v>
      </c>
      <c r="C679" t="s">
        <v>80</v>
      </c>
      <c r="D679" t="s">
        <v>210</v>
      </c>
      <c r="E679" t="s">
        <v>52</v>
      </c>
      <c r="F679" t="s">
        <v>59</v>
      </c>
      <c r="G679" t="s">
        <v>222</v>
      </c>
      <c r="H679" t="s">
        <v>231</v>
      </c>
      <c r="I679" s="2">
        <v>45292</v>
      </c>
    </row>
    <row r="680" spans="1:9" x14ac:dyDescent="0.3">
      <c r="A680" t="s">
        <v>1568</v>
      </c>
      <c r="B680" t="s">
        <v>1569</v>
      </c>
      <c r="C680" t="s">
        <v>76</v>
      </c>
      <c r="D680" t="s">
        <v>57</v>
      </c>
      <c r="E680" t="s">
        <v>58</v>
      </c>
      <c r="F680" t="s">
        <v>59</v>
      </c>
      <c r="G680" t="s">
        <v>222</v>
      </c>
      <c r="H680" t="s">
        <v>231</v>
      </c>
      <c r="I680" s="2">
        <v>45292</v>
      </c>
    </row>
    <row r="681" spans="1:9" x14ac:dyDescent="0.3">
      <c r="A681" t="s">
        <v>1570</v>
      </c>
      <c r="B681" t="s">
        <v>1571</v>
      </c>
      <c r="C681" t="s">
        <v>80</v>
      </c>
      <c r="D681" t="s">
        <v>45</v>
      </c>
      <c r="E681" t="s">
        <v>46</v>
      </c>
      <c r="F681" t="s">
        <v>47</v>
      </c>
      <c r="G681" t="s">
        <v>206</v>
      </c>
      <c r="H681" t="s">
        <v>212</v>
      </c>
      <c r="I681" s="2">
        <v>45292</v>
      </c>
    </row>
    <row r="682" spans="1:9" x14ac:dyDescent="0.3">
      <c r="A682" t="s">
        <v>1572</v>
      </c>
      <c r="B682" t="s">
        <v>1573</v>
      </c>
      <c r="C682" t="s">
        <v>76</v>
      </c>
      <c r="D682" t="s">
        <v>210</v>
      </c>
      <c r="E682" t="s">
        <v>52</v>
      </c>
      <c r="F682" t="s">
        <v>59</v>
      </c>
      <c r="G682" t="s">
        <v>206</v>
      </c>
      <c r="H682" t="s">
        <v>231</v>
      </c>
      <c r="I682" s="2">
        <v>45292</v>
      </c>
    </row>
    <row r="683" spans="1:9" x14ac:dyDescent="0.3">
      <c r="A683" t="s">
        <v>1574</v>
      </c>
      <c r="B683" t="s">
        <v>1575</v>
      </c>
      <c r="C683" t="s">
        <v>76</v>
      </c>
      <c r="D683" t="s">
        <v>62</v>
      </c>
      <c r="E683" t="s">
        <v>63</v>
      </c>
      <c r="F683" t="s">
        <v>64</v>
      </c>
      <c r="G683" t="s">
        <v>211</v>
      </c>
      <c r="H683" t="s">
        <v>219</v>
      </c>
      <c r="I683" s="2">
        <v>45292</v>
      </c>
    </row>
    <row r="684" spans="1:9" x14ac:dyDescent="0.3">
      <c r="A684" t="s">
        <v>1576</v>
      </c>
      <c r="B684" t="s">
        <v>1577</v>
      </c>
      <c r="C684" t="s">
        <v>76</v>
      </c>
      <c r="D684" t="s">
        <v>62</v>
      </c>
      <c r="E684" t="s">
        <v>63</v>
      </c>
      <c r="F684" t="s">
        <v>64</v>
      </c>
      <c r="G684" t="s">
        <v>206</v>
      </c>
      <c r="H684" t="s">
        <v>207</v>
      </c>
      <c r="I684" s="2">
        <v>45292</v>
      </c>
    </row>
    <row r="685" spans="1:9" x14ac:dyDescent="0.3">
      <c r="A685" t="s">
        <v>1578</v>
      </c>
      <c r="B685" t="s">
        <v>1579</v>
      </c>
      <c r="C685" t="s">
        <v>76</v>
      </c>
      <c r="D685" t="s">
        <v>62</v>
      </c>
      <c r="E685" t="s">
        <v>63</v>
      </c>
      <c r="F685" t="s">
        <v>64</v>
      </c>
      <c r="G685" t="s">
        <v>206</v>
      </c>
      <c r="H685" t="s">
        <v>231</v>
      </c>
      <c r="I685" s="2">
        <v>45292</v>
      </c>
    </row>
    <row r="686" spans="1:9" x14ac:dyDescent="0.3">
      <c r="A686" t="s">
        <v>1580</v>
      </c>
      <c r="B686" t="s">
        <v>1581</v>
      </c>
      <c r="C686" t="s">
        <v>80</v>
      </c>
      <c r="D686" t="s">
        <v>210</v>
      </c>
      <c r="E686" t="s">
        <v>52</v>
      </c>
      <c r="F686" t="s">
        <v>59</v>
      </c>
      <c r="G686" t="s">
        <v>206</v>
      </c>
      <c r="H686" t="s">
        <v>219</v>
      </c>
      <c r="I686" s="2">
        <v>45292</v>
      </c>
    </row>
    <row r="687" spans="1:9" x14ac:dyDescent="0.3">
      <c r="A687" t="s">
        <v>1582</v>
      </c>
      <c r="B687" t="s">
        <v>1583</v>
      </c>
      <c r="C687" t="s">
        <v>76</v>
      </c>
      <c r="D687" t="s">
        <v>210</v>
      </c>
      <c r="E687" t="s">
        <v>52</v>
      </c>
      <c r="F687" t="s">
        <v>59</v>
      </c>
      <c r="G687" t="s">
        <v>211</v>
      </c>
      <c r="H687" t="s">
        <v>207</v>
      </c>
      <c r="I687" s="2">
        <v>45292</v>
      </c>
    </row>
    <row r="688" spans="1:9" x14ac:dyDescent="0.3">
      <c r="A688" t="s">
        <v>1584</v>
      </c>
      <c r="B688" t="s">
        <v>1585</v>
      </c>
      <c r="C688" t="s">
        <v>76</v>
      </c>
      <c r="D688" t="s">
        <v>210</v>
      </c>
      <c r="E688" t="s">
        <v>52</v>
      </c>
      <c r="F688" t="s">
        <v>59</v>
      </c>
      <c r="G688" t="s">
        <v>222</v>
      </c>
      <c r="H688" t="s">
        <v>207</v>
      </c>
      <c r="I688" s="2">
        <v>45292</v>
      </c>
    </row>
    <row r="689" spans="1:9" x14ac:dyDescent="0.3">
      <c r="A689" t="s">
        <v>1586</v>
      </c>
      <c r="B689" t="s">
        <v>1587</v>
      </c>
      <c r="C689" t="s">
        <v>76</v>
      </c>
      <c r="D689" t="s">
        <v>210</v>
      </c>
      <c r="E689" t="s">
        <v>52</v>
      </c>
      <c r="F689" t="s">
        <v>59</v>
      </c>
      <c r="G689" t="s">
        <v>211</v>
      </c>
      <c r="H689" t="s">
        <v>212</v>
      </c>
      <c r="I689" s="2">
        <v>45292</v>
      </c>
    </row>
    <row r="690" spans="1:9" x14ac:dyDescent="0.3">
      <c r="A690" t="s">
        <v>1588</v>
      </c>
      <c r="B690" t="s">
        <v>1589</v>
      </c>
      <c r="C690" t="s">
        <v>76</v>
      </c>
      <c r="D690" t="s">
        <v>62</v>
      </c>
      <c r="E690" t="s">
        <v>63</v>
      </c>
      <c r="F690" t="s">
        <v>64</v>
      </c>
      <c r="G690" t="s">
        <v>206</v>
      </c>
      <c r="H690" t="s">
        <v>207</v>
      </c>
      <c r="I690" s="2">
        <v>45292</v>
      </c>
    </row>
    <row r="691" spans="1:9" x14ac:dyDescent="0.3">
      <c r="A691" t="s">
        <v>1590</v>
      </c>
      <c r="B691" t="s">
        <v>1591</v>
      </c>
      <c r="C691" t="s">
        <v>84</v>
      </c>
      <c r="D691" t="s">
        <v>62</v>
      </c>
      <c r="E691" t="s">
        <v>63</v>
      </c>
      <c r="F691" t="s">
        <v>64</v>
      </c>
      <c r="G691" t="s">
        <v>206</v>
      </c>
      <c r="H691" t="s">
        <v>231</v>
      </c>
      <c r="I691" s="2">
        <v>45292</v>
      </c>
    </row>
    <row r="692" spans="1:9" x14ac:dyDescent="0.3">
      <c r="A692" t="s">
        <v>1592</v>
      </c>
      <c r="B692" t="s">
        <v>1593</v>
      </c>
      <c r="C692" t="s">
        <v>71</v>
      </c>
      <c r="D692" t="s">
        <v>57</v>
      </c>
      <c r="E692" t="s">
        <v>58</v>
      </c>
      <c r="F692" t="s">
        <v>59</v>
      </c>
      <c r="G692" t="s">
        <v>206</v>
      </c>
      <c r="H692" t="s">
        <v>212</v>
      </c>
      <c r="I692" s="2">
        <v>45292</v>
      </c>
    </row>
    <row r="693" spans="1:9" x14ac:dyDescent="0.3">
      <c r="A693" t="s">
        <v>1594</v>
      </c>
      <c r="B693" t="s">
        <v>1595</v>
      </c>
      <c r="C693" t="s">
        <v>76</v>
      </c>
      <c r="D693" t="s">
        <v>62</v>
      </c>
      <c r="E693" t="s">
        <v>63</v>
      </c>
      <c r="F693" t="s">
        <v>64</v>
      </c>
      <c r="G693" t="s">
        <v>222</v>
      </c>
      <c r="H693" t="s">
        <v>231</v>
      </c>
      <c r="I693" s="2">
        <v>45292</v>
      </c>
    </row>
    <row r="694" spans="1:9" x14ac:dyDescent="0.3">
      <c r="A694" t="s">
        <v>1596</v>
      </c>
      <c r="B694" t="s">
        <v>1597</v>
      </c>
      <c r="C694" t="s">
        <v>76</v>
      </c>
      <c r="D694" t="s">
        <v>62</v>
      </c>
      <c r="E694" t="s">
        <v>63</v>
      </c>
      <c r="F694" t="s">
        <v>64</v>
      </c>
      <c r="G694" t="s">
        <v>206</v>
      </c>
      <c r="H694" t="s">
        <v>231</v>
      </c>
      <c r="I694" s="2">
        <v>45292</v>
      </c>
    </row>
    <row r="695" spans="1:9" x14ac:dyDescent="0.3">
      <c r="A695" t="s">
        <v>1598</v>
      </c>
      <c r="B695" t="s">
        <v>1599</v>
      </c>
      <c r="C695" t="s">
        <v>71</v>
      </c>
      <c r="D695" t="s">
        <v>57</v>
      </c>
      <c r="E695" t="s">
        <v>58</v>
      </c>
      <c r="F695" t="s">
        <v>59</v>
      </c>
      <c r="G695" t="s">
        <v>211</v>
      </c>
      <c r="H695" t="s">
        <v>212</v>
      </c>
      <c r="I695" s="2">
        <v>45292</v>
      </c>
    </row>
    <row r="696" spans="1:9" x14ac:dyDescent="0.3">
      <c r="A696" t="s">
        <v>1600</v>
      </c>
      <c r="B696" t="s">
        <v>1601</v>
      </c>
      <c r="C696" t="s">
        <v>76</v>
      </c>
      <c r="D696" t="s">
        <v>62</v>
      </c>
      <c r="E696" t="s">
        <v>63</v>
      </c>
      <c r="F696" t="s">
        <v>64</v>
      </c>
      <c r="G696" t="s">
        <v>206</v>
      </c>
      <c r="H696" t="s">
        <v>219</v>
      </c>
      <c r="I696" s="2">
        <v>45292</v>
      </c>
    </row>
    <row r="697" spans="1:9" x14ac:dyDescent="0.3">
      <c r="A697" t="s">
        <v>1602</v>
      </c>
      <c r="B697" t="s">
        <v>1603</v>
      </c>
      <c r="C697" t="s">
        <v>71</v>
      </c>
      <c r="D697" t="s">
        <v>62</v>
      </c>
      <c r="E697" t="s">
        <v>63</v>
      </c>
      <c r="F697" t="s">
        <v>64</v>
      </c>
      <c r="G697" t="s">
        <v>211</v>
      </c>
      <c r="H697" t="s">
        <v>219</v>
      </c>
      <c r="I697" s="2">
        <v>45292</v>
      </c>
    </row>
    <row r="698" spans="1:9" x14ac:dyDescent="0.3">
      <c r="A698" t="s">
        <v>1604</v>
      </c>
      <c r="B698" t="s">
        <v>1605</v>
      </c>
      <c r="C698" t="s">
        <v>84</v>
      </c>
      <c r="D698" t="s">
        <v>45</v>
      </c>
      <c r="E698" t="s">
        <v>46</v>
      </c>
      <c r="F698" t="s">
        <v>47</v>
      </c>
      <c r="G698" t="s">
        <v>222</v>
      </c>
      <c r="H698" t="s">
        <v>207</v>
      </c>
      <c r="I698" s="2">
        <v>45292</v>
      </c>
    </row>
    <row r="699" spans="1:9" x14ac:dyDescent="0.3">
      <c r="A699" t="s">
        <v>1606</v>
      </c>
      <c r="B699" t="s">
        <v>1607</v>
      </c>
      <c r="C699" t="s">
        <v>76</v>
      </c>
      <c r="D699" t="s">
        <v>45</v>
      </c>
      <c r="E699" t="s">
        <v>46</v>
      </c>
      <c r="F699" t="s">
        <v>47</v>
      </c>
      <c r="G699" t="s">
        <v>206</v>
      </c>
      <c r="H699" t="s">
        <v>219</v>
      </c>
      <c r="I699" s="2">
        <v>45292</v>
      </c>
    </row>
    <row r="700" spans="1:9" x14ac:dyDescent="0.3">
      <c r="A700" t="s">
        <v>1608</v>
      </c>
      <c r="B700" t="s">
        <v>1609</v>
      </c>
      <c r="C700" t="s">
        <v>76</v>
      </c>
      <c r="D700" t="s">
        <v>51</v>
      </c>
      <c r="E700" t="s">
        <v>52</v>
      </c>
      <c r="F700" t="s">
        <v>53</v>
      </c>
      <c r="G700" t="s">
        <v>206</v>
      </c>
      <c r="H700" t="s">
        <v>207</v>
      </c>
      <c r="I700" s="2">
        <v>45292</v>
      </c>
    </row>
    <row r="701" spans="1:9" x14ac:dyDescent="0.3">
      <c r="A701" t="s">
        <v>1610</v>
      </c>
      <c r="B701" t="s">
        <v>1611</v>
      </c>
      <c r="C701" t="s">
        <v>76</v>
      </c>
      <c r="D701" t="s">
        <v>210</v>
      </c>
      <c r="E701" t="s">
        <v>52</v>
      </c>
      <c r="F701" t="s">
        <v>59</v>
      </c>
      <c r="G701" t="s">
        <v>222</v>
      </c>
      <c r="H701" t="s">
        <v>207</v>
      </c>
      <c r="I701" s="2">
        <v>45292</v>
      </c>
    </row>
    <row r="702" spans="1:9" x14ac:dyDescent="0.3">
      <c r="A702" t="s">
        <v>1612</v>
      </c>
      <c r="B702" t="s">
        <v>1613</v>
      </c>
      <c r="C702" t="s">
        <v>84</v>
      </c>
      <c r="D702" t="s">
        <v>51</v>
      </c>
      <c r="E702" t="s">
        <v>52</v>
      </c>
      <c r="F702" t="s">
        <v>53</v>
      </c>
      <c r="G702" t="s">
        <v>222</v>
      </c>
      <c r="H702" t="s">
        <v>219</v>
      </c>
      <c r="I702" s="2">
        <v>45292</v>
      </c>
    </row>
    <row r="703" spans="1:9" x14ac:dyDescent="0.3">
      <c r="A703" t="s">
        <v>1614</v>
      </c>
      <c r="B703" t="s">
        <v>1615</v>
      </c>
      <c r="C703" t="s">
        <v>71</v>
      </c>
      <c r="D703" t="s">
        <v>45</v>
      </c>
      <c r="E703" t="s">
        <v>46</v>
      </c>
      <c r="F703" t="s">
        <v>47</v>
      </c>
      <c r="G703" t="s">
        <v>222</v>
      </c>
      <c r="H703" t="s">
        <v>231</v>
      </c>
      <c r="I703" s="2">
        <v>45292</v>
      </c>
    </row>
    <row r="704" spans="1:9" x14ac:dyDescent="0.3">
      <c r="A704" t="s">
        <v>1616</v>
      </c>
      <c r="B704" t="s">
        <v>1617</v>
      </c>
      <c r="C704" t="s">
        <v>76</v>
      </c>
      <c r="D704" t="s">
        <v>210</v>
      </c>
      <c r="E704" t="s">
        <v>52</v>
      </c>
      <c r="F704" t="s">
        <v>59</v>
      </c>
      <c r="G704" t="s">
        <v>211</v>
      </c>
      <c r="H704" t="s">
        <v>207</v>
      </c>
      <c r="I704" s="2">
        <v>45292</v>
      </c>
    </row>
    <row r="705" spans="1:9" x14ac:dyDescent="0.3">
      <c r="A705" t="s">
        <v>1618</v>
      </c>
      <c r="B705" t="s">
        <v>1619</v>
      </c>
      <c r="C705" t="s">
        <v>76</v>
      </c>
      <c r="D705" t="s">
        <v>57</v>
      </c>
      <c r="E705" t="s">
        <v>58</v>
      </c>
      <c r="F705" t="s">
        <v>59</v>
      </c>
      <c r="G705" t="s">
        <v>211</v>
      </c>
      <c r="H705" t="s">
        <v>219</v>
      </c>
      <c r="I705" s="2">
        <v>45292</v>
      </c>
    </row>
    <row r="706" spans="1:9" x14ac:dyDescent="0.3">
      <c r="A706" t="s">
        <v>1620</v>
      </c>
      <c r="B706" t="s">
        <v>1621</v>
      </c>
      <c r="C706" t="s">
        <v>76</v>
      </c>
      <c r="D706" t="s">
        <v>210</v>
      </c>
      <c r="E706" t="s">
        <v>52</v>
      </c>
      <c r="F706" t="s">
        <v>59</v>
      </c>
      <c r="G706" t="s">
        <v>222</v>
      </c>
      <c r="H706" t="s">
        <v>219</v>
      </c>
      <c r="I706" s="2">
        <v>45292</v>
      </c>
    </row>
    <row r="707" spans="1:9" x14ac:dyDescent="0.3">
      <c r="A707" t="s">
        <v>1622</v>
      </c>
      <c r="B707" t="s">
        <v>1623</v>
      </c>
      <c r="C707" t="s">
        <v>76</v>
      </c>
      <c r="D707" t="s">
        <v>62</v>
      </c>
      <c r="E707" t="s">
        <v>63</v>
      </c>
      <c r="F707" t="s">
        <v>64</v>
      </c>
      <c r="G707" t="s">
        <v>222</v>
      </c>
      <c r="H707" t="s">
        <v>212</v>
      </c>
      <c r="I707" s="2">
        <v>45292</v>
      </c>
    </row>
    <row r="708" spans="1:9" x14ac:dyDescent="0.3">
      <c r="A708" t="s">
        <v>1624</v>
      </c>
      <c r="B708" t="s">
        <v>1625</v>
      </c>
      <c r="C708" t="s">
        <v>76</v>
      </c>
      <c r="D708" t="s">
        <v>51</v>
      </c>
      <c r="E708" t="s">
        <v>52</v>
      </c>
      <c r="F708" t="s">
        <v>53</v>
      </c>
      <c r="G708" t="s">
        <v>206</v>
      </c>
      <c r="H708" t="s">
        <v>219</v>
      </c>
      <c r="I708" s="2">
        <v>45292</v>
      </c>
    </row>
    <row r="709" spans="1:9" x14ac:dyDescent="0.3">
      <c r="A709" t="s">
        <v>1626</v>
      </c>
      <c r="B709" t="s">
        <v>1627</v>
      </c>
      <c r="C709" t="s">
        <v>76</v>
      </c>
      <c r="D709" t="s">
        <v>51</v>
      </c>
      <c r="E709" t="s">
        <v>52</v>
      </c>
      <c r="F709" t="s">
        <v>53</v>
      </c>
      <c r="G709" t="s">
        <v>222</v>
      </c>
      <c r="H709" t="s">
        <v>231</v>
      </c>
      <c r="I709" s="2">
        <v>45292</v>
      </c>
    </row>
    <row r="710" spans="1:9" x14ac:dyDescent="0.3">
      <c r="A710" t="s">
        <v>1628</v>
      </c>
      <c r="B710" t="s">
        <v>1629</v>
      </c>
      <c r="C710" t="s">
        <v>80</v>
      </c>
      <c r="D710" t="s">
        <v>210</v>
      </c>
      <c r="E710" t="s">
        <v>52</v>
      </c>
      <c r="F710" t="s">
        <v>59</v>
      </c>
      <c r="G710" t="s">
        <v>206</v>
      </c>
      <c r="H710" t="s">
        <v>207</v>
      </c>
      <c r="I710" s="2">
        <v>45292</v>
      </c>
    </row>
    <row r="711" spans="1:9" x14ac:dyDescent="0.3">
      <c r="A711" t="s">
        <v>1630</v>
      </c>
      <c r="B711" t="s">
        <v>1631</v>
      </c>
      <c r="C711" t="s">
        <v>76</v>
      </c>
      <c r="D711" t="s">
        <v>62</v>
      </c>
      <c r="E711" t="s">
        <v>63</v>
      </c>
      <c r="F711" t="s">
        <v>64</v>
      </c>
      <c r="G711" t="s">
        <v>222</v>
      </c>
      <c r="H711" t="s">
        <v>212</v>
      </c>
      <c r="I711" s="2">
        <v>45292</v>
      </c>
    </row>
    <row r="712" spans="1:9" x14ac:dyDescent="0.3">
      <c r="A712" t="s">
        <v>1632</v>
      </c>
      <c r="B712" t="s">
        <v>1633</v>
      </c>
      <c r="C712" t="s">
        <v>71</v>
      </c>
      <c r="D712" t="s">
        <v>210</v>
      </c>
      <c r="E712" t="s">
        <v>52</v>
      </c>
      <c r="F712" t="s">
        <v>59</v>
      </c>
      <c r="G712" t="s">
        <v>211</v>
      </c>
      <c r="H712" t="s">
        <v>231</v>
      </c>
      <c r="I712" s="2">
        <v>45292</v>
      </c>
    </row>
    <row r="713" spans="1:9" x14ac:dyDescent="0.3">
      <c r="A713" t="s">
        <v>1634</v>
      </c>
      <c r="B713" t="s">
        <v>1635</v>
      </c>
      <c r="C713" t="s">
        <v>76</v>
      </c>
      <c r="D713" t="s">
        <v>210</v>
      </c>
      <c r="E713" t="s">
        <v>52</v>
      </c>
      <c r="F713" t="s">
        <v>59</v>
      </c>
      <c r="G713" t="s">
        <v>211</v>
      </c>
      <c r="H713" t="s">
        <v>231</v>
      </c>
      <c r="I713" s="2">
        <v>45292</v>
      </c>
    </row>
    <row r="714" spans="1:9" x14ac:dyDescent="0.3">
      <c r="A714" t="s">
        <v>1636</v>
      </c>
      <c r="B714" t="s">
        <v>1637</v>
      </c>
      <c r="C714" t="s">
        <v>76</v>
      </c>
      <c r="D714" t="s">
        <v>210</v>
      </c>
      <c r="E714" t="s">
        <v>52</v>
      </c>
      <c r="F714" t="s">
        <v>59</v>
      </c>
      <c r="G714" t="s">
        <v>211</v>
      </c>
      <c r="H714" t="s">
        <v>207</v>
      </c>
      <c r="I714" s="2">
        <v>45292</v>
      </c>
    </row>
    <row r="715" spans="1:9" x14ac:dyDescent="0.3">
      <c r="A715" t="s">
        <v>1638</v>
      </c>
      <c r="B715" t="s">
        <v>1639</v>
      </c>
      <c r="C715" t="s">
        <v>80</v>
      </c>
      <c r="D715" t="s">
        <v>57</v>
      </c>
      <c r="E715" t="s">
        <v>58</v>
      </c>
      <c r="F715" t="s">
        <v>59</v>
      </c>
      <c r="G715" t="s">
        <v>211</v>
      </c>
      <c r="H715" t="s">
        <v>207</v>
      </c>
      <c r="I715" s="2">
        <v>45292</v>
      </c>
    </row>
    <row r="716" spans="1:9" x14ac:dyDescent="0.3">
      <c r="A716" t="s">
        <v>1640</v>
      </c>
      <c r="B716" t="s">
        <v>1641</v>
      </c>
      <c r="C716" t="s">
        <v>76</v>
      </c>
      <c r="D716" t="s">
        <v>57</v>
      </c>
      <c r="E716" t="s">
        <v>58</v>
      </c>
      <c r="F716" t="s">
        <v>59</v>
      </c>
      <c r="G716" t="s">
        <v>222</v>
      </c>
      <c r="H716" t="s">
        <v>231</v>
      </c>
      <c r="I716" s="2">
        <v>45292</v>
      </c>
    </row>
    <row r="717" spans="1:9" x14ac:dyDescent="0.3">
      <c r="A717" t="s">
        <v>1642</v>
      </c>
      <c r="B717" t="s">
        <v>1643</v>
      </c>
      <c r="C717" t="s">
        <v>80</v>
      </c>
      <c r="D717" t="s">
        <v>62</v>
      </c>
      <c r="E717" t="s">
        <v>63</v>
      </c>
      <c r="F717" t="s">
        <v>64</v>
      </c>
      <c r="G717" t="s">
        <v>206</v>
      </c>
      <c r="H717" t="s">
        <v>207</v>
      </c>
      <c r="I717" s="2">
        <v>45292</v>
      </c>
    </row>
    <row r="718" spans="1:9" x14ac:dyDescent="0.3">
      <c r="A718" t="s">
        <v>1644</v>
      </c>
      <c r="B718" t="s">
        <v>1645</v>
      </c>
      <c r="C718" t="s">
        <v>71</v>
      </c>
      <c r="D718" t="s">
        <v>45</v>
      </c>
      <c r="E718" t="s">
        <v>46</v>
      </c>
      <c r="F718" t="s">
        <v>47</v>
      </c>
      <c r="G718" t="s">
        <v>211</v>
      </c>
      <c r="H718" t="s">
        <v>212</v>
      </c>
      <c r="I718" s="2">
        <v>45292</v>
      </c>
    </row>
    <row r="719" spans="1:9" x14ac:dyDescent="0.3">
      <c r="A719" t="s">
        <v>1646</v>
      </c>
      <c r="B719" t="s">
        <v>1647</v>
      </c>
      <c r="C719" t="s">
        <v>76</v>
      </c>
      <c r="D719" t="s">
        <v>62</v>
      </c>
      <c r="E719" t="s">
        <v>63</v>
      </c>
      <c r="F719" t="s">
        <v>64</v>
      </c>
      <c r="G719" t="s">
        <v>206</v>
      </c>
      <c r="H719" t="s">
        <v>219</v>
      </c>
      <c r="I719" s="2">
        <v>45292</v>
      </c>
    </row>
    <row r="720" spans="1:9" x14ac:dyDescent="0.3">
      <c r="A720" t="s">
        <v>1648</v>
      </c>
      <c r="B720" t="s">
        <v>1649</v>
      </c>
      <c r="C720" t="s">
        <v>84</v>
      </c>
      <c r="D720" t="s">
        <v>57</v>
      </c>
      <c r="E720" t="s">
        <v>58</v>
      </c>
      <c r="F720" t="s">
        <v>59</v>
      </c>
      <c r="G720" t="s">
        <v>222</v>
      </c>
      <c r="H720" t="s">
        <v>231</v>
      </c>
      <c r="I720" s="2">
        <v>45292</v>
      </c>
    </row>
    <row r="721" spans="1:9" x14ac:dyDescent="0.3">
      <c r="A721" t="s">
        <v>1650</v>
      </c>
      <c r="B721" t="s">
        <v>1651</v>
      </c>
      <c r="C721" t="s">
        <v>80</v>
      </c>
      <c r="D721" t="s">
        <v>45</v>
      </c>
      <c r="E721" t="s">
        <v>46</v>
      </c>
      <c r="F721" t="s">
        <v>47</v>
      </c>
      <c r="G721" t="s">
        <v>211</v>
      </c>
      <c r="H721" t="s">
        <v>212</v>
      </c>
      <c r="I721" s="2">
        <v>45292</v>
      </c>
    </row>
    <row r="722" spans="1:9" x14ac:dyDescent="0.3">
      <c r="A722" t="s">
        <v>1652</v>
      </c>
      <c r="B722" t="s">
        <v>1653</v>
      </c>
      <c r="C722" t="s">
        <v>80</v>
      </c>
      <c r="D722" t="s">
        <v>210</v>
      </c>
      <c r="E722" t="s">
        <v>52</v>
      </c>
      <c r="F722" t="s">
        <v>59</v>
      </c>
      <c r="G722" t="s">
        <v>222</v>
      </c>
      <c r="H722" t="s">
        <v>219</v>
      </c>
      <c r="I722" s="2">
        <v>45292</v>
      </c>
    </row>
    <row r="723" spans="1:9" x14ac:dyDescent="0.3">
      <c r="A723" t="s">
        <v>1654</v>
      </c>
      <c r="B723" t="s">
        <v>1655</v>
      </c>
      <c r="C723" t="s">
        <v>80</v>
      </c>
      <c r="D723" t="s">
        <v>45</v>
      </c>
      <c r="E723" t="s">
        <v>46</v>
      </c>
      <c r="F723" t="s">
        <v>47</v>
      </c>
      <c r="G723" t="s">
        <v>211</v>
      </c>
      <c r="H723" t="s">
        <v>231</v>
      </c>
      <c r="I723" s="2">
        <v>45292</v>
      </c>
    </row>
    <row r="724" spans="1:9" x14ac:dyDescent="0.3">
      <c r="A724" t="s">
        <v>1656</v>
      </c>
      <c r="B724" t="s">
        <v>1657</v>
      </c>
      <c r="C724" t="s">
        <v>71</v>
      </c>
      <c r="D724" t="s">
        <v>62</v>
      </c>
      <c r="E724" t="s">
        <v>63</v>
      </c>
      <c r="F724" t="s">
        <v>64</v>
      </c>
      <c r="G724" t="s">
        <v>206</v>
      </c>
      <c r="H724" t="s">
        <v>219</v>
      </c>
      <c r="I724" s="2">
        <v>45292</v>
      </c>
    </row>
    <row r="725" spans="1:9" x14ac:dyDescent="0.3">
      <c r="A725" t="s">
        <v>1658</v>
      </c>
      <c r="B725" t="s">
        <v>1659</v>
      </c>
      <c r="C725" t="s">
        <v>76</v>
      </c>
      <c r="D725" t="s">
        <v>210</v>
      </c>
      <c r="E725" t="s">
        <v>52</v>
      </c>
      <c r="F725" t="s">
        <v>59</v>
      </c>
      <c r="G725" t="s">
        <v>206</v>
      </c>
      <c r="H725" t="s">
        <v>231</v>
      </c>
      <c r="I725" s="2">
        <v>45292</v>
      </c>
    </row>
    <row r="726" spans="1:9" x14ac:dyDescent="0.3">
      <c r="A726" t="s">
        <v>1660</v>
      </c>
      <c r="B726" t="s">
        <v>1661</v>
      </c>
      <c r="C726" t="s">
        <v>84</v>
      </c>
      <c r="D726" t="s">
        <v>210</v>
      </c>
      <c r="E726" t="s">
        <v>52</v>
      </c>
      <c r="F726" t="s">
        <v>59</v>
      </c>
      <c r="G726" t="s">
        <v>222</v>
      </c>
      <c r="H726" t="s">
        <v>219</v>
      </c>
      <c r="I726" s="2">
        <v>45292</v>
      </c>
    </row>
    <row r="727" spans="1:9" x14ac:dyDescent="0.3">
      <c r="A727" t="s">
        <v>1662</v>
      </c>
      <c r="B727" t="s">
        <v>1663</v>
      </c>
      <c r="C727" t="s">
        <v>80</v>
      </c>
      <c r="D727" t="s">
        <v>45</v>
      </c>
      <c r="E727" t="s">
        <v>46</v>
      </c>
      <c r="F727" t="s">
        <v>47</v>
      </c>
      <c r="G727" t="s">
        <v>222</v>
      </c>
      <c r="H727" t="s">
        <v>219</v>
      </c>
      <c r="I727" s="2">
        <v>45292</v>
      </c>
    </row>
    <row r="728" spans="1:9" x14ac:dyDescent="0.3">
      <c r="A728" t="s">
        <v>1664</v>
      </c>
      <c r="B728" t="s">
        <v>1665</v>
      </c>
      <c r="C728" t="s">
        <v>76</v>
      </c>
      <c r="D728" t="s">
        <v>62</v>
      </c>
      <c r="E728" t="s">
        <v>63</v>
      </c>
      <c r="F728" t="s">
        <v>64</v>
      </c>
      <c r="G728" t="s">
        <v>222</v>
      </c>
      <c r="H728" t="s">
        <v>207</v>
      </c>
      <c r="I728" s="2">
        <v>45292</v>
      </c>
    </row>
    <row r="729" spans="1:9" x14ac:dyDescent="0.3">
      <c r="A729" t="s">
        <v>1666</v>
      </c>
      <c r="B729" t="s">
        <v>1667</v>
      </c>
      <c r="C729" t="s">
        <v>76</v>
      </c>
      <c r="D729" t="s">
        <v>51</v>
      </c>
      <c r="E729" t="s">
        <v>52</v>
      </c>
      <c r="F729" t="s">
        <v>53</v>
      </c>
      <c r="G729" t="s">
        <v>211</v>
      </c>
      <c r="H729" t="s">
        <v>212</v>
      </c>
      <c r="I729" s="2">
        <v>45292</v>
      </c>
    </row>
    <row r="730" spans="1:9" x14ac:dyDescent="0.3">
      <c r="A730" t="s">
        <v>1668</v>
      </c>
      <c r="B730" t="s">
        <v>1669</v>
      </c>
      <c r="C730" t="s">
        <v>84</v>
      </c>
      <c r="D730" t="s">
        <v>62</v>
      </c>
      <c r="E730" t="s">
        <v>63</v>
      </c>
      <c r="F730" t="s">
        <v>64</v>
      </c>
      <c r="G730" t="s">
        <v>222</v>
      </c>
      <c r="H730" t="s">
        <v>212</v>
      </c>
      <c r="I730" s="2">
        <v>45292</v>
      </c>
    </row>
    <row r="731" spans="1:9" x14ac:dyDescent="0.3">
      <c r="A731" t="s">
        <v>1670</v>
      </c>
      <c r="B731" t="s">
        <v>1671</v>
      </c>
      <c r="C731" t="s">
        <v>76</v>
      </c>
      <c r="D731" t="s">
        <v>210</v>
      </c>
      <c r="E731" t="s">
        <v>52</v>
      </c>
      <c r="F731" t="s">
        <v>59</v>
      </c>
      <c r="G731" t="s">
        <v>211</v>
      </c>
      <c r="H731" t="s">
        <v>212</v>
      </c>
      <c r="I731" s="2">
        <v>45292</v>
      </c>
    </row>
    <row r="732" spans="1:9" x14ac:dyDescent="0.3">
      <c r="A732" t="s">
        <v>1672</v>
      </c>
      <c r="B732" t="s">
        <v>1673</v>
      </c>
      <c r="C732" t="s">
        <v>71</v>
      </c>
      <c r="D732" t="s">
        <v>62</v>
      </c>
      <c r="E732" t="s">
        <v>63</v>
      </c>
      <c r="F732" t="s">
        <v>64</v>
      </c>
      <c r="G732" t="s">
        <v>211</v>
      </c>
      <c r="H732" t="s">
        <v>207</v>
      </c>
      <c r="I732" s="2">
        <v>45292</v>
      </c>
    </row>
    <row r="733" spans="1:9" x14ac:dyDescent="0.3">
      <c r="A733" t="s">
        <v>1674</v>
      </c>
      <c r="B733" t="s">
        <v>1675</v>
      </c>
      <c r="C733" t="s">
        <v>76</v>
      </c>
      <c r="D733" t="s">
        <v>51</v>
      </c>
      <c r="E733" t="s">
        <v>52</v>
      </c>
      <c r="F733" t="s">
        <v>53</v>
      </c>
      <c r="G733" t="s">
        <v>211</v>
      </c>
      <c r="H733" t="s">
        <v>219</v>
      </c>
      <c r="I733" s="2">
        <v>45292</v>
      </c>
    </row>
    <row r="734" spans="1:9" x14ac:dyDescent="0.3">
      <c r="A734" t="s">
        <v>1676</v>
      </c>
      <c r="B734" t="s">
        <v>1677</v>
      </c>
      <c r="C734" t="s">
        <v>76</v>
      </c>
      <c r="D734" t="s">
        <v>62</v>
      </c>
      <c r="E734" t="s">
        <v>63</v>
      </c>
      <c r="F734" t="s">
        <v>64</v>
      </c>
      <c r="G734" t="s">
        <v>222</v>
      </c>
      <c r="H734" t="s">
        <v>231</v>
      </c>
      <c r="I734" s="2">
        <v>45292</v>
      </c>
    </row>
    <row r="735" spans="1:9" x14ac:dyDescent="0.3">
      <c r="A735" t="s">
        <v>1678</v>
      </c>
      <c r="B735" t="s">
        <v>1679</v>
      </c>
      <c r="C735" t="s">
        <v>76</v>
      </c>
      <c r="D735" t="s">
        <v>51</v>
      </c>
      <c r="E735" t="s">
        <v>52</v>
      </c>
      <c r="F735" t="s">
        <v>53</v>
      </c>
      <c r="G735" t="s">
        <v>206</v>
      </c>
      <c r="H735" t="s">
        <v>212</v>
      </c>
      <c r="I735" s="2">
        <v>45292</v>
      </c>
    </row>
    <row r="736" spans="1:9" x14ac:dyDescent="0.3">
      <c r="A736" t="s">
        <v>1680</v>
      </c>
      <c r="B736" t="s">
        <v>1681</v>
      </c>
      <c r="C736" t="s">
        <v>76</v>
      </c>
      <c r="D736" t="s">
        <v>45</v>
      </c>
      <c r="E736" t="s">
        <v>46</v>
      </c>
      <c r="F736" t="s">
        <v>47</v>
      </c>
      <c r="G736" t="s">
        <v>206</v>
      </c>
      <c r="H736" t="s">
        <v>207</v>
      </c>
      <c r="I736" s="2">
        <v>45292</v>
      </c>
    </row>
    <row r="737" spans="1:9" x14ac:dyDescent="0.3">
      <c r="A737" t="s">
        <v>1682</v>
      </c>
      <c r="B737" t="s">
        <v>1683</v>
      </c>
      <c r="C737" t="s">
        <v>76</v>
      </c>
      <c r="D737" t="s">
        <v>57</v>
      </c>
      <c r="E737" t="s">
        <v>58</v>
      </c>
      <c r="F737" t="s">
        <v>59</v>
      </c>
      <c r="G737" t="s">
        <v>222</v>
      </c>
      <c r="H737" t="s">
        <v>207</v>
      </c>
      <c r="I737" s="2">
        <v>45292</v>
      </c>
    </row>
    <row r="738" spans="1:9" x14ac:dyDescent="0.3">
      <c r="A738" t="s">
        <v>1684</v>
      </c>
      <c r="B738" t="s">
        <v>1685</v>
      </c>
      <c r="C738" t="s">
        <v>76</v>
      </c>
      <c r="D738" t="s">
        <v>57</v>
      </c>
      <c r="E738" t="s">
        <v>58</v>
      </c>
      <c r="F738" t="s">
        <v>59</v>
      </c>
      <c r="G738" t="s">
        <v>222</v>
      </c>
      <c r="H738" t="s">
        <v>231</v>
      </c>
      <c r="I738" s="2">
        <v>45292</v>
      </c>
    </row>
    <row r="739" spans="1:9" x14ac:dyDescent="0.3">
      <c r="A739" t="s">
        <v>1686</v>
      </c>
      <c r="B739" t="s">
        <v>1687</v>
      </c>
      <c r="C739" t="s">
        <v>76</v>
      </c>
      <c r="D739" t="s">
        <v>51</v>
      </c>
      <c r="E739" t="s">
        <v>52</v>
      </c>
      <c r="F739" t="s">
        <v>53</v>
      </c>
      <c r="G739" t="s">
        <v>211</v>
      </c>
      <c r="H739" t="s">
        <v>212</v>
      </c>
      <c r="I739" s="2">
        <v>45292</v>
      </c>
    </row>
    <row r="740" spans="1:9" x14ac:dyDescent="0.3">
      <c r="A740" t="s">
        <v>1688</v>
      </c>
      <c r="B740" t="s">
        <v>1689</v>
      </c>
      <c r="C740" t="s">
        <v>76</v>
      </c>
      <c r="D740" t="s">
        <v>62</v>
      </c>
      <c r="E740" t="s">
        <v>63</v>
      </c>
      <c r="F740" t="s">
        <v>64</v>
      </c>
      <c r="G740" t="s">
        <v>222</v>
      </c>
      <c r="H740" t="s">
        <v>212</v>
      </c>
      <c r="I740" s="2">
        <v>45292</v>
      </c>
    </row>
    <row r="741" spans="1:9" x14ac:dyDescent="0.3">
      <c r="A741" t="s">
        <v>1690</v>
      </c>
      <c r="B741" t="s">
        <v>1691</v>
      </c>
      <c r="C741" t="s">
        <v>84</v>
      </c>
      <c r="D741" t="s">
        <v>45</v>
      </c>
      <c r="E741" t="s">
        <v>46</v>
      </c>
      <c r="F741" t="s">
        <v>47</v>
      </c>
      <c r="G741" t="s">
        <v>206</v>
      </c>
      <c r="H741" t="s">
        <v>219</v>
      </c>
      <c r="I741" s="2">
        <v>45292</v>
      </c>
    </row>
    <row r="742" spans="1:9" x14ac:dyDescent="0.3">
      <c r="A742" t="s">
        <v>1692</v>
      </c>
      <c r="B742" t="s">
        <v>1693</v>
      </c>
      <c r="C742" t="s">
        <v>76</v>
      </c>
      <c r="D742" t="s">
        <v>51</v>
      </c>
      <c r="E742" t="s">
        <v>52</v>
      </c>
      <c r="F742" t="s">
        <v>53</v>
      </c>
      <c r="G742" t="s">
        <v>211</v>
      </c>
      <c r="H742" t="s">
        <v>207</v>
      </c>
      <c r="I742" s="2">
        <v>45292</v>
      </c>
    </row>
    <row r="743" spans="1:9" x14ac:dyDescent="0.3">
      <c r="A743" t="s">
        <v>1694</v>
      </c>
      <c r="B743" t="s">
        <v>1695</v>
      </c>
      <c r="C743" t="s">
        <v>71</v>
      </c>
      <c r="D743" t="s">
        <v>57</v>
      </c>
      <c r="E743" t="s">
        <v>58</v>
      </c>
      <c r="F743" t="s">
        <v>59</v>
      </c>
      <c r="G743" t="s">
        <v>222</v>
      </c>
      <c r="H743" t="s">
        <v>231</v>
      </c>
      <c r="I743" s="2">
        <v>45292</v>
      </c>
    </row>
    <row r="744" spans="1:9" x14ac:dyDescent="0.3">
      <c r="A744" t="s">
        <v>1696</v>
      </c>
      <c r="B744" t="s">
        <v>1697</v>
      </c>
      <c r="C744" t="s">
        <v>80</v>
      </c>
      <c r="D744" t="s">
        <v>62</v>
      </c>
      <c r="E744" t="s">
        <v>63</v>
      </c>
      <c r="F744" t="s">
        <v>64</v>
      </c>
      <c r="G744" t="s">
        <v>222</v>
      </c>
      <c r="H744" t="s">
        <v>207</v>
      </c>
      <c r="I744" s="2">
        <v>45292</v>
      </c>
    </row>
    <row r="745" spans="1:9" x14ac:dyDescent="0.3">
      <c r="A745" t="s">
        <v>1698</v>
      </c>
      <c r="B745" t="s">
        <v>1699</v>
      </c>
      <c r="C745" t="s">
        <v>76</v>
      </c>
      <c r="D745" t="s">
        <v>57</v>
      </c>
      <c r="E745" t="s">
        <v>58</v>
      </c>
      <c r="F745" t="s">
        <v>59</v>
      </c>
      <c r="G745" t="s">
        <v>206</v>
      </c>
      <c r="H745" t="s">
        <v>219</v>
      </c>
      <c r="I745" s="2">
        <v>45292</v>
      </c>
    </row>
    <row r="746" spans="1:9" x14ac:dyDescent="0.3">
      <c r="A746" t="s">
        <v>1700</v>
      </c>
      <c r="B746" t="s">
        <v>1701</v>
      </c>
      <c r="C746" t="s">
        <v>76</v>
      </c>
      <c r="D746" t="s">
        <v>62</v>
      </c>
      <c r="E746" t="s">
        <v>63</v>
      </c>
      <c r="F746" t="s">
        <v>64</v>
      </c>
      <c r="G746" t="s">
        <v>211</v>
      </c>
      <c r="H746" t="s">
        <v>207</v>
      </c>
      <c r="I746" s="2">
        <v>45292</v>
      </c>
    </row>
    <row r="747" spans="1:9" x14ac:dyDescent="0.3">
      <c r="A747" t="s">
        <v>1702</v>
      </c>
      <c r="B747" t="s">
        <v>1703</v>
      </c>
      <c r="C747" t="s">
        <v>76</v>
      </c>
      <c r="D747" t="s">
        <v>45</v>
      </c>
      <c r="E747" t="s">
        <v>46</v>
      </c>
      <c r="F747" t="s">
        <v>47</v>
      </c>
      <c r="G747" t="s">
        <v>222</v>
      </c>
      <c r="H747" t="s">
        <v>212</v>
      </c>
      <c r="I747" s="2">
        <v>45292</v>
      </c>
    </row>
    <row r="748" spans="1:9" x14ac:dyDescent="0.3">
      <c r="A748" t="s">
        <v>1704</v>
      </c>
      <c r="B748" t="s">
        <v>1705</v>
      </c>
      <c r="C748" t="s">
        <v>84</v>
      </c>
      <c r="D748" t="s">
        <v>51</v>
      </c>
      <c r="E748" t="s">
        <v>52</v>
      </c>
      <c r="F748" t="s">
        <v>53</v>
      </c>
      <c r="G748" t="s">
        <v>211</v>
      </c>
      <c r="H748" t="s">
        <v>207</v>
      </c>
      <c r="I748" s="2">
        <v>45292</v>
      </c>
    </row>
    <row r="749" spans="1:9" x14ac:dyDescent="0.3">
      <c r="A749" t="s">
        <v>1706</v>
      </c>
      <c r="B749" t="s">
        <v>1707</v>
      </c>
      <c r="C749" t="s">
        <v>76</v>
      </c>
      <c r="D749" t="s">
        <v>62</v>
      </c>
      <c r="E749" t="s">
        <v>63</v>
      </c>
      <c r="F749" t="s">
        <v>64</v>
      </c>
      <c r="G749" t="s">
        <v>206</v>
      </c>
      <c r="H749" t="s">
        <v>207</v>
      </c>
      <c r="I749" s="2">
        <v>45292</v>
      </c>
    </row>
    <row r="750" spans="1:9" x14ac:dyDescent="0.3">
      <c r="A750" t="s">
        <v>1708</v>
      </c>
      <c r="B750" t="s">
        <v>1709</v>
      </c>
      <c r="C750" t="s">
        <v>80</v>
      </c>
      <c r="D750" t="s">
        <v>51</v>
      </c>
      <c r="E750" t="s">
        <v>52</v>
      </c>
      <c r="F750" t="s">
        <v>53</v>
      </c>
      <c r="G750" t="s">
        <v>206</v>
      </c>
      <c r="H750" t="s">
        <v>212</v>
      </c>
      <c r="I750" s="2">
        <v>45292</v>
      </c>
    </row>
    <row r="751" spans="1:9" x14ac:dyDescent="0.3">
      <c r="A751" t="s">
        <v>1710</v>
      </c>
      <c r="B751" t="s">
        <v>1711</v>
      </c>
      <c r="C751" t="s">
        <v>71</v>
      </c>
      <c r="D751" t="s">
        <v>62</v>
      </c>
      <c r="E751" t="s">
        <v>63</v>
      </c>
      <c r="F751" t="s">
        <v>64</v>
      </c>
      <c r="G751" t="s">
        <v>206</v>
      </c>
      <c r="H751" t="s">
        <v>212</v>
      </c>
      <c r="I751" s="2">
        <v>45292</v>
      </c>
    </row>
  </sheetData>
  <autoFilter ref="A1:I751" xr:uid="{00000000-0009-0000-0000-000005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38" customWidth="1"/>
    <col min="3" max="3" width="12" customWidth="1"/>
    <col min="4" max="4" width="19" customWidth="1"/>
    <col min="5" max="5" width="21" customWidth="1"/>
    <col min="6" max="7" width="12" customWidth="1"/>
    <col min="8" max="8" width="16" customWidth="1"/>
    <col min="9" max="9" width="12" customWidth="1"/>
    <col min="10" max="10" width="15" customWidth="1"/>
    <col min="11" max="11" width="12" customWidth="1"/>
    <col min="12" max="12" width="14" customWidth="1"/>
    <col min="13" max="13" width="12" customWidth="1"/>
    <col min="14" max="14" width="15" customWidth="1"/>
    <col min="15" max="16" width="12" customWidth="1"/>
    <col min="17" max="17" width="17" customWidth="1"/>
    <col min="18" max="18" width="13" customWidth="1"/>
  </cols>
  <sheetData>
    <row r="1" spans="1:18" x14ac:dyDescent="0.3">
      <c r="A1" s="1" t="s">
        <v>1712</v>
      </c>
      <c r="B1" s="1" t="s">
        <v>1713</v>
      </c>
      <c r="C1" s="1" t="s">
        <v>1714</v>
      </c>
      <c r="D1" s="1" t="s">
        <v>1715</v>
      </c>
      <c r="E1" s="1" t="s">
        <v>1716</v>
      </c>
      <c r="F1" s="1" t="s">
        <v>1717</v>
      </c>
      <c r="G1" s="1" t="s">
        <v>1718</v>
      </c>
      <c r="H1" s="1" t="s">
        <v>1719</v>
      </c>
      <c r="I1" s="1" t="s">
        <v>1720</v>
      </c>
      <c r="J1" s="1" t="s">
        <v>1721</v>
      </c>
      <c r="K1" s="1" t="s">
        <v>87</v>
      </c>
      <c r="L1" s="1" t="s">
        <v>1722</v>
      </c>
      <c r="M1" s="1" t="s">
        <v>1723</v>
      </c>
      <c r="N1" s="1" t="s">
        <v>1724</v>
      </c>
      <c r="O1" s="1" t="s">
        <v>1725</v>
      </c>
      <c r="P1" s="1" t="s">
        <v>1726</v>
      </c>
      <c r="Q1" s="1" t="s">
        <v>1727</v>
      </c>
      <c r="R1" s="1" t="s">
        <v>1728</v>
      </c>
    </row>
    <row r="2" spans="1:18" x14ac:dyDescent="0.3">
      <c r="A2" t="s">
        <v>1729</v>
      </c>
      <c r="B2" t="s">
        <v>1730</v>
      </c>
      <c r="C2" t="s">
        <v>1731</v>
      </c>
      <c r="D2" t="s">
        <v>1732</v>
      </c>
      <c r="E2" t="s">
        <v>1733</v>
      </c>
      <c r="F2">
        <v>500</v>
      </c>
      <c r="G2" t="s">
        <v>1734</v>
      </c>
      <c r="H2">
        <v>24</v>
      </c>
      <c r="I2" s="3">
        <v>77.2</v>
      </c>
      <c r="J2" s="3">
        <v>97.29</v>
      </c>
      <c r="K2" t="s">
        <v>170</v>
      </c>
      <c r="L2">
        <v>13</v>
      </c>
      <c r="M2">
        <v>100</v>
      </c>
      <c r="N2">
        <v>313</v>
      </c>
      <c r="O2" s="2">
        <v>45689</v>
      </c>
      <c r="P2">
        <v>1</v>
      </c>
      <c r="Q2">
        <v>64.8</v>
      </c>
      <c r="R2" t="s">
        <v>77</v>
      </c>
    </row>
    <row r="3" spans="1:18" x14ac:dyDescent="0.3">
      <c r="A3" t="s">
        <v>1735</v>
      </c>
      <c r="B3" t="s">
        <v>1736</v>
      </c>
      <c r="C3" t="s">
        <v>1737</v>
      </c>
      <c r="D3" t="s">
        <v>1732</v>
      </c>
      <c r="E3" t="s">
        <v>1733</v>
      </c>
      <c r="F3">
        <v>250</v>
      </c>
      <c r="G3" t="s">
        <v>1734</v>
      </c>
      <c r="H3">
        <v>12</v>
      </c>
      <c r="I3" s="3">
        <v>127.53</v>
      </c>
      <c r="J3" s="3">
        <v>168.33</v>
      </c>
      <c r="K3" t="s">
        <v>131</v>
      </c>
      <c r="L3">
        <v>11</v>
      </c>
      <c r="M3">
        <v>4</v>
      </c>
      <c r="N3">
        <v>237</v>
      </c>
      <c r="O3" s="2">
        <v>45591</v>
      </c>
      <c r="P3">
        <v>1</v>
      </c>
      <c r="Q3">
        <v>57.26</v>
      </c>
      <c r="R3" t="s">
        <v>77</v>
      </c>
    </row>
    <row r="4" spans="1:18" x14ac:dyDescent="0.3">
      <c r="A4" t="s">
        <v>1738</v>
      </c>
      <c r="B4" t="s">
        <v>1739</v>
      </c>
      <c r="C4" t="s">
        <v>1731</v>
      </c>
      <c r="D4" t="s">
        <v>1732</v>
      </c>
      <c r="E4" t="s">
        <v>1740</v>
      </c>
      <c r="F4">
        <v>500</v>
      </c>
      <c r="G4" t="s">
        <v>1734</v>
      </c>
      <c r="H4">
        <v>12</v>
      </c>
      <c r="I4" s="3">
        <v>217.1</v>
      </c>
      <c r="J4" s="3">
        <v>273.38</v>
      </c>
      <c r="K4" t="s">
        <v>154</v>
      </c>
      <c r="L4">
        <v>11</v>
      </c>
      <c r="M4">
        <v>4</v>
      </c>
      <c r="N4">
        <v>206</v>
      </c>
      <c r="O4" s="2">
        <v>45817</v>
      </c>
      <c r="P4">
        <v>1</v>
      </c>
      <c r="Q4">
        <v>4.28</v>
      </c>
      <c r="R4" t="s">
        <v>1741</v>
      </c>
    </row>
    <row r="5" spans="1:18" x14ac:dyDescent="0.3">
      <c r="A5" t="s">
        <v>1742</v>
      </c>
      <c r="B5" t="s">
        <v>1743</v>
      </c>
      <c r="C5" t="s">
        <v>1737</v>
      </c>
      <c r="D5" t="s">
        <v>1732</v>
      </c>
      <c r="E5" t="s">
        <v>1740</v>
      </c>
      <c r="F5">
        <v>500</v>
      </c>
      <c r="G5" t="s">
        <v>1734</v>
      </c>
      <c r="H5">
        <v>36</v>
      </c>
      <c r="I5" s="3">
        <v>100.88</v>
      </c>
      <c r="J5" s="3">
        <v>128.9</v>
      </c>
      <c r="K5" t="s">
        <v>138</v>
      </c>
      <c r="L5">
        <v>14</v>
      </c>
      <c r="M5">
        <v>12</v>
      </c>
      <c r="N5">
        <v>159</v>
      </c>
      <c r="O5" s="2">
        <v>45597</v>
      </c>
      <c r="P5">
        <v>1</v>
      </c>
      <c r="Q5">
        <v>60.77</v>
      </c>
      <c r="R5" t="s">
        <v>77</v>
      </c>
    </row>
    <row r="6" spans="1:18" x14ac:dyDescent="0.3">
      <c r="A6" t="s">
        <v>1744</v>
      </c>
      <c r="B6" t="s">
        <v>1745</v>
      </c>
      <c r="C6" t="s">
        <v>1746</v>
      </c>
      <c r="D6" t="s">
        <v>1732</v>
      </c>
      <c r="E6" t="s">
        <v>1740</v>
      </c>
      <c r="F6">
        <v>500</v>
      </c>
      <c r="G6" t="s">
        <v>1734</v>
      </c>
      <c r="H6">
        <v>12</v>
      </c>
      <c r="I6" s="3">
        <v>190.9</v>
      </c>
      <c r="J6" s="3">
        <v>251.71</v>
      </c>
      <c r="K6" t="s">
        <v>176</v>
      </c>
      <c r="L6">
        <v>7</v>
      </c>
      <c r="M6">
        <v>2</v>
      </c>
      <c r="N6">
        <v>261</v>
      </c>
      <c r="O6" s="2">
        <v>45678</v>
      </c>
      <c r="P6">
        <v>1</v>
      </c>
      <c r="Q6">
        <v>55.19</v>
      </c>
      <c r="R6" t="s">
        <v>77</v>
      </c>
    </row>
    <row r="7" spans="1:18" x14ac:dyDescent="0.3">
      <c r="A7" t="s">
        <v>1747</v>
      </c>
      <c r="B7" t="s">
        <v>1748</v>
      </c>
      <c r="C7" t="s">
        <v>1749</v>
      </c>
      <c r="D7" t="s">
        <v>1732</v>
      </c>
      <c r="E7" t="s">
        <v>1740</v>
      </c>
      <c r="F7">
        <v>250</v>
      </c>
      <c r="G7" t="s">
        <v>1734</v>
      </c>
      <c r="H7">
        <v>36</v>
      </c>
      <c r="I7" s="3">
        <v>70.45</v>
      </c>
      <c r="J7" s="3">
        <v>87.69</v>
      </c>
      <c r="K7" t="s">
        <v>148</v>
      </c>
      <c r="L7">
        <v>24</v>
      </c>
      <c r="M7">
        <v>48</v>
      </c>
      <c r="N7">
        <v>209</v>
      </c>
      <c r="O7" s="2">
        <v>45422</v>
      </c>
      <c r="P7">
        <v>1</v>
      </c>
      <c r="Q7">
        <v>27.18</v>
      </c>
      <c r="R7" t="s">
        <v>1750</v>
      </c>
    </row>
    <row r="8" spans="1:18" x14ac:dyDescent="0.3">
      <c r="A8" t="s">
        <v>1751</v>
      </c>
      <c r="B8" t="s">
        <v>1752</v>
      </c>
      <c r="C8" t="s">
        <v>1731</v>
      </c>
      <c r="D8" t="s">
        <v>1732</v>
      </c>
      <c r="E8" t="s">
        <v>1753</v>
      </c>
      <c r="F8">
        <v>1500</v>
      </c>
      <c r="G8" t="s">
        <v>1734</v>
      </c>
      <c r="H8">
        <v>12</v>
      </c>
      <c r="I8" s="3">
        <v>112.36</v>
      </c>
      <c r="J8" s="3">
        <v>139.9</v>
      </c>
      <c r="K8" t="s">
        <v>154</v>
      </c>
      <c r="L8">
        <v>11</v>
      </c>
      <c r="M8">
        <v>100</v>
      </c>
      <c r="N8">
        <v>162</v>
      </c>
      <c r="O8" s="2">
        <v>45835</v>
      </c>
      <c r="P8">
        <v>1</v>
      </c>
      <c r="Q8">
        <v>45.48</v>
      </c>
      <c r="R8" t="s">
        <v>77</v>
      </c>
    </row>
    <row r="9" spans="1:18" x14ac:dyDescent="0.3">
      <c r="A9" t="s">
        <v>1754</v>
      </c>
      <c r="B9" t="s">
        <v>1755</v>
      </c>
      <c r="C9" t="s">
        <v>1731</v>
      </c>
      <c r="D9" t="s">
        <v>1732</v>
      </c>
      <c r="E9" t="s">
        <v>1753</v>
      </c>
      <c r="F9">
        <v>1500</v>
      </c>
      <c r="G9" t="s">
        <v>1734</v>
      </c>
      <c r="H9">
        <v>6</v>
      </c>
      <c r="I9" s="3">
        <v>43.47</v>
      </c>
      <c r="J9" s="3">
        <v>57.12</v>
      </c>
      <c r="K9" t="s">
        <v>115</v>
      </c>
      <c r="L9">
        <v>15</v>
      </c>
      <c r="M9">
        <v>4</v>
      </c>
      <c r="N9">
        <v>244</v>
      </c>
      <c r="O9" s="2">
        <v>45350</v>
      </c>
      <c r="P9">
        <v>1</v>
      </c>
      <c r="Q9">
        <v>25.98</v>
      </c>
      <c r="R9" t="s">
        <v>1750</v>
      </c>
    </row>
    <row r="10" spans="1:18" x14ac:dyDescent="0.3">
      <c r="A10" t="s">
        <v>1756</v>
      </c>
      <c r="B10" t="s">
        <v>1757</v>
      </c>
      <c r="C10" t="s">
        <v>1731</v>
      </c>
      <c r="D10" t="s">
        <v>1732</v>
      </c>
      <c r="E10" t="s">
        <v>1753</v>
      </c>
      <c r="F10">
        <v>1500</v>
      </c>
      <c r="G10" t="s">
        <v>1734</v>
      </c>
      <c r="H10">
        <v>6</v>
      </c>
      <c r="I10" s="3">
        <v>47.74</v>
      </c>
      <c r="J10" s="3">
        <v>59.2</v>
      </c>
      <c r="K10" t="s">
        <v>162</v>
      </c>
      <c r="L10">
        <v>7</v>
      </c>
      <c r="M10">
        <v>12</v>
      </c>
      <c r="N10">
        <v>363</v>
      </c>
      <c r="O10" s="2">
        <v>45346</v>
      </c>
      <c r="P10">
        <v>1</v>
      </c>
      <c r="Q10">
        <v>77.39</v>
      </c>
      <c r="R10" t="s">
        <v>77</v>
      </c>
    </row>
    <row r="11" spans="1:18" x14ac:dyDescent="0.3">
      <c r="A11" t="s">
        <v>1758</v>
      </c>
      <c r="B11" t="s">
        <v>1759</v>
      </c>
      <c r="C11" t="s">
        <v>1749</v>
      </c>
      <c r="D11" t="s">
        <v>1732</v>
      </c>
      <c r="E11" t="s">
        <v>1760</v>
      </c>
      <c r="F11">
        <v>500</v>
      </c>
      <c r="G11" t="s">
        <v>1734</v>
      </c>
      <c r="H11">
        <v>36</v>
      </c>
      <c r="I11" s="3">
        <v>107.73</v>
      </c>
      <c r="J11" s="3">
        <v>139.35</v>
      </c>
      <c r="K11" t="s">
        <v>178</v>
      </c>
      <c r="L11">
        <v>12</v>
      </c>
      <c r="M11">
        <v>6</v>
      </c>
      <c r="N11">
        <v>124</v>
      </c>
      <c r="O11" s="2">
        <v>45486</v>
      </c>
      <c r="P11">
        <v>1</v>
      </c>
      <c r="Q11">
        <v>36.76</v>
      </c>
      <c r="R11" t="s">
        <v>77</v>
      </c>
    </row>
    <row r="12" spans="1:18" x14ac:dyDescent="0.3">
      <c r="A12" t="s">
        <v>1761</v>
      </c>
      <c r="B12" t="s">
        <v>1762</v>
      </c>
      <c r="C12" t="s">
        <v>1737</v>
      </c>
      <c r="D12" t="s">
        <v>1732</v>
      </c>
      <c r="E12" t="s">
        <v>1733</v>
      </c>
      <c r="F12">
        <v>330</v>
      </c>
      <c r="G12" t="s">
        <v>1734</v>
      </c>
      <c r="H12">
        <v>24</v>
      </c>
      <c r="I12" s="3">
        <v>86.09</v>
      </c>
      <c r="J12" s="3">
        <v>113.99</v>
      </c>
      <c r="K12" t="s">
        <v>162</v>
      </c>
      <c r="L12">
        <v>7</v>
      </c>
      <c r="M12">
        <v>48</v>
      </c>
      <c r="N12">
        <v>259</v>
      </c>
      <c r="O12" s="2">
        <v>45561</v>
      </c>
      <c r="P12">
        <v>1</v>
      </c>
      <c r="Q12">
        <v>67.66</v>
      </c>
      <c r="R12" t="s">
        <v>77</v>
      </c>
    </row>
    <row r="13" spans="1:18" x14ac:dyDescent="0.3">
      <c r="A13" t="s">
        <v>1763</v>
      </c>
      <c r="B13" t="s">
        <v>1764</v>
      </c>
      <c r="C13" t="s">
        <v>1765</v>
      </c>
      <c r="D13" t="s">
        <v>1732</v>
      </c>
      <c r="E13" t="s">
        <v>1733</v>
      </c>
      <c r="F13">
        <v>330</v>
      </c>
      <c r="G13" t="s">
        <v>1734</v>
      </c>
      <c r="H13">
        <v>12</v>
      </c>
      <c r="I13" s="3">
        <v>92.07</v>
      </c>
      <c r="J13" s="3">
        <v>118.04</v>
      </c>
      <c r="K13" t="s">
        <v>176</v>
      </c>
      <c r="L13">
        <v>7</v>
      </c>
      <c r="M13">
        <v>1</v>
      </c>
      <c r="N13">
        <v>360</v>
      </c>
      <c r="O13" s="2">
        <v>45745</v>
      </c>
      <c r="P13">
        <v>1</v>
      </c>
      <c r="Q13">
        <v>9.8800000000000008</v>
      </c>
      <c r="R13" t="s">
        <v>1750</v>
      </c>
    </row>
    <row r="14" spans="1:18" x14ac:dyDescent="0.3">
      <c r="A14" t="s">
        <v>1766</v>
      </c>
      <c r="B14" t="s">
        <v>1767</v>
      </c>
      <c r="C14" t="s">
        <v>1746</v>
      </c>
      <c r="D14" t="s">
        <v>1732</v>
      </c>
      <c r="E14" t="s">
        <v>1740</v>
      </c>
      <c r="F14">
        <v>250</v>
      </c>
      <c r="G14" t="s">
        <v>1734</v>
      </c>
      <c r="H14">
        <v>36</v>
      </c>
      <c r="I14" s="3">
        <v>72.62</v>
      </c>
      <c r="J14" s="3">
        <v>92.46</v>
      </c>
      <c r="K14" t="s">
        <v>174</v>
      </c>
      <c r="L14">
        <v>10</v>
      </c>
      <c r="M14">
        <v>1</v>
      </c>
      <c r="N14">
        <v>192</v>
      </c>
      <c r="O14" s="2">
        <v>45573</v>
      </c>
      <c r="P14">
        <v>1</v>
      </c>
      <c r="Q14">
        <v>7.59</v>
      </c>
      <c r="R14" t="s">
        <v>1741</v>
      </c>
    </row>
    <row r="15" spans="1:18" x14ac:dyDescent="0.3">
      <c r="A15" t="s">
        <v>1768</v>
      </c>
      <c r="B15" t="s">
        <v>1769</v>
      </c>
      <c r="C15" t="s">
        <v>1731</v>
      </c>
      <c r="D15" t="s">
        <v>1732</v>
      </c>
      <c r="E15" t="s">
        <v>1760</v>
      </c>
      <c r="F15">
        <v>500</v>
      </c>
      <c r="G15" t="s">
        <v>1734</v>
      </c>
      <c r="H15">
        <v>24</v>
      </c>
      <c r="I15" s="3">
        <v>142.08000000000001</v>
      </c>
      <c r="J15" s="3">
        <v>183.36</v>
      </c>
      <c r="K15" t="s">
        <v>164</v>
      </c>
      <c r="L15">
        <v>13</v>
      </c>
      <c r="M15">
        <v>2</v>
      </c>
      <c r="N15">
        <v>234</v>
      </c>
      <c r="O15" s="2">
        <v>45359</v>
      </c>
      <c r="P15">
        <v>1</v>
      </c>
      <c r="Q15">
        <v>17.52</v>
      </c>
      <c r="R15" t="s">
        <v>1750</v>
      </c>
    </row>
    <row r="16" spans="1:18" x14ac:dyDescent="0.3">
      <c r="A16" t="s">
        <v>1770</v>
      </c>
      <c r="B16" t="s">
        <v>1771</v>
      </c>
      <c r="C16" t="s">
        <v>1765</v>
      </c>
      <c r="D16" t="s">
        <v>1732</v>
      </c>
      <c r="E16" t="s">
        <v>1740</v>
      </c>
      <c r="F16">
        <v>250</v>
      </c>
      <c r="G16" t="s">
        <v>1734</v>
      </c>
      <c r="H16">
        <v>12</v>
      </c>
      <c r="I16" s="3">
        <v>57.71</v>
      </c>
      <c r="J16" s="3">
        <v>74.760000000000005</v>
      </c>
      <c r="K16" t="s">
        <v>131</v>
      </c>
      <c r="L16">
        <v>11</v>
      </c>
      <c r="M16">
        <v>12</v>
      </c>
      <c r="N16">
        <v>266</v>
      </c>
      <c r="O16" s="2">
        <v>45566</v>
      </c>
      <c r="P16">
        <v>1</v>
      </c>
      <c r="Q16">
        <v>84.04</v>
      </c>
      <c r="R16" t="s">
        <v>77</v>
      </c>
    </row>
    <row r="17" spans="1:18" x14ac:dyDescent="0.3">
      <c r="A17" t="s">
        <v>1772</v>
      </c>
      <c r="B17" t="s">
        <v>1773</v>
      </c>
      <c r="C17" t="s">
        <v>1749</v>
      </c>
      <c r="D17" t="s">
        <v>1732</v>
      </c>
      <c r="E17" t="s">
        <v>1760</v>
      </c>
      <c r="F17">
        <v>500</v>
      </c>
      <c r="G17" t="s">
        <v>1734</v>
      </c>
      <c r="H17">
        <v>36</v>
      </c>
      <c r="I17" s="3">
        <v>121.67</v>
      </c>
      <c r="J17" s="3">
        <v>158.66999999999999</v>
      </c>
      <c r="K17" t="s">
        <v>170</v>
      </c>
      <c r="L17">
        <v>13</v>
      </c>
      <c r="M17">
        <v>48</v>
      </c>
      <c r="N17">
        <v>310</v>
      </c>
      <c r="O17" s="2">
        <v>45351</v>
      </c>
      <c r="P17">
        <v>1</v>
      </c>
      <c r="Q17">
        <v>125.31</v>
      </c>
      <c r="R17" t="s">
        <v>1774</v>
      </c>
    </row>
    <row r="18" spans="1:18" x14ac:dyDescent="0.3">
      <c r="A18" t="s">
        <v>1775</v>
      </c>
      <c r="B18" t="s">
        <v>1776</v>
      </c>
      <c r="C18" t="s">
        <v>1746</v>
      </c>
      <c r="D18" t="s">
        <v>1732</v>
      </c>
      <c r="E18" t="s">
        <v>1760</v>
      </c>
      <c r="F18">
        <v>1500</v>
      </c>
      <c r="G18" t="s">
        <v>1734</v>
      </c>
      <c r="H18">
        <v>12</v>
      </c>
      <c r="I18" s="3">
        <v>199.61</v>
      </c>
      <c r="J18" s="3">
        <v>246.97</v>
      </c>
      <c r="K18" t="s">
        <v>189</v>
      </c>
      <c r="L18">
        <v>13</v>
      </c>
      <c r="M18">
        <v>24</v>
      </c>
      <c r="N18">
        <v>357</v>
      </c>
      <c r="O18" s="2">
        <v>45460</v>
      </c>
      <c r="P18">
        <v>1</v>
      </c>
      <c r="Q18">
        <v>12.66</v>
      </c>
      <c r="R18" t="s">
        <v>1750</v>
      </c>
    </row>
    <row r="19" spans="1:18" x14ac:dyDescent="0.3">
      <c r="A19" t="s">
        <v>1777</v>
      </c>
      <c r="B19" t="s">
        <v>1778</v>
      </c>
      <c r="C19" t="s">
        <v>1737</v>
      </c>
      <c r="D19" t="s">
        <v>1732</v>
      </c>
      <c r="E19" t="s">
        <v>1733</v>
      </c>
      <c r="F19">
        <v>330</v>
      </c>
      <c r="G19" t="s">
        <v>1734</v>
      </c>
      <c r="H19">
        <v>36</v>
      </c>
      <c r="I19" s="3">
        <v>87.58</v>
      </c>
      <c r="J19" s="3">
        <v>107.31</v>
      </c>
      <c r="K19" t="s">
        <v>146</v>
      </c>
      <c r="L19">
        <v>15</v>
      </c>
      <c r="M19">
        <v>4</v>
      </c>
      <c r="N19">
        <v>363</v>
      </c>
      <c r="O19" s="2">
        <v>45981</v>
      </c>
      <c r="P19">
        <v>1</v>
      </c>
      <c r="Q19">
        <v>19.329999999999998</v>
      </c>
      <c r="R19" t="s">
        <v>1750</v>
      </c>
    </row>
    <row r="20" spans="1:18" x14ac:dyDescent="0.3">
      <c r="A20" t="s">
        <v>1779</v>
      </c>
      <c r="B20" t="s">
        <v>1780</v>
      </c>
      <c r="C20" t="s">
        <v>1765</v>
      </c>
      <c r="D20" t="s">
        <v>1732</v>
      </c>
      <c r="E20" t="s">
        <v>1753</v>
      </c>
      <c r="F20">
        <v>500</v>
      </c>
      <c r="G20" t="s">
        <v>1734</v>
      </c>
      <c r="H20">
        <v>24</v>
      </c>
      <c r="I20" s="3">
        <v>57.47</v>
      </c>
      <c r="J20" s="3">
        <v>73.34</v>
      </c>
      <c r="K20" t="s">
        <v>128</v>
      </c>
      <c r="L20">
        <v>13</v>
      </c>
      <c r="M20">
        <v>24</v>
      </c>
      <c r="N20">
        <v>243</v>
      </c>
      <c r="O20" s="2">
        <v>45588</v>
      </c>
      <c r="P20">
        <v>1</v>
      </c>
      <c r="Q20">
        <v>8.81</v>
      </c>
      <c r="R20" t="s">
        <v>1741</v>
      </c>
    </row>
    <row r="21" spans="1:18" x14ac:dyDescent="0.3">
      <c r="A21" t="s">
        <v>1781</v>
      </c>
      <c r="B21" t="s">
        <v>1782</v>
      </c>
      <c r="C21" t="s">
        <v>1765</v>
      </c>
      <c r="D21" t="s">
        <v>1732</v>
      </c>
      <c r="E21" t="s">
        <v>1740</v>
      </c>
      <c r="F21">
        <v>250</v>
      </c>
      <c r="G21" t="s">
        <v>1734</v>
      </c>
      <c r="H21">
        <v>12</v>
      </c>
      <c r="I21" s="3">
        <v>80.11</v>
      </c>
      <c r="J21" s="3">
        <v>105.07</v>
      </c>
      <c r="K21" t="s">
        <v>172</v>
      </c>
      <c r="L21">
        <v>12</v>
      </c>
      <c r="M21">
        <v>4</v>
      </c>
      <c r="N21">
        <v>179</v>
      </c>
      <c r="O21" s="2">
        <v>45721</v>
      </c>
      <c r="P21">
        <v>1</v>
      </c>
      <c r="Q21">
        <v>59.99</v>
      </c>
      <c r="R21" t="s">
        <v>77</v>
      </c>
    </row>
    <row r="22" spans="1:18" x14ac:dyDescent="0.3">
      <c r="A22" t="s">
        <v>1783</v>
      </c>
      <c r="B22" t="s">
        <v>1784</v>
      </c>
      <c r="C22" t="s">
        <v>1737</v>
      </c>
      <c r="D22" t="s">
        <v>1732</v>
      </c>
      <c r="E22" t="s">
        <v>1733</v>
      </c>
      <c r="F22">
        <v>250</v>
      </c>
      <c r="G22" t="s">
        <v>1734</v>
      </c>
      <c r="H22">
        <v>36</v>
      </c>
      <c r="I22" s="3">
        <v>76.98</v>
      </c>
      <c r="J22" s="3">
        <v>96.17</v>
      </c>
      <c r="K22" t="s">
        <v>196</v>
      </c>
      <c r="L22">
        <v>25</v>
      </c>
      <c r="M22">
        <v>6</v>
      </c>
      <c r="N22">
        <v>341</v>
      </c>
      <c r="O22" s="2">
        <v>45705</v>
      </c>
      <c r="P22">
        <v>1</v>
      </c>
      <c r="Q22">
        <v>50.28</v>
      </c>
      <c r="R22" t="s">
        <v>77</v>
      </c>
    </row>
    <row r="23" spans="1:18" x14ac:dyDescent="0.3">
      <c r="A23" t="s">
        <v>1785</v>
      </c>
      <c r="B23" t="s">
        <v>1786</v>
      </c>
      <c r="C23" t="s">
        <v>1731</v>
      </c>
      <c r="D23" t="s">
        <v>1732</v>
      </c>
      <c r="E23" t="s">
        <v>1733</v>
      </c>
      <c r="F23">
        <v>330</v>
      </c>
      <c r="G23" t="s">
        <v>1734</v>
      </c>
      <c r="H23">
        <v>36</v>
      </c>
      <c r="I23" s="3">
        <v>126.57</v>
      </c>
      <c r="J23" s="3">
        <v>154.96</v>
      </c>
      <c r="K23" t="s">
        <v>189</v>
      </c>
      <c r="L23">
        <v>13</v>
      </c>
      <c r="M23">
        <v>48</v>
      </c>
      <c r="N23">
        <v>272</v>
      </c>
      <c r="O23" s="2">
        <v>45458</v>
      </c>
      <c r="P23">
        <v>1</v>
      </c>
      <c r="Q23">
        <v>60.12</v>
      </c>
      <c r="R23" t="s">
        <v>77</v>
      </c>
    </row>
    <row r="24" spans="1:18" x14ac:dyDescent="0.3">
      <c r="A24" t="s">
        <v>1787</v>
      </c>
      <c r="B24" t="s">
        <v>1788</v>
      </c>
      <c r="C24" t="s">
        <v>1731</v>
      </c>
      <c r="D24" t="s">
        <v>1732</v>
      </c>
      <c r="E24" t="s">
        <v>1733</v>
      </c>
      <c r="F24">
        <v>500</v>
      </c>
      <c r="G24" t="s">
        <v>1734</v>
      </c>
      <c r="H24">
        <v>12</v>
      </c>
      <c r="I24" s="3">
        <v>71.239999999999995</v>
      </c>
      <c r="J24" s="3">
        <v>89.55</v>
      </c>
      <c r="K24" t="s">
        <v>140</v>
      </c>
      <c r="L24">
        <v>10</v>
      </c>
      <c r="M24">
        <v>100</v>
      </c>
      <c r="N24">
        <v>140</v>
      </c>
      <c r="O24" s="2">
        <v>45893</v>
      </c>
      <c r="P24">
        <v>1</v>
      </c>
      <c r="Q24">
        <v>13.42</v>
      </c>
      <c r="R24" t="s">
        <v>1750</v>
      </c>
    </row>
    <row r="25" spans="1:18" x14ac:dyDescent="0.3">
      <c r="A25" t="s">
        <v>1789</v>
      </c>
      <c r="B25" t="s">
        <v>1790</v>
      </c>
      <c r="C25" t="s">
        <v>1731</v>
      </c>
      <c r="D25" t="s">
        <v>1732</v>
      </c>
      <c r="E25" t="s">
        <v>1760</v>
      </c>
      <c r="F25">
        <v>500</v>
      </c>
      <c r="G25" t="s">
        <v>1734</v>
      </c>
      <c r="H25">
        <v>24</v>
      </c>
      <c r="I25" s="3">
        <v>85.03</v>
      </c>
      <c r="J25" s="3">
        <v>108.58</v>
      </c>
      <c r="K25" t="s">
        <v>168</v>
      </c>
      <c r="L25">
        <v>10</v>
      </c>
      <c r="M25">
        <v>100</v>
      </c>
      <c r="N25">
        <v>140</v>
      </c>
      <c r="O25" s="2">
        <v>45631</v>
      </c>
      <c r="P25">
        <v>1</v>
      </c>
      <c r="Q25">
        <v>60.48</v>
      </c>
      <c r="R25" t="s">
        <v>77</v>
      </c>
    </row>
    <row r="26" spans="1:18" x14ac:dyDescent="0.3">
      <c r="A26" t="s">
        <v>1791</v>
      </c>
      <c r="B26" t="s">
        <v>1792</v>
      </c>
      <c r="C26" t="s">
        <v>1737</v>
      </c>
      <c r="D26" t="s">
        <v>1732</v>
      </c>
      <c r="E26" t="s">
        <v>1740</v>
      </c>
      <c r="F26">
        <v>1000</v>
      </c>
      <c r="G26" t="s">
        <v>1734</v>
      </c>
      <c r="H26">
        <v>6</v>
      </c>
      <c r="I26" s="3">
        <v>104.3</v>
      </c>
      <c r="J26" s="3">
        <v>136.88</v>
      </c>
      <c r="K26" t="s">
        <v>166</v>
      </c>
      <c r="L26">
        <v>9</v>
      </c>
      <c r="M26">
        <v>100</v>
      </c>
      <c r="N26">
        <v>166</v>
      </c>
      <c r="O26" s="2">
        <v>45541</v>
      </c>
      <c r="P26">
        <v>1</v>
      </c>
      <c r="Q26">
        <v>2.67</v>
      </c>
      <c r="R26" t="s">
        <v>1741</v>
      </c>
    </row>
    <row r="27" spans="1:18" x14ac:dyDescent="0.3">
      <c r="A27" t="s">
        <v>1793</v>
      </c>
      <c r="B27" t="s">
        <v>1794</v>
      </c>
      <c r="C27" t="s">
        <v>1731</v>
      </c>
      <c r="D27" t="s">
        <v>1732</v>
      </c>
      <c r="E27" t="s">
        <v>1733</v>
      </c>
      <c r="F27">
        <v>250</v>
      </c>
      <c r="G27" t="s">
        <v>1734</v>
      </c>
      <c r="H27">
        <v>24</v>
      </c>
      <c r="I27" s="3">
        <v>70.12</v>
      </c>
      <c r="J27" s="3">
        <v>87.02</v>
      </c>
      <c r="K27" t="s">
        <v>104</v>
      </c>
      <c r="L27">
        <v>8</v>
      </c>
      <c r="M27">
        <v>100</v>
      </c>
      <c r="N27">
        <v>256</v>
      </c>
      <c r="O27" s="2">
        <v>45671</v>
      </c>
      <c r="P27">
        <v>1</v>
      </c>
      <c r="Q27">
        <v>82.29</v>
      </c>
      <c r="R27" t="s">
        <v>1774</v>
      </c>
    </row>
    <row r="28" spans="1:18" x14ac:dyDescent="0.3">
      <c r="A28" t="s">
        <v>1795</v>
      </c>
      <c r="B28" t="s">
        <v>1796</v>
      </c>
      <c r="C28" t="s">
        <v>1765</v>
      </c>
      <c r="D28" t="s">
        <v>1732</v>
      </c>
      <c r="E28" t="s">
        <v>1753</v>
      </c>
      <c r="F28">
        <v>250</v>
      </c>
      <c r="G28" t="s">
        <v>1734</v>
      </c>
      <c r="H28">
        <v>24</v>
      </c>
      <c r="I28" s="3">
        <v>139.35</v>
      </c>
      <c r="J28" s="3">
        <v>178.42</v>
      </c>
      <c r="K28" t="s">
        <v>156</v>
      </c>
      <c r="L28">
        <v>8</v>
      </c>
      <c r="M28">
        <v>48</v>
      </c>
      <c r="N28">
        <v>134</v>
      </c>
      <c r="O28" s="2">
        <v>45948</v>
      </c>
      <c r="P28">
        <v>1</v>
      </c>
      <c r="Q28">
        <v>8.19</v>
      </c>
      <c r="R28" t="s">
        <v>1750</v>
      </c>
    </row>
    <row r="29" spans="1:18" x14ac:dyDescent="0.3">
      <c r="A29" t="s">
        <v>1797</v>
      </c>
      <c r="B29" t="s">
        <v>1798</v>
      </c>
      <c r="C29" t="s">
        <v>1737</v>
      </c>
      <c r="D29" t="s">
        <v>1732</v>
      </c>
      <c r="E29" t="s">
        <v>1760</v>
      </c>
      <c r="F29">
        <v>1000</v>
      </c>
      <c r="G29" t="s">
        <v>1734</v>
      </c>
      <c r="H29">
        <v>6</v>
      </c>
      <c r="I29" s="3">
        <v>98.37</v>
      </c>
      <c r="J29" s="3">
        <v>124.32</v>
      </c>
      <c r="K29" t="s">
        <v>194</v>
      </c>
      <c r="L29">
        <v>14</v>
      </c>
      <c r="M29">
        <v>48</v>
      </c>
      <c r="N29">
        <v>250</v>
      </c>
      <c r="O29" s="2">
        <v>45487</v>
      </c>
      <c r="P29">
        <v>1</v>
      </c>
      <c r="Q29">
        <v>7.32</v>
      </c>
      <c r="R29" t="s">
        <v>1741</v>
      </c>
    </row>
    <row r="30" spans="1:18" x14ac:dyDescent="0.3">
      <c r="A30" t="s">
        <v>1799</v>
      </c>
      <c r="B30" t="s">
        <v>1800</v>
      </c>
      <c r="C30" t="s">
        <v>1765</v>
      </c>
      <c r="D30" t="s">
        <v>1732</v>
      </c>
      <c r="E30" t="s">
        <v>1740</v>
      </c>
      <c r="F30">
        <v>1000</v>
      </c>
      <c r="G30" t="s">
        <v>1734</v>
      </c>
      <c r="H30">
        <v>6</v>
      </c>
      <c r="I30" s="3">
        <v>193.25</v>
      </c>
      <c r="J30" s="3">
        <v>256.12</v>
      </c>
      <c r="K30" t="s">
        <v>113</v>
      </c>
      <c r="L30">
        <v>17</v>
      </c>
      <c r="M30">
        <v>24</v>
      </c>
      <c r="N30">
        <v>207</v>
      </c>
      <c r="O30" s="2">
        <v>45980</v>
      </c>
      <c r="P30">
        <v>1</v>
      </c>
      <c r="Q30">
        <v>25.42</v>
      </c>
      <c r="R30" t="s">
        <v>1750</v>
      </c>
    </row>
    <row r="31" spans="1:18" x14ac:dyDescent="0.3">
      <c r="A31" t="s">
        <v>1801</v>
      </c>
      <c r="B31" t="s">
        <v>1802</v>
      </c>
      <c r="C31" t="s">
        <v>1746</v>
      </c>
      <c r="D31" t="s">
        <v>1732</v>
      </c>
      <c r="E31" t="s">
        <v>1740</v>
      </c>
      <c r="F31">
        <v>250</v>
      </c>
      <c r="G31" t="s">
        <v>1734</v>
      </c>
      <c r="H31">
        <v>24</v>
      </c>
      <c r="I31" s="3">
        <v>177.06</v>
      </c>
      <c r="J31" s="3">
        <v>235.72</v>
      </c>
      <c r="K31" t="s">
        <v>142</v>
      </c>
      <c r="L31">
        <v>9</v>
      </c>
      <c r="M31">
        <v>4</v>
      </c>
      <c r="N31">
        <v>229</v>
      </c>
      <c r="O31" s="2">
        <v>45696</v>
      </c>
      <c r="P31">
        <v>1</v>
      </c>
      <c r="Q31">
        <v>74.209999999999994</v>
      </c>
      <c r="R31" t="s">
        <v>1774</v>
      </c>
    </row>
    <row r="32" spans="1:18" x14ac:dyDescent="0.3">
      <c r="A32" t="s">
        <v>1803</v>
      </c>
      <c r="B32" t="s">
        <v>1804</v>
      </c>
      <c r="C32" t="s">
        <v>1746</v>
      </c>
      <c r="D32" t="s">
        <v>1732</v>
      </c>
      <c r="E32" t="s">
        <v>1753</v>
      </c>
      <c r="F32">
        <v>1000</v>
      </c>
      <c r="G32" t="s">
        <v>1734</v>
      </c>
      <c r="H32">
        <v>12</v>
      </c>
      <c r="I32" s="3">
        <v>46.09</v>
      </c>
      <c r="J32" s="3">
        <v>57.47</v>
      </c>
      <c r="K32" t="s">
        <v>144</v>
      </c>
      <c r="L32">
        <v>13</v>
      </c>
      <c r="M32">
        <v>12</v>
      </c>
      <c r="N32">
        <v>323</v>
      </c>
      <c r="O32" s="2">
        <v>45364</v>
      </c>
      <c r="P32">
        <v>1</v>
      </c>
      <c r="Q32">
        <v>43.17</v>
      </c>
      <c r="R32" t="s">
        <v>77</v>
      </c>
    </row>
    <row r="33" spans="1:18" x14ac:dyDescent="0.3">
      <c r="A33" t="s">
        <v>1805</v>
      </c>
      <c r="B33" t="s">
        <v>1806</v>
      </c>
      <c r="C33" t="s">
        <v>1746</v>
      </c>
      <c r="D33" t="s">
        <v>1732</v>
      </c>
      <c r="E33" t="s">
        <v>1760</v>
      </c>
      <c r="F33">
        <v>1000</v>
      </c>
      <c r="G33" t="s">
        <v>1734</v>
      </c>
      <c r="H33">
        <v>12</v>
      </c>
      <c r="I33" s="3">
        <v>86.88</v>
      </c>
      <c r="J33" s="3">
        <v>109.29</v>
      </c>
      <c r="K33" t="s">
        <v>162</v>
      </c>
      <c r="L33">
        <v>7</v>
      </c>
      <c r="M33">
        <v>4</v>
      </c>
      <c r="N33">
        <v>333</v>
      </c>
      <c r="O33" s="2">
        <v>45384</v>
      </c>
      <c r="P33">
        <v>1</v>
      </c>
      <c r="Q33">
        <v>57.39</v>
      </c>
      <c r="R33" t="s">
        <v>77</v>
      </c>
    </row>
    <row r="34" spans="1:18" x14ac:dyDescent="0.3">
      <c r="A34" t="s">
        <v>1807</v>
      </c>
      <c r="B34" t="s">
        <v>1808</v>
      </c>
      <c r="C34" t="s">
        <v>1731</v>
      </c>
      <c r="D34" t="s">
        <v>1732</v>
      </c>
      <c r="E34" t="s">
        <v>1753</v>
      </c>
      <c r="F34">
        <v>1500</v>
      </c>
      <c r="G34" t="s">
        <v>1734</v>
      </c>
      <c r="H34">
        <v>12</v>
      </c>
      <c r="I34" s="3">
        <v>48.93</v>
      </c>
      <c r="J34" s="3">
        <v>59.99</v>
      </c>
      <c r="K34" t="s">
        <v>98</v>
      </c>
      <c r="L34">
        <v>11</v>
      </c>
      <c r="M34">
        <v>4</v>
      </c>
      <c r="N34">
        <v>261</v>
      </c>
      <c r="O34" s="2">
        <v>45784</v>
      </c>
      <c r="P34">
        <v>1</v>
      </c>
      <c r="Q34">
        <v>8.73</v>
      </c>
      <c r="R34" t="s">
        <v>1741</v>
      </c>
    </row>
    <row r="35" spans="1:18" x14ac:dyDescent="0.3">
      <c r="A35" t="s">
        <v>1809</v>
      </c>
      <c r="B35" t="s">
        <v>1810</v>
      </c>
      <c r="C35" t="s">
        <v>1731</v>
      </c>
      <c r="D35" t="s">
        <v>1732</v>
      </c>
      <c r="E35" t="s">
        <v>1733</v>
      </c>
      <c r="F35">
        <v>500</v>
      </c>
      <c r="G35" t="s">
        <v>1734</v>
      </c>
      <c r="H35">
        <v>36</v>
      </c>
      <c r="I35" s="3">
        <v>152.32</v>
      </c>
      <c r="J35" s="3">
        <v>188.98</v>
      </c>
      <c r="K35" t="s">
        <v>104</v>
      </c>
      <c r="L35">
        <v>8</v>
      </c>
      <c r="M35">
        <v>2</v>
      </c>
      <c r="N35">
        <v>303</v>
      </c>
      <c r="O35" s="2">
        <v>45813</v>
      </c>
      <c r="P35">
        <v>1</v>
      </c>
      <c r="Q35">
        <v>55.66</v>
      </c>
      <c r="R35" t="s">
        <v>77</v>
      </c>
    </row>
    <row r="36" spans="1:18" x14ac:dyDescent="0.3">
      <c r="A36" t="s">
        <v>1811</v>
      </c>
      <c r="B36" t="s">
        <v>1812</v>
      </c>
      <c r="C36" t="s">
        <v>1746</v>
      </c>
      <c r="D36" t="s">
        <v>1732</v>
      </c>
      <c r="E36" t="s">
        <v>1753</v>
      </c>
      <c r="F36">
        <v>500</v>
      </c>
      <c r="G36" t="s">
        <v>1734</v>
      </c>
      <c r="H36">
        <v>36</v>
      </c>
      <c r="I36" s="3">
        <v>107.86</v>
      </c>
      <c r="J36" s="3">
        <v>137.01</v>
      </c>
      <c r="K36" t="s">
        <v>164</v>
      </c>
      <c r="L36">
        <v>13</v>
      </c>
      <c r="M36">
        <v>48</v>
      </c>
      <c r="N36">
        <v>339</v>
      </c>
      <c r="O36" s="2">
        <v>45472</v>
      </c>
      <c r="P36">
        <v>1</v>
      </c>
      <c r="Q36">
        <v>41.74</v>
      </c>
      <c r="R36" t="s">
        <v>77</v>
      </c>
    </row>
    <row r="37" spans="1:18" x14ac:dyDescent="0.3">
      <c r="A37" t="s">
        <v>1813</v>
      </c>
      <c r="B37" t="s">
        <v>1814</v>
      </c>
      <c r="C37" t="s">
        <v>1765</v>
      </c>
      <c r="D37" t="s">
        <v>1732</v>
      </c>
      <c r="E37" t="s">
        <v>1760</v>
      </c>
      <c r="F37">
        <v>1500</v>
      </c>
      <c r="G37" t="s">
        <v>1734</v>
      </c>
      <c r="H37">
        <v>6</v>
      </c>
      <c r="I37" s="3">
        <v>225.87</v>
      </c>
      <c r="J37" s="3">
        <v>277.45</v>
      </c>
      <c r="K37" t="s">
        <v>170</v>
      </c>
      <c r="L37">
        <v>13</v>
      </c>
      <c r="M37">
        <v>12</v>
      </c>
      <c r="N37">
        <v>175</v>
      </c>
      <c r="O37" s="2">
        <v>45550</v>
      </c>
      <c r="P37">
        <v>1</v>
      </c>
      <c r="Q37">
        <v>84.18</v>
      </c>
      <c r="R37" t="s">
        <v>1774</v>
      </c>
    </row>
    <row r="38" spans="1:18" x14ac:dyDescent="0.3">
      <c r="A38" t="s">
        <v>1815</v>
      </c>
      <c r="B38" t="s">
        <v>1816</v>
      </c>
      <c r="C38" t="s">
        <v>1765</v>
      </c>
      <c r="D38" t="s">
        <v>1732</v>
      </c>
      <c r="E38" t="s">
        <v>1753</v>
      </c>
      <c r="F38">
        <v>1000</v>
      </c>
      <c r="G38" t="s">
        <v>1734</v>
      </c>
      <c r="H38">
        <v>6</v>
      </c>
      <c r="I38" s="3">
        <v>147.66999999999999</v>
      </c>
      <c r="J38" s="3">
        <v>188.56</v>
      </c>
      <c r="K38" t="s">
        <v>189</v>
      </c>
      <c r="L38">
        <v>13</v>
      </c>
      <c r="M38">
        <v>12</v>
      </c>
      <c r="N38">
        <v>335</v>
      </c>
      <c r="O38" s="2">
        <v>45740</v>
      </c>
      <c r="P38">
        <v>1</v>
      </c>
      <c r="Q38">
        <v>12.87</v>
      </c>
      <c r="R38" t="s">
        <v>1750</v>
      </c>
    </row>
    <row r="39" spans="1:18" x14ac:dyDescent="0.3">
      <c r="A39" t="s">
        <v>1817</v>
      </c>
      <c r="B39" t="s">
        <v>1818</v>
      </c>
      <c r="C39" t="s">
        <v>1746</v>
      </c>
      <c r="D39" t="s">
        <v>1732</v>
      </c>
      <c r="E39" t="s">
        <v>1740</v>
      </c>
      <c r="F39">
        <v>250</v>
      </c>
      <c r="G39" t="s">
        <v>1734</v>
      </c>
      <c r="H39">
        <v>12</v>
      </c>
      <c r="I39" s="3">
        <v>163.88</v>
      </c>
      <c r="J39" s="3">
        <v>200.99</v>
      </c>
      <c r="K39" t="s">
        <v>184</v>
      </c>
      <c r="L39">
        <v>17</v>
      </c>
      <c r="M39">
        <v>2</v>
      </c>
      <c r="N39">
        <v>335</v>
      </c>
      <c r="O39" s="2">
        <v>45977</v>
      </c>
      <c r="P39">
        <v>1</v>
      </c>
      <c r="Q39">
        <v>46.06</v>
      </c>
      <c r="R39" t="s">
        <v>77</v>
      </c>
    </row>
    <row r="40" spans="1:18" x14ac:dyDescent="0.3">
      <c r="A40" t="s">
        <v>1819</v>
      </c>
      <c r="B40" t="s">
        <v>1820</v>
      </c>
      <c r="C40" t="s">
        <v>1749</v>
      </c>
      <c r="D40" t="s">
        <v>1732</v>
      </c>
      <c r="E40" t="s">
        <v>1733</v>
      </c>
      <c r="F40">
        <v>250</v>
      </c>
      <c r="G40" t="s">
        <v>1734</v>
      </c>
      <c r="H40">
        <v>36</v>
      </c>
      <c r="I40" s="3">
        <v>73.61</v>
      </c>
      <c r="J40" s="3">
        <v>92.98</v>
      </c>
      <c r="K40" t="s">
        <v>194</v>
      </c>
      <c r="L40">
        <v>14</v>
      </c>
      <c r="M40">
        <v>4</v>
      </c>
      <c r="N40">
        <v>197</v>
      </c>
      <c r="O40" s="2">
        <v>45704</v>
      </c>
      <c r="P40">
        <v>1</v>
      </c>
      <c r="Q40">
        <v>41.5</v>
      </c>
      <c r="R40" t="s">
        <v>77</v>
      </c>
    </row>
    <row r="41" spans="1:18" x14ac:dyDescent="0.3">
      <c r="A41" t="s">
        <v>1821</v>
      </c>
      <c r="B41" t="s">
        <v>1822</v>
      </c>
      <c r="C41" t="s">
        <v>1731</v>
      </c>
      <c r="D41" t="s">
        <v>1732</v>
      </c>
      <c r="E41" t="s">
        <v>1733</v>
      </c>
      <c r="F41">
        <v>250</v>
      </c>
      <c r="G41" t="s">
        <v>1734</v>
      </c>
      <c r="H41">
        <v>12</v>
      </c>
      <c r="I41" s="3">
        <v>115.53</v>
      </c>
      <c r="J41" s="3">
        <v>142.79</v>
      </c>
      <c r="K41" t="s">
        <v>128</v>
      </c>
      <c r="L41">
        <v>13</v>
      </c>
      <c r="M41">
        <v>4</v>
      </c>
      <c r="N41">
        <v>256</v>
      </c>
      <c r="O41" s="2">
        <v>45643</v>
      </c>
      <c r="P41">
        <v>1</v>
      </c>
      <c r="Q41">
        <v>47.77</v>
      </c>
      <c r="R41" t="s">
        <v>77</v>
      </c>
    </row>
    <row r="42" spans="1:18" x14ac:dyDescent="0.3">
      <c r="A42" t="s">
        <v>1823</v>
      </c>
      <c r="B42" t="s">
        <v>1824</v>
      </c>
      <c r="C42" t="s">
        <v>1765</v>
      </c>
      <c r="D42" t="s">
        <v>1732</v>
      </c>
      <c r="E42" t="s">
        <v>1740</v>
      </c>
      <c r="F42">
        <v>500</v>
      </c>
      <c r="G42" t="s">
        <v>1734</v>
      </c>
      <c r="H42">
        <v>12</v>
      </c>
      <c r="I42" s="3">
        <v>64.91</v>
      </c>
      <c r="J42" s="3">
        <v>83.86</v>
      </c>
      <c r="K42" t="s">
        <v>135</v>
      </c>
      <c r="L42">
        <v>20</v>
      </c>
      <c r="M42">
        <v>2</v>
      </c>
      <c r="N42">
        <v>299</v>
      </c>
      <c r="O42" s="2">
        <v>45850</v>
      </c>
      <c r="P42">
        <v>1</v>
      </c>
      <c r="Q42">
        <v>14.63</v>
      </c>
      <c r="R42" t="s">
        <v>1750</v>
      </c>
    </row>
    <row r="43" spans="1:18" x14ac:dyDescent="0.3">
      <c r="A43" t="s">
        <v>1825</v>
      </c>
      <c r="B43" t="s">
        <v>1826</v>
      </c>
      <c r="C43" t="s">
        <v>1731</v>
      </c>
      <c r="D43" t="s">
        <v>1732</v>
      </c>
      <c r="E43" t="s">
        <v>1753</v>
      </c>
      <c r="F43">
        <v>250</v>
      </c>
      <c r="G43" t="s">
        <v>1734</v>
      </c>
      <c r="H43">
        <v>36</v>
      </c>
      <c r="I43" s="3">
        <v>90.45</v>
      </c>
      <c r="J43" s="3">
        <v>120.55</v>
      </c>
      <c r="K43" t="s">
        <v>113</v>
      </c>
      <c r="L43">
        <v>17</v>
      </c>
      <c r="M43">
        <v>24</v>
      </c>
      <c r="N43">
        <v>145</v>
      </c>
      <c r="O43" s="2">
        <v>45962</v>
      </c>
      <c r="P43">
        <v>1</v>
      </c>
      <c r="Q43">
        <v>14.51</v>
      </c>
      <c r="R43" t="s">
        <v>1750</v>
      </c>
    </row>
    <row r="44" spans="1:18" x14ac:dyDescent="0.3">
      <c r="A44" t="s">
        <v>1827</v>
      </c>
      <c r="B44" t="s">
        <v>1828</v>
      </c>
      <c r="C44" t="s">
        <v>1765</v>
      </c>
      <c r="D44" t="s">
        <v>1732</v>
      </c>
      <c r="E44" t="s">
        <v>1760</v>
      </c>
      <c r="F44">
        <v>1000</v>
      </c>
      <c r="G44" t="s">
        <v>1734</v>
      </c>
      <c r="H44">
        <v>6</v>
      </c>
      <c r="I44" s="3">
        <v>87.14</v>
      </c>
      <c r="J44" s="3">
        <v>109.41</v>
      </c>
      <c r="K44" t="s">
        <v>194</v>
      </c>
      <c r="L44">
        <v>14</v>
      </c>
      <c r="M44">
        <v>100</v>
      </c>
      <c r="N44">
        <v>156</v>
      </c>
      <c r="O44" s="2">
        <v>45948</v>
      </c>
      <c r="P44">
        <v>1</v>
      </c>
      <c r="Q44">
        <v>91.09</v>
      </c>
      <c r="R44" t="s">
        <v>1774</v>
      </c>
    </row>
    <row r="45" spans="1:18" x14ac:dyDescent="0.3">
      <c r="A45" t="s">
        <v>1829</v>
      </c>
      <c r="B45" t="s">
        <v>1830</v>
      </c>
      <c r="C45" t="s">
        <v>1746</v>
      </c>
      <c r="D45" t="s">
        <v>1732</v>
      </c>
      <c r="E45" t="s">
        <v>1760</v>
      </c>
      <c r="F45">
        <v>15000</v>
      </c>
      <c r="G45" t="s">
        <v>1734</v>
      </c>
      <c r="H45">
        <v>1</v>
      </c>
      <c r="I45" s="3">
        <v>112.49</v>
      </c>
      <c r="J45" s="3">
        <v>137.69</v>
      </c>
      <c r="K45" t="s">
        <v>158</v>
      </c>
      <c r="L45">
        <v>18</v>
      </c>
      <c r="M45">
        <v>4</v>
      </c>
      <c r="N45">
        <v>327</v>
      </c>
      <c r="O45" s="2">
        <v>45466</v>
      </c>
      <c r="P45">
        <v>1</v>
      </c>
      <c r="Q45">
        <v>22.44</v>
      </c>
      <c r="R45" t="s">
        <v>1750</v>
      </c>
    </row>
    <row r="46" spans="1:18" x14ac:dyDescent="0.3">
      <c r="A46" t="s">
        <v>1831</v>
      </c>
      <c r="B46" t="s">
        <v>1832</v>
      </c>
      <c r="C46" t="s">
        <v>1746</v>
      </c>
      <c r="D46" t="s">
        <v>1732</v>
      </c>
      <c r="E46" t="s">
        <v>1733</v>
      </c>
      <c r="F46">
        <v>330</v>
      </c>
      <c r="G46" t="s">
        <v>1734</v>
      </c>
      <c r="H46">
        <v>36</v>
      </c>
      <c r="I46" s="3">
        <v>170.78</v>
      </c>
      <c r="J46" s="3">
        <v>209.51</v>
      </c>
      <c r="K46" t="s">
        <v>135</v>
      </c>
      <c r="L46">
        <v>20</v>
      </c>
      <c r="M46">
        <v>6</v>
      </c>
      <c r="N46">
        <v>221</v>
      </c>
      <c r="O46" s="2">
        <v>45801</v>
      </c>
      <c r="P46">
        <v>1</v>
      </c>
      <c r="Q46">
        <v>78.38</v>
      </c>
      <c r="R46" t="s">
        <v>1774</v>
      </c>
    </row>
    <row r="47" spans="1:18" x14ac:dyDescent="0.3">
      <c r="A47" t="s">
        <v>1833</v>
      </c>
      <c r="B47" t="s">
        <v>1834</v>
      </c>
      <c r="C47" t="s">
        <v>1749</v>
      </c>
      <c r="D47" t="s">
        <v>1732</v>
      </c>
      <c r="E47" t="s">
        <v>1753</v>
      </c>
      <c r="F47">
        <v>500</v>
      </c>
      <c r="G47" t="s">
        <v>1734</v>
      </c>
      <c r="H47">
        <v>36</v>
      </c>
      <c r="I47" s="3">
        <v>101.31</v>
      </c>
      <c r="J47" s="3">
        <v>132.52000000000001</v>
      </c>
      <c r="K47" t="s">
        <v>125</v>
      </c>
      <c r="L47">
        <v>23</v>
      </c>
      <c r="M47">
        <v>12</v>
      </c>
      <c r="N47">
        <v>322</v>
      </c>
      <c r="O47" s="2">
        <v>45555</v>
      </c>
      <c r="P47">
        <v>1</v>
      </c>
      <c r="Q47">
        <v>14.16</v>
      </c>
      <c r="R47" t="s">
        <v>1750</v>
      </c>
    </row>
    <row r="48" spans="1:18" x14ac:dyDescent="0.3">
      <c r="A48" t="s">
        <v>1835</v>
      </c>
      <c r="B48" t="s">
        <v>1836</v>
      </c>
      <c r="C48" t="s">
        <v>1737</v>
      </c>
      <c r="D48" t="s">
        <v>1732</v>
      </c>
      <c r="E48" t="s">
        <v>1733</v>
      </c>
      <c r="F48">
        <v>500</v>
      </c>
      <c r="G48" t="s">
        <v>1734</v>
      </c>
      <c r="H48">
        <v>24</v>
      </c>
      <c r="I48" s="3">
        <v>75.52</v>
      </c>
      <c r="J48" s="3">
        <v>100.53</v>
      </c>
      <c r="K48" t="s">
        <v>189</v>
      </c>
      <c r="L48">
        <v>13</v>
      </c>
      <c r="M48">
        <v>1</v>
      </c>
      <c r="N48">
        <v>141</v>
      </c>
      <c r="O48" s="2">
        <v>45305</v>
      </c>
      <c r="P48">
        <v>1</v>
      </c>
      <c r="Q48">
        <v>63.83</v>
      </c>
      <c r="R48" t="s">
        <v>77</v>
      </c>
    </row>
    <row r="49" spans="1:18" x14ac:dyDescent="0.3">
      <c r="A49" t="s">
        <v>1837</v>
      </c>
      <c r="B49" t="s">
        <v>1838</v>
      </c>
      <c r="C49" t="s">
        <v>1749</v>
      </c>
      <c r="D49" t="s">
        <v>1732</v>
      </c>
      <c r="E49" t="s">
        <v>1740</v>
      </c>
      <c r="F49">
        <v>250</v>
      </c>
      <c r="G49" t="s">
        <v>1734</v>
      </c>
      <c r="H49">
        <v>24</v>
      </c>
      <c r="I49" s="3">
        <v>35</v>
      </c>
      <c r="J49" s="3">
        <v>45.64</v>
      </c>
      <c r="K49" t="s">
        <v>194</v>
      </c>
      <c r="L49">
        <v>14</v>
      </c>
      <c r="M49">
        <v>4</v>
      </c>
      <c r="N49">
        <v>128</v>
      </c>
      <c r="O49" s="2">
        <v>45670</v>
      </c>
      <c r="P49">
        <v>1</v>
      </c>
      <c r="Q49">
        <v>7.45</v>
      </c>
      <c r="R49" t="s">
        <v>1741</v>
      </c>
    </row>
    <row r="50" spans="1:18" x14ac:dyDescent="0.3">
      <c r="A50" t="s">
        <v>1839</v>
      </c>
      <c r="B50" t="s">
        <v>1840</v>
      </c>
      <c r="C50" t="s">
        <v>1765</v>
      </c>
      <c r="D50" t="s">
        <v>1732</v>
      </c>
      <c r="E50" t="s">
        <v>1760</v>
      </c>
      <c r="F50">
        <v>15000</v>
      </c>
      <c r="G50" t="s">
        <v>1734</v>
      </c>
      <c r="H50">
        <v>4</v>
      </c>
      <c r="I50" s="3">
        <v>143.58000000000001</v>
      </c>
      <c r="J50" s="3">
        <v>183.63</v>
      </c>
      <c r="K50" t="s">
        <v>150</v>
      </c>
      <c r="L50">
        <v>11</v>
      </c>
      <c r="M50">
        <v>12</v>
      </c>
      <c r="N50">
        <v>217</v>
      </c>
      <c r="O50" s="2">
        <v>45569</v>
      </c>
      <c r="P50">
        <v>1</v>
      </c>
      <c r="Q50">
        <v>49.36</v>
      </c>
      <c r="R50" t="s">
        <v>77</v>
      </c>
    </row>
    <row r="51" spans="1:18" x14ac:dyDescent="0.3">
      <c r="A51" t="s">
        <v>1841</v>
      </c>
      <c r="B51" t="s">
        <v>1842</v>
      </c>
      <c r="C51" t="s">
        <v>1737</v>
      </c>
      <c r="D51" t="s">
        <v>1732</v>
      </c>
      <c r="E51" t="s">
        <v>1753</v>
      </c>
      <c r="F51">
        <v>1000</v>
      </c>
      <c r="G51" t="s">
        <v>1734</v>
      </c>
      <c r="H51">
        <v>6</v>
      </c>
      <c r="I51" s="3">
        <v>40.24</v>
      </c>
      <c r="J51" s="3">
        <v>53.42</v>
      </c>
      <c r="K51" t="s">
        <v>196</v>
      </c>
      <c r="L51">
        <v>25</v>
      </c>
      <c r="M51">
        <v>48</v>
      </c>
      <c r="N51">
        <v>307</v>
      </c>
      <c r="O51" s="2">
        <v>45351</v>
      </c>
      <c r="P51">
        <v>1</v>
      </c>
      <c r="Q51">
        <v>9.02</v>
      </c>
      <c r="R51" t="s">
        <v>1750</v>
      </c>
    </row>
    <row r="52" spans="1:18" x14ac:dyDescent="0.3">
      <c r="A52" t="s">
        <v>1843</v>
      </c>
      <c r="B52" t="s">
        <v>1844</v>
      </c>
      <c r="C52" t="s">
        <v>1749</v>
      </c>
      <c r="D52" t="s">
        <v>1732</v>
      </c>
      <c r="E52" t="s">
        <v>1760</v>
      </c>
      <c r="F52">
        <v>500</v>
      </c>
      <c r="G52" t="s">
        <v>1734</v>
      </c>
      <c r="H52">
        <v>36</v>
      </c>
      <c r="I52" s="3">
        <v>125.64</v>
      </c>
      <c r="J52" s="3">
        <v>157.18</v>
      </c>
      <c r="K52" t="s">
        <v>131</v>
      </c>
      <c r="L52">
        <v>11</v>
      </c>
      <c r="M52">
        <v>6</v>
      </c>
      <c r="N52">
        <v>292</v>
      </c>
      <c r="O52" s="2">
        <v>45926</v>
      </c>
      <c r="P52">
        <v>1</v>
      </c>
      <c r="Q52">
        <v>17.89</v>
      </c>
      <c r="R52" t="s">
        <v>1750</v>
      </c>
    </row>
    <row r="53" spans="1:18" x14ac:dyDescent="0.3">
      <c r="A53" t="s">
        <v>1845</v>
      </c>
      <c r="B53" t="s">
        <v>1846</v>
      </c>
      <c r="C53" t="s">
        <v>1749</v>
      </c>
      <c r="D53" t="s">
        <v>1732</v>
      </c>
      <c r="E53" t="s">
        <v>1753</v>
      </c>
      <c r="F53">
        <v>250</v>
      </c>
      <c r="G53" t="s">
        <v>1734</v>
      </c>
      <c r="H53">
        <v>24</v>
      </c>
      <c r="I53" s="3">
        <v>55.47</v>
      </c>
      <c r="J53" s="3">
        <v>70.23</v>
      </c>
      <c r="K53" t="s">
        <v>152</v>
      </c>
      <c r="L53">
        <v>17</v>
      </c>
      <c r="M53">
        <v>48</v>
      </c>
      <c r="N53">
        <v>323</v>
      </c>
      <c r="O53" s="2">
        <v>45970</v>
      </c>
      <c r="P53">
        <v>1</v>
      </c>
      <c r="Q53">
        <v>37.89</v>
      </c>
      <c r="R53" t="s">
        <v>77</v>
      </c>
    </row>
    <row r="54" spans="1:18" x14ac:dyDescent="0.3">
      <c r="A54" t="s">
        <v>1847</v>
      </c>
      <c r="B54" t="s">
        <v>1848</v>
      </c>
      <c r="C54" t="s">
        <v>1749</v>
      </c>
      <c r="D54" t="s">
        <v>1732</v>
      </c>
      <c r="E54" t="s">
        <v>1733</v>
      </c>
      <c r="F54">
        <v>250</v>
      </c>
      <c r="G54" t="s">
        <v>1734</v>
      </c>
      <c r="H54">
        <v>24</v>
      </c>
      <c r="I54" s="3">
        <v>68.400000000000006</v>
      </c>
      <c r="J54" s="3">
        <v>85.44</v>
      </c>
      <c r="K54" t="s">
        <v>152</v>
      </c>
      <c r="L54">
        <v>17</v>
      </c>
      <c r="M54">
        <v>1</v>
      </c>
      <c r="N54">
        <v>148</v>
      </c>
      <c r="O54" s="2">
        <v>45756</v>
      </c>
      <c r="P54">
        <v>1</v>
      </c>
      <c r="Q54">
        <v>123.63</v>
      </c>
      <c r="R54" t="s">
        <v>1774</v>
      </c>
    </row>
    <row r="55" spans="1:18" x14ac:dyDescent="0.3">
      <c r="A55" t="s">
        <v>1849</v>
      </c>
      <c r="B55" t="s">
        <v>1850</v>
      </c>
      <c r="C55" t="s">
        <v>1737</v>
      </c>
      <c r="D55" t="s">
        <v>1732</v>
      </c>
      <c r="E55" t="s">
        <v>1733</v>
      </c>
      <c r="F55">
        <v>330</v>
      </c>
      <c r="G55" t="s">
        <v>1734</v>
      </c>
      <c r="H55">
        <v>24</v>
      </c>
      <c r="I55" s="3">
        <v>126.62</v>
      </c>
      <c r="J55" s="3">
        <v>164.69</v>
      </c>
      <c r="K55" t="s">
        <v>128</v>
      </c>
      <c r="L55">
        <v>13</v>
      </c>
      <c r="M55">
        <v>12</v>
      </c>
      <c r="N55">
        <v>140</v>
      </c>
      <c r="O55" s="2">
        <v>45497</v>
      </c>
      <c r="P55">
        <v>1</v>
      </c>
      <c r="Q55">
        <v>117.73</v>
      </c>
      <c r="R55" t="s">
        <v>1774</v>
      </c>
    </row>
    <row r="56" spans="1:18" x14ac:dyDescent="0.3">
      <c r="A56" t="s">
        <v>1851</v>
      </c>
      <c r="B56" t="s">
        <v>1852</v>
      </c>
      <c r="C56" t="s">
        <v>1737</v>
      </c>
      <c r="D56" t="s">
        <v>1732</v>
      </c>
      <c r="E56" t="s">
        <v>1740</v>
      </c>
      <c r="F56">
        <v>250</v>
      </c>
      <c r="G56" t="s">
        <v>1734</v>
      </c>
      <c r="H56">
        <v>36</v>
      </c>
      <c r="I56" s="3">
        <v>113.65</v>
      </c>
      <c r="J56" s="3">
        <v>144.72999999999999</v>
      </c>
      <c r="K56" t="s">
        <v>98</v>
      </c>
      <c r="L56">
        <v>11</v>
      </c>
      <c r="M56">
        <v>12</v>
      </c>
      <c r="N56">
        <v>361</v>
      </c>
      <c r="O56" s="2">
        <v>45513</v>
      </c>
      <c r="P56">
        <v>1</v>
      </c>
      <c r="Q56">
        <v>66.010000000000005</v>
      </c>
      <c r="R56" t="s">
        <v>77</v>
      </c>
    </row>
    <row r="57" spans="1:18" x14ac:dyDescent="0.3">
      <c r="A57" t="s">
        <v>1853</v>
      </c>
      <c r="B57" t="s">
        <v>1854</v>
      </c>
      <c r="C57" t="s">
        <v>1746</v>
      </c>
      <c r="D57" t="s">
        <v>1732</v>
      </c>
      <c r="E57" t="s">
        <v>1753</v>
      </c>
      <c r="F57">
        <v>500</v>
      </c>
      <c r="G57" t="s">
        <v>1734</v>
      </c>
      <c r="H57">
        <v>12</v>
      </c>
      <c r="I57" s="3">
        <v>80.11</v>
      </c>
      <c r="J57" s="3">
        <v>101</v>
      </c>
      <c r="K57" t="s">
        <v>160</v>
      </c>
      <c r="L57">
        <v>16</v>
      </c>
      <c r="M57">
        <v>48</v>
      </c>
      <c r="N57">
        <v>249</v>
      </c>
      <c r="O57" s="2">
        <v>45931</v>
      </c>
      <c r="P57">
        <v>1</v>
      </c>
      <c r="Q57">
        <v>22.49</v>
      </c>
      <c r="R57" t="s">
        <v>1750</v>
      </c>
    </row>
    <row r="58" spans="1:18" x14ac:dyDescent="0.3">
      <c r="A58" t="s">
        <v>1855</v>
      </c>
      <c r="B58" t="s">
        <v>1856</v>
      </c>
      <c r="C58" t="s">
        <v>1737</v>
      </c>
      <c r="D58" t="s">
        <v>1732</v>
      </c>
      <c r="E58" t="s">
        <v>1740</v>
      </c>
      <c r="F58">
        <v>250</v>
      </c>
      <c r="G58" t="s">
        <v>1734</v>
      </c>
      <c r="H58">
        <v>12</v>
      </c>
      <c r="I58" s="3">
        <v>188.83</v>
      </c>
      <c r="J58" s="3">
        <v>245.79</v>
      </c>
      <c r="K58" t="s">
        <v>108</v>
      </c>
      <c r="L58">
        <v>9</v>
      </c>
      <c r="M58">
        <v>2</v>
      </c>
      <c r="N58">
        <v>179</v>
      </c>
      <c r="O58" s="2">
        <v>45928</v>
      </c>
      <c r="P58">
        <v>1</v>
      </c>
      <c r="Q58">
        <v>22.69</v>
      </c>
      <c r="R58" t="s">
        <v>1750</v>
      </c>
    </row>
    <row r="59" spans="1:18" x14ac:dyDescent="0.3">
      <c r="A59" t="s">
        <v>1857</v>
      </c>
      <c r="B59" t="s">
        <v>1858</v>
      </c>
      <c r="C59" t="s">
        <v>1765</v>
      </c>
      <c r="D59" t="s">
        <v>1732</v>
      </c>
      <c r="E59" t="s">
        <v>1740</v>
      </c>
      <c r="F59">
        <v>1000</v>
      </c>
      <c r="G59" t="s">
        <v>1734</v>
      </c>
      <c r="H59">
        <v>12</v>
      </c>
      <c r="I59" s="3">
        <v>247.45</v>
      </c>
      <c r="J59" s="3">
        <v>318.33999999999997</v>
      </c>
      <c r="K59" t="s">
        <v>125</v>
      </c>
      <c r="L59">
        <v>23</v>
      </c>
      <c r="M59">
        <v>1</v>
      </c>
      <c r="N59">
        <v>221</v>
      </c>
      <c r="O59" s="2">
        <v>45299</v>
      </c>
      <c r="P59">
        <v>1</v>
      </c>
      <c r="Q59">
        <v>3.54</v>
      </c>
      <c r="R59" t="s">
        <v>1741</v>
      </c>
    </row>
    <row r="60" spans="1:18" x14ac:dyDescent="0.3">
      <c r="A60" t="s">
        <v>1859</v>
      </c>
      <c r="B60" t="s">
        <v>1860</v>
      </c>
      <c r="C60" t="s">
        <v>1749</v>
      </c>
      <c r="D60" t="s">
        <v>1732</v>
      </c>
      <c r="E60" t="s">
        <v>1760</v>
      </c>
      <c r="F60">
        <v>1500</v>
      </c>
      <c r="G60" t="s">
        <v>1734</v>
      </c>
      <c r="H60">
        <v>6</v>
      </c>
      <c r="I60" s="3">
        <v>108.5</v>
      </c>
      <c r="J60" s="3">
        <v>143.59</v>
      </c>
      <c r="K60" t="s">
        <v>160</v>
      </c>
      <c r="L60">
        <v>16</v>
      </c>
      <c r="M60">
        <v>24</v>
      </c>
      <c r="N60">
        <v>362</v>
      </c>
      <c r="O60" s="2">
        <v>45312</v>
      </c>
      <c r="P60">
        <v>1</v>
      </c>
      <c r="Q60">
        <v>8.8000000000000007</v>
      </c>
      <c r="R60" t="s">
        <v>1750</v>
      </c>
    </row>
    <row r="61" spans="1:18" x14ac:dyDescent="0.3">
      <c r="A61" t="s">
        <v>1861</v>
      </c>
      <c r="B61" t="s">
        <v>1862</v>
      </c>
      <c r="C61" t="s">
        <v>1746</v>
      </c>
      <c r="D61" t="s">
        <v>1732</v>
      </c>
      <c r="E61" t="s">
        <v>1753</v>
      </c>
      <c r="F61">
        <v>1500</v>
      </c>
      <c r="G61" t="s">
        <v>1734</v>
      </c>
      <c r="H61">
        <v>12</v>
      </c>
      <c r="I61" s="3">
        <v>219.97</v>
      </c>
      <c r="J61" s="3">
        <v>283.39999999999998</v>
      </c>
      <c r="K61" t="s">
        <v>178</v>
      </c>
      <c r="L61">
        <v>12</v>
      </c>
      <c r="M61">
        <v>12</v>
      </c>
      <c r="N61">
        <v>348</v>
      </c>
      <c r="O61" s="2">
        <v>45906</v>
      </c>
      <c r="P61">
        <v>1</v>
      </c>
      <c r="Q61">
        <v>57.3</v>
      </c>
      <c r="R61" t="s">
        <v>77</v>
      </c>
    </row>
    <row r="62" spans="1:18" x14ac:dyDescent="0.3">
      <c r="A62" t="s">
        <v>1863</v>
      </c>
      <c r="B62" t="s">
        <v>1864</v>
      </c>
      <c r="C62" t="s">
        <v>1731</v>
      </c>
      <c r="D62" t="s">
        <v>1732</v>
      </c>
      <c r="E62" t="s">
        <v>1753</v>
      </c>
      <c r="F62">
        <v>250</v>
      </c>
      <c r="G62" t="s">
        <v>1734</v>
      </c>
      <c r="H62">
        <v>12</v>
      </c>
      <c r="I62" s="3">
        <v>79.930000000000007</v>
      </c>
      <c r="J62" s="3">
        <v>103.74</v>
      </c>
      <c r="K62" t="s">
        <v>144</v>
      </c>
      <c r="L62">
        <v>13</v>
      </c>
      <c r="M62">
        <v>2</v>
      </c>
      <c r="N62">
        <v>204</v>
      </c>
      <c r="O62" s="2">
        <v>45330</v>
      </c>
      <c r="P62">
        <v>1</v>
      </c>
      <c r="Q62">
        <v>66.63</v>
      </c>
      <c r="R62" t="s">
        <v>77</v>
      </c>
    </row>
    <row r="63" spans="1:18" x14ac:dyDescent="0.3">
      <c r="A63" t="s">
        <v>1865</v>
      </c>
      <c r="B63" t="s">
        <v>1866</v>
      </c>
      <c r="C63" t="s">
        <v>1746</v>
      </c>
      <c r="D63" t="s">
        <v>1732</v>
      </c>
      <c r="E63" t="s">
        <v>1740</v>
      </c>
      <c r="F63">
        <v>1000</v>
      </c>
      <c r="G63" t="s">
        <v>1734</v>
      </c>
      <c r="H63">
        <v>6</v>
      </c>
      <c r="I63" s="3">
        <v>108.6</v>
      </c>
      <c r="J63" s="3">
        <v>140.54</v>
      </c>
      <c r="K63" t="s">
        <v>128</v>
      </c>
      <c r="L63">
        <v>13</v>
      </c>
      <c r="M63">
        <v>48</v>
      </c>
      <c r="N63">
        <v>218</v>
      </c>
      <c r="O63" s="2">
        <v>45555</v>
      </c>
      <c r="P63">
        <v>1</v>
      </c>
      <c r="Q63">
        <v>102.61</v>
      </c>
      <c r="R63" t="s">
        <v>1774</v>
      </c>
    </row>
    <row r="64" spans="1:18" x14ac:dyDescent="0.3">
      <c r="A64" t="s">
        <v>1867</v>
      </c>
      <c r="B64" t="s">
        <v>1868</v>
      </c>
      <c r="C64" t="s">
        <v>1749</v>
      </c>
      <c r="D64" t="s">
        <v>1732</v>
      </c>
      <c r="E64" t="s">
        <v>1753</v>
      </c>
      <c r="F64">
        <v>250</v>
      </c>
      <c r="G64" t="s">
        <v>1734</v>
      </c>
      <c r="H64">
        <v>12</v>
      </c>
      <c r="I64" s="3">
        <v>199.84</v>
      </c>
      <c r="J64" s="3">
        <v>249.83</v>
      </c>
      <c r="K64" t="s">
        <v>146</v>
      </c>
      <c r="L64">
        <v>15</v>
      </c>
      <c r="M64">
        <v>12</v>
      </c>
      <c r="N64">
        <v>284</v>
      </c>
      <c r="O64" s="2">
        <v>45836</v>
      </c>
      <c r="P64">
        <v>1</v>
      </c>
      <c r="Q64">
        <v>20.46</v>
      </c>
      <c r="R64" t="s">
        <v>1750</v>
      </c>
    </row>
    <row r="65" spans="1:18" x14ac:dyDescent="0.3">
      <c r="A65" t="s">
        <v>1869</v>
      </c>
      <c r="B65" t="s">
        <v>1870</v>
      </c>
      <c r="C65" t="s">
        <v>1749</v>
      </c>
      <c r="D65" t="s">
        <v>1732</v>
      </c>
      <c r="E65" t="s">
        <v>1740</v>
      </c>
      <c r="F65">
        <v>250</v>
      </c>
      <c r="G65" t="s">
        <v>1734</v>
      </c>
      <c r="H65">
        <v>36</v>
      </c>
      <c r="I65" s="3">
        <v>73.790000000000006</v>
      </c>
      <c r="J65" s="3">
        <v>95.23</v>
      </c>
      <c r="K65" t="s">
        <v>152</v>
      </c>
      <c r="L65">
        <v>17</v>
      </c>
      <c r="M65">
        <v>1</v>
      </c>
      <c r="N65">
        <v>155</v>
      </c>
      <c r="O65" s="2">
        <v>45389</v>
      </c>
      <c r="P65">
        <v>1</v>
      </c>
      <c r="Q65">
        <v>64.28</v>
      </c>
      <c r="R65" t="s">
        <v>77</v>
      </c>
    </row>
    <row r="66" spans="1:18" x14ac:dyDescent="0.3">
      <c r="A66" t="s">
        <v>1871</v>
      </c>
      <c r="B66" t="s">
        <v>1872</v>
      </c>
      <c r="C66" t="s">
        <v>1737</v>
      </c>
      <c r="D66" t="s">
        <v>1732</v>
      </c>
      <c r="E66" t="s">
        <v>1733</v>
      </c>
      <c r="F66">
        <v>250</v>
      </c>
      <c r="G66" t="s">
        <v>1734</v>
      </c>
      <c r="H66">
        <v>24</v>
      </c>
      <c r="I66" s="3">
        <v>35</v>
      </c>
      <c r="J66" s="3">
        <v>45.34</v>
      </c>
      <c r="K66" t="s">
        <v>191</v>
      </c>
      <c r="L66">
        <v>8</v>
      </c>
      <c r="M66">
        <v>24</v>
      </c>
      <c r="N66">
        <v>158</v>
      </c>
      <c r="O66" s="2">
        <v>45750</v>
      </c>
      <c r="P66">
        <v>1</v>
      </c>
      <c r="Q66">
        <v>153.51</v>
      </c>
      <c r="R66" t="s">
        <v>1774</v>
      </c>
    </row>
    <row r="67" spans="1:18" x14ac:dyDescent="0.3">
      <c r="A67" t="s">
        <v>1873</v>
      </c>
      <c r="B67" t="s">
        <v>1874</v>
      </c>
      <c r="C67" t="s">
        <v>1746</v>
      </c>
      <c r="D67" t="s">
        <v>1732</v>
      </c>
      <c r="E67" t="s">
        <v>1733</v>
      </c>
      <c r="F67">
        <v>330</v>
      </c>
      <c r="G67" t="s">
        <v>1734</v>
      </c>
      <c r="H67">
        <v>12</v>
      </c>
      <c r="I67" s="3">
        <v>183.81</v>
      </c>
      <c r="J67" s="3">
        <v>226.11</v>
      </c>
      <c r="K67" t="s">
        <v>144</v>
      </c>
      <c r="L67">
        <v>13</v>
      </c>
      <c r="M67">
        <v>24</v>
      </c>
      <c r="N67">
        <v>140</v>
      </c>
      <c r="O67" s="2">
        <v>45559</v>
      </c>
      <c r="P67">
        <v>1</v>
      </c>
      <c r="Q67">
        <v>19.97</v>
      </c>
      <c r="R67" t="s">
        <v>1750</v>
      </c>
    </row>
    <row r="68" spans="1:18" x14ac:dyDescent="0.3">
      <c r="A68" t="s">
        <v>1875</v>
      </c>
      <c r="B68" t="s">
        <v>1876</v>
      </c>
      <c r="C68" t="s">
        <v>1749</v>
      </c>
      <c r="D68" t="s">
        <v>1732</v>
      </c>
      <c r="E68" t="s">
        <v>1740</v>
      </c>
      <c r="F68">
        <v>1000</v>
      </c>
      <c r="G68" t="s">
        <v>1734</v>
      </c>
      <c r="H68">
        <v>6</v>
      </c>
      <c r="I68" s="3">
        <v>71.45</v>
      </c>
      <c r="J68" s="3">
        <v>87.79</v>
      </c>
      <c r="K68" t="s">
        <v>158</v>
      </c>
      <c r="L68">
        <v>18</v>
      </c>
      <c r="M68">
        <v>24</v>
      </c>
      <c r="N68">
        <v>186</v>
      </c>
      <c r="O68" s="2">
        <v>45448</v>
      </c>
      <c r="P68">
        <v>1</v>
      </c>
      <c r="Q68">
        <v>49.53</v>
      </c>
      <c r="R68" t="s">
        <v>77</v>
      </c>
    </row>
    <row r="69" spans="1:18" x14ac:dyDescent="0.3">
      <c r="A69" t="s">
        <v>1877</v>
      </c>
      <c r="B69" t="s">
        <v>1878</v>
      </c>
      <c r="C69" t="s">
        <v>1879</v>
      </c>
      <c r="D69" t="s">
        <v>1880</v>
      </c>
      <c r="E69" t="s">
        <v>1881</v>
      </c>
      <c r="F69">
        <v>150</v>
      </c>
      <c r="G69" t="s">
        <v>1882</v>
      </c>
      <c r="H69">
        <v>12</v>
      </c>
      <c r="I69" s="3">
        <v>158.19999999999999</v>
      </c>
      <c r="J69" s="3">
        <v>212.97</v>
      </c>
      <c r="K69" t="s">
        <v>184</v>
      </c>
      <c r="L69">
        <v>17</v>
      </c>
      <c r="M69">
        <v>100</v>
      </c>
      <c r="N69">
        <v>219</v>
      </c>
      <c r="O69" s="2">
        <v>45709</v>
      </c>
      <c r="P69">
        <v>1</v>
      </c>
      <c r="Q69">
        <v>33.67</v>
      </c>
      <c r="R69" t="s">
        <v>77</v>
      </c>
    </row>
    <row r="70" spans="1:18" x14ac:dyDescent="0.3">
      <c r="A70" t="s">
        <v>1883</v>
      </c>
      <c r="B70" t="s">
        <v>1884</v>
      </c>
      <c r="C70" t="s">
        <v>1731</v>
      </c>
      <c r="D70" t="s">
        <v>1880</v>
      </c>
      <c r="E70" t="s">
        <v>1885</v>
      </c>
      <c r="F70">
        <v>50</v>
      </c>
      <c r="G70" t="s">
        <v>1882</v>
      </c>
      <c r="H70">
        <v>36</v>
      </c>
      <c r="I70" s="3">
        <v>52.01</v>
      </c>
      <c r="J70" s="3">
        <v>67.34</v>
      </c>
      <c r="K70" t="s">
        <v>121</v>
      </c>
      <c r="L70">
        <v>15</v>
      </c>
      <c r="M70">
        <v>4</v>
      </c>
      <c r="N70">
        <v>212</v>
      </c>
      <c r="O70" s="2">
        <v>45336</v>
      </c>
      <c r="P70">
        <v>1</v>
      </c>
      <c r="Q70">
        <v>71.11</v>
      </c>
      <c r="R70" t="s">
        <v>1774</v>
      </c>
    </row>
    <row r="71" spans="1:18" x14ac:dyDescent="0.3">
      <c r="A71" t="s">
        <v>1886</v>
      </c>
      <c r="B71" t="s">
        <v>1887</v>
      </c>
      <c r="C71" t="s">
        <v>1888</v>
      </c>
      <c r="D71" t="s">
        <v>1880</v>
      </c>
      <c r="E71" t="s">
        <v>1889</v>
      </c>
      <c r="F71">
        <v>40</v>
      </c>
      <c r="G71" t="s">
        <v>1882</v>
      </c>
      <c r="H71">
        <v>60</v>
      </c>
      <c r="I71" s="3">
        <v>69.2</v>
      </c>
      <c r="J71" s="3">
        <v>87.01</v>
      </c>
      <c r="K71" t="s">
        <v>135</v>
      </c>
      <c r="L71">
        <v>20</v>
      </c>
      <c r="M71">
        <v>6</v>
      </c>
      <c r="N71">
        <v>301</v>
      </c>
      <c r="O71" s="2">
        <v>45478</v>
      </c>
      <c r="P71">
        <v>1</v>
      </c>
      <c r="Q71">
        <v>30.87</v>
      </c>
      <c r="R71" t="s">
        <v>77</v>
      </c>
    </row>
    <row r="72" spans="1:18" x14ac:dyDescent="0.3">
      <c r="A72" t="s">
        <v>1890</v>
      </c>
      <c r="B72" t="s">
        <v>1891</v>
      </c>
      <c r="C72" t="s">
        <v>1892</v>
      </c>
      <c r="D72" t="s">
        <v>1880</v>
      </c>
      <c r="E72" t="s">
        <v>1881</v>
      </c>
      <c r="F72">
        <v>80</v>
      </c>
      <c r="G72" t="s">
        <v>1882</v>
      </c>
      <c r="H72">
        <v>36</v>
      </c>
      <c r="I72" s="3">
        <v>141.82</v>
      </c>
      <c r="J72" s="3">
        <v>193.29</v>
      </c>
      <c r="K72" t="s">
        <v>178</v>
      </c>
      <c r="L72">
        <v>12</v>
      </c>
      <c r="M72">
        <v>2</v>
      </c>
      <c r="N72">
        <v>361</v>
      </c>
      <c r="O72" s="2">
        <v>45323</v>
      </c>
      <c r="P72">
        <v>1</v>
      </c>
      <c r="Q72">
        <v>23.88</v>
      </c>
      <c r="R72" t="s">
        <v>1750</v>
      </c>
    </row>
    <row r="73" spans="1:18" x14ac:dyDescent="0.3">
      <c r="A73" t="s">
        <v>1893</v>
      </c>
      <c r="B73" t="s">
        <v>1894</v>
      </c>
      <c r="C73" t="s">
        <v>1879</v>
      </c>
      <c r="D73" t="s">
        <v>1880</v>
      </c>
      <c r="E73" t="s">
        <v>1895</v>
      </c>
      <c r="F73">
        <v>120</v>
      </c>
      <c r="G73" t="s">
        <v>1882</v>
      </c>
      <c r="H73">
        <v>36</v>
      </c>
      <c r="I73" s="3">
        <v>39.29</v>
      </c>
      <c r="J73" s="3">
        <v>49.72</v>
      </c>
      <c r="K73" t="s">
        <v>189</v>
      </c>
      <c r="L73">
        <v>13</v>
      </c>
      <c r="M73">
        <v>12</v>
      </c>
      <c r="N73">
        <v>339</v>
      </c>
      <c r="O73" s="2">
        <v>45355</v>
      </c>
      <c r="P73">
        <v>1</v>
      </c>
      <c r="Q73">
        <v>91.91</v>
      </c>
      <c r="R73" t="s">
        <v>1774</v>
      </c>
    </row>
    <row r="74" spans="1:18" x14ac:dyDescent="0.3">
      <c r="A74" t="s">
        <v>1896</v>
      </c>
      <c r="B74" t="s">
        <v>1897</v>
      </c>
      <c r="C74" t="s">
        <v>1879</v>
      </c>
      <c r="D74" t="s">
        <v>1880</v>
      </c>
      <c r="E74" t="s">
        <v>1885</v>
      </c>
      <c r="F74">
        <v>200</v>
      </c>
      <c r="G74" t="s">
        <v>1882</v>
      </c>
      <c r="H74">
        <v>12</v>
      </c>
      <c r="I74" s="3">
        <v>83.44</v>
      </c>
      <c r="J74" s="3">
        <v>109.11</v>
      </c>
      <c r="K74" t="s">
        <v>196</v>
      </c>
      <c r="L74">
        <v>25</v>
      </c>
      <c r="M74">
        <v>4</v>
      </c>
      <c r="N74">
        <v>283</v>
      </c>
      <c r="O74" s="2">
        <v>45967</v>
      </c>
      <c r="P74">
        <v>1</v>
      </c>
      <c r="Q74">
        <v>6.62</v>
      </c>
      <c r="R74" t="s">
        <v>1750</v>
      </c>
    </row>
    <row r="75" spans="1:18" x14ac:dyDescent="0.3">
      <c r="A75" t="s">
        <v>1898</v>
      </c>
      <c r="B75" t="s">
        <v>1899</v>
      </c>
      <c r="C75" t="s">
        <v>1731</v>
      </c>
      <c r="D75" t="s">
        <v>1880</v>
      </c>
      <c r="E75" t="s">
        <v>1885</v>
      </c>
      <c r="F75">
        <v>200</v>
      </c>
      <c r="G75" t="s">
        <v>1882</v>
      </c>
      <c r="H75">
        <v>36</v>
      </c>
      <c r="I75" s="3">
        <v>75.66</v>
      </c>
      <c r="J75" s="3">
        <v>95.55</v>
      </c>
      <c r="K75" t="s">
        <v>158</v>
      </c>
      <c r="L75">
        <v>18</v>
      </c>
      <c r="M75">
        <v>2</v>
      </c>
      <c r="N75">
        <v>349</v>
      </c>
      <c r="O75" s="2">
        <v>45633</v>
      </c>
      <c r="P75">
        <v>1</v>
      </c>
      <c r="Q75">
        <v>46.42</v>
      </c>
      <c r="R75" t="s">
        <v>77</v>
      </c>
    </row>
    <row r="76" spans="1:18" x14ac:dyDescent="0.3">
      <c r="A76" t="s">
        <v>1900</v>
      </c>
      <c r="B76" t="s">
        <v>1901</v>
      </c>
      <c r="C76" t="s">
        <v>1888</v>
      </c>
      <c r="D76" t="s">
        <v>1880</v>
      </c>
      <c r="E76" t="s">
        <v>1895</v>
      </c>
      <c r="F76">
        <v>80</v>
      </c>
      <c r="G76" t="s">
        <v>1882</v>
      </c>
      <c r="H76">
        <v>60</v>
      </c>
      <c r="I76" s="3">
        <v>66.11</v>
      </c>
      <c r="J76" s="3">
        <v>94.23</v>
      </c>
      <c r="K76" t="s">
        <v>194</v>
      </c>
      <c r="L76">
        <v>14</v>
      </c>
      <c r="M76">
        <v>48</v>
      </c>
      <c r="N76">
        <v>319</v>
      </c>
      <c r="O76" s="2">
        <v>45538</v>
      </c>
      <c r="P76">
        <v>1</v>
      </c>
      <c r="Q76">
        <v>51.95</v>
      </c>
      <c r="R76" t="s">
        <v>77</v>
      </c>
    </row>
    <row r="77" spans="1:18" x14ac:dyDescent="0.3">
      <c r="A77" t="s">
        <v>1902</v>
      </c>
      <c r="B77" t="s">
        <v>1903</v>
      </c>
      <c r="C77" t="s">
        <v>1904</v>
      </c>
      <c r="D77" t="s">
        <v>1880</v>
      </c>
      <c r="E77" t="s">
        <v>1895</v>
      </c>
      <c r="F77">
        <v>30</v>
      </c>
      <c r="G77" t="s">
        <v>1882</v>
      </c>
      <c r="H77">
        <v>60</v>
      </c>
      <c r="I77" s="3">
        <v>123.6</v>
      </c>
      <c r="J77" s="3">
        <v>176.44</v>
      </c>
      <c r="K77" t="s">
        <v>121</v>
      </c>
      <c r="L77">
        <v>15</v>
      </c>
      <c r="M77">
        <v>4</v>
      </c>
      <c r="N77">
        <v>342</v>
      </c>
      <c r="O77" s="2">
        <v>45703</v>
      </c>
      <c r="P77">
        <v>1</v>
      </c>
      <c r="Q77">
        <v>16.010000000000002</v>
      </c>
      <c r="R77" t="s">
        <v>1750</v>
      </c>
    </row>
    <row r="78" spans="1:18" x14ac:dyDescent="0.3">
      <c r="A78" t="s">
        <v>1905</v>
      </c>
      <c r="B78" t="s">
        <v>1906</v>
      </c>
      <c r="C78" t="s">
        <v>1879</v>
      </c>
      <c r="D78" t="s">
        <v>1880</v>
      </c>
      <c r="E78" t="s">
        <v>1895</v>
      </c>
      <c r="F78">
        <v>80</v>
      </c>
      <c r="G78" t="s">
        <v>1882</v>
      </c>
      <c r="H78">
        <v>60</v>
      </c>
      <c r="I78" s="3">
        <v>149.41999999999999</v>
      </c>
      <c r="J78" s="3">
        <v>189.32</v>
      </c>
      <c r="K78" t="s">
        <v>184</v>
      </c>
      <c r="L78">
        <v>17</v>
      </c>
      <c r="M78">
        <v>100</v>
      </c>
      <c r="N78">
        <v>215</v>
      </c>
      <c r="O78" s="2">
        <v>45708</v>
      </c>
      <c r="P78">
        <v>1</v>
      </c>
      <c r="Q78">
        <v>32.82</v>
      </c>
      <c r="R78" t="s">
        <v>77</v>
      </c>
    </row>
    <row r="79" spans="1:18" x14ac:dyDescent="0.3">
      <c r="A79" t="s">
        <v>1907</v>
      </c>
      <c r="B79" t="s">
        <v>1908</v>
      </c>
      <c r="C79" t="s">
        <v>1904</v>
      </c>
      <c r="D79" t="s">
        <v>1880</v>
      </c>
      <c r="E79" t="s">
        <v>1885</v>
      </c>
      <c r="F79">
        <v>200</v>
      </c>
      <c r="G79" t="s">
        <v>1882</v>
      </c>
      <c r="H79">
        <v>24</v>
      </c>
      <c r="I79" s="3">
        <v>127.53</v>
      </c>
      <c r="J79" s="3">
        <v>173.15</v>
      </c>
      <c r="K79" t="s">
        <v>174</v>
      </c>
      <c r="L79">
        <v>10</v>
      </c>
      <c r="M79">
        <v>12</v>
      </c>
      <c r="N79">
        <v>363</v>
      </c>
      <c r="O79" s="2">
        <v>45530</v>
      </c>
      <c r="P79">
        <v>1</v>
      </c>
      <c r="Q79">
        <v>53</v>
      </c>
      <c r="R79" t="s">
        <v>77</v>
      </c>
    </row>
    <row r="80" spans="1:18" x14ac:dyDescent="0.3">
      <c r="A80" t="s">
        <v>1909</v>
      </c>
      <c r="B80" t="s">
        <v>1910</v>
      </c>
      <c r="C80" t="s">
        <v>1892</v>
      </c>
      <c r="D80" t="s">
        <v>1880</v>
      </c>
      <c r="E80" t="s">
        <v>1881</v>
      </c>
      <c r="F80">
        <v>150</v>
      </c>
      <c r="G80" t="s">
        <v>1882</v>
      </c>
      <c r="H80">
        <v>12</v>
      </c>
      <c r="I80" s="3">
        <v>128.03</v>
      </c>
      <c r="J80" s="3">
        <v>162.16999999999999</v>
      </c>
      <c r="K80" t="s">
        <v>133</v>
      </c>
      <c r="L80">
        <v>15</v>
      </c>
      <c r="M80">
        <v>12</v>
      </c>
      <c r="N80">
        <v>190</v>
      </c>
      <c r="O80" s="2">
        <v>45806</v>
      </c>
      <c r="P80">
        <v>1</v>
      </c>
      <c r="Q80">
        <v>53.03</v>
      </c>
      <c r="R80" t="s">
        <v>77</v>
      </c>
    </row>
    <row r="81" spans="1:18" x14ac:dyDescent="0.3">
      <c r="A81" t="s">
        <v>1911</v>
      </c>
      <c r="B81" t="s">
        <v>1912</v>
      </c>
      <c r="C81" t="s">
        <v>1731</v>
      </c>
      <c r="D81" t="s">
        <v>1880</v>
      </c>
      <c r="E81" t="s">
        <v>1885</v>
      </c>
      <c r="F81">
        <v>100</v>
      </c>
      <c r="G81" t="s">
        <v>1882</v>
      </c>
      <c r="H81">
        <v>48</v>
      </c>
      <c r="I81" s="3">
        <v>99.76</v>
      </c>
      <c r="J81" s="3">
        <v>131.54</v>
      </c>
      <c r="K81" t="s">
        <v>191</v>
      </c>
      <c r="L81">
        <v>8</v>
      </c>
      <c r="M81">
        <v>2</v>
      </c>
      <c r="N81">
        <v>216</v>
      </c>
      <c r="O81" s="2">
        <v>45723</v>
      </c>
      <c r="P81">
        <v>1</v>
      </c>
      <c r="Q81">
        <v>12.8</v>
      </c>
      <c r="R81" t="s">
        <v>1750</v>
      </c>
    </row>
    <row r="82" spans="1:18" x14ac:dyDescent="0.3">
      <c r="A82" t="s">
        <v>1913</v>
      </c>
      <c r="B82" t="s">
        <v>1914</v>
      </c>
      <c r="C82" t="s">
        <v>1879</v>
      </c>
      <c r="D82" t="s">
        <v>1880</v>
      </c>
      <c r="E82" t="s">
        <v>1881</v>
      </c>
      <c r="F82">
        <v>150</v>
      </c>
      <c r="G82" t="s">
        <v>1882</v>
      </c>
      <c r="H82">
        <v>36</v>
      </c>
      <c r="I82" s="3">
        <v>113.53</v>
      </c>
      <c r="J82" s="3">
        <v>146.11000000000001</v>
      </c>
      <c r="K82" t="s">
        <v>160</v>
      </c>
      <c r="L82">
        <v>16</v>
      </c>
      <c r="M82">
        <v>100</v>
      </c>
      <c r="N82">
        <v>185</v>
      </c>
      <c r="O82" s="2">
        <v>45394</v>
      </c>
      <c r="P82">
        <v>1</v>
      </c>
      <c r="Q82">
        <v>4.71</v>
      </c>
      <c r="R82" t="s">
        <v>1741</v>
      </c>
    </row>
    <row r="83" spans="1:18" x14ac:dyDescent="0.3">
      <c r="A83" t="s">
        <v>1915</v>
      </c>
      <c r="B83" t="s">
        <v>1916</v>
      </c>
      <c r="C83" t="s">
        <v>1731</v>
      </c>
      <c r="D83" t="s">
        <v>1880</v>
      </c>
      <c r="E83" t="s">
        <v>1895</v>
      </c>
      <c r="F83">
        <v>50</v>
      </c>
      <c r="G83" t="s">
        <v>1882</v>
      </c>
      <c r="H83">
        <v>48</v>
      </c>
      <c r="I83" s="3">
        <v>94</v>
      </c>
      <c r="J83" s="3">
        <v>133.84</v>
      </c>
      <c r="K83" t="s">
        <v>182</v>
      </c>
      <c r="L83">
        <v>10</v>
      </c>
      <c r="M83">
        <v>6</v>
      </c>
      <c r="N83">
        <v>330</v>
      </c>
      <c r="O83" s="2">
        <v>45486</v>
      </c>
      <c r="P83">
        <v>1</v>
      </c>
      <c r="Q83">
        <v>111.03</v>
      </c>
      <c r="R83" t="s">
        <v>1774</v>
      </c>
    </row>
    <row r="84" spans="1:18" x14ac:dyDescent="0.3">
      <c r="A84" t="s">
        <v>1917</v>
      </c>
      <c r="B84" t="s">
        <v>1918</v>
      </c>
      <c r="C84" t="s">
        <v>1731</v>
      </c>
      <c r="D84" t="s">
        <v>1880</v>
      </c>
      <c r="E84" t="s">
        <v>1895</v>
      </c>
      <c r="F84">
        <v>80</v>
      </c>
      <c r="G84" t="s">
        <v>1882</v>
      </c>
      <c r="H84">
        <v>48</v>
      </c>
      <c r="I84" s="3">
        <v>79.83</v>
      </c>
      <c r="J84" s="3">
        <v>107.3</v>
      </c>
      <c r="K84" t="s">
        <v>184</v>
      </c>
      <c r="L84">
        <v>17</v>
      </c>
      <c r="M84">
        <v>100</v>
      </c>
      <c r="N84">
        <v>326</v>
      </c>
      <c r="O84" s="2">
        <v>45420</v>
      </c>
      <c r="P84">
        <v>1</v>
      </c>
      <c r="Q84">
        <v>56.58</v>
      </c>
      <c r="R84" t="s">
        <v>77</v>
      </c>
    </row>
    <row r="85" spans="1:18" x14ac:dyDescent="0.3">
      <c r="A85" t="s">
        <v>1919</v>
      </c>
      <c r="B85" t="s">
        <v>1920</v>
      </c>
      <c r="C85" t="s">
        <v>1888</v>
      </c>
      <c r="D85" t="s">
        <v>1880</v>
      </c>
      <c r="E85" t="s">
        <v>1895</v>
      </c>
      <c r="F85">
        <v>80</v>
      </c>
      <c r="G85" t="s">
        <v>1882</v>
      </c>
      <c r="H85">
        <v>36</v>
      </c>
      <c r="I85" s="3">
        <v>147.97</v>
      </c>
      <c r="J85" s="3">
        <v>197.28</v>
      </c>
      <c r="K85" t="s">
        <v>131</v>
      </c>
      <c r="L85">
        <v>11</v>
      </c>
      <c r="M85">
        <v>48</v>
      </c>
      <c r="N85">
        <v>225</v>
      </c>
      <c r="O85" s="2">
        <v>45882</v>
      </c>
      <c r="P85">
        <v>1</v>
      </c>
      <c r="Q85">
        <v>91.38</v>
      </c>
      <c r="R85" t="s">
        <v>1774</v>
      </c>
    </row>
    <row r="86" spans="1:18" x14ac:dyDescent="0.3">
      <c r="A86" t="s">
        <v>1921</v>
      </c>
      <c r="B86" t="s">
        <v>1922</v>
      </c>
      <c r="C86" t="s">
        <v>1888</v>
      </c>
      <c r="D86" t="s">
        <v>1880</v>
      </c>
      <c r="E86" t="s">
        <v>1885</v>
      </c>
      <c r="F86">
        <v>100</v>
      </c>
      <c r="G86" t="s">
        <v>1882</v>
      </c>
      <c r="H86">
        <v>36</v>
      </c>
      <c r="I86" s="3">
        <v>45.69</v>
      </c>
      <c r="J86" s="3">
        <v>58.02</v>
      </c>
      <c r="K86" t="s">
        <v>194</v>
      </c>
      <c r="L86">
        <v>14</v>
      </c>
      <c r="M86">
        <v>12</v>
      </c>
      <c r="N86">
        <v>335</v>
      </c>
      <c r="O86" s="2">
        <v>45536</v>
      </c>
      <c r="P86">
        <v>1</v>
      </c>
      <c r="Q86">
        <v>22.44</v>
      </c>
      <c r="R86" t="s">
        <v>1750</v>
      </c>
    </row>
    <row r="87" spans="1:18" x14ac:dyDescent="0.3">
      <c r="A87" t="s">
        <v>1923</v>
      </c>
      <c r="B87" t="s">
        <v>1924</v>
      </c>
      <c r="C87" t="s">
        <v>1731</v>
      </c>
      <c r="D87" t="s">
        <v>1880</v>
      </c>
      <c r="E87" t="s">
        <v>1885</v>
      </c>
      <c r="F87">
        <v>100</v>
      </c>
      <c r="G87" t="s">
        <v>1882</v>
      </c>
      <c r="H87">
        <v>24</v>
      </c>
      <c r="I87" s="3">
        <v>122.81</v>
      </c>
      <c r="J87" s="3">
        <v>153.56</v>
      </c>
      <c r="K87" t="s">
        <v>150</v>
      </c>
      <c r="L87">
        <v>11</v>
      </c>
      <c r="M87">
        <v>48</v>
      </c>
      <c r="N87">
        <v>213</v>
      </c>
      <c r="O87" s="2">
        <v>45788</v>
      </c>
      <c r="P87">
        <v>1</v>
      </c>
      <c r="Q87">
        <v>5.49</v>
      </c>
      <c r="R87" t="s">
        <v>1741</v>
      </c>
    </row>
    <row r="88" spans="1:18" x14ac:dyDescent="0.3">
      <c r="A88" t="s">
        <v>1925</v>
      </c>
      <c r="B88" t="s">
        <v>1926</v>
      </c>
      <c r="C88" t="s">
        <v>1731</v>
      </c>
      <c r="D88" t="s">
        <v>1880</v>
      </c>
      <c r="E88" t="s">
        <v>1881</v>
      </c>
      <c r="F88">
        <v>80</v>
      </c>
      <c r="G88" t="s">
        <v>1882</v>
      </c>
      <c r="H88">
        <v>60</v>
      </c>
      <c r="I88" s="3">
        <v>104.55</v>
      </c>
      <c r="J88" s="3">
        <v>137.99</v>
      </c>
      <c r="K88" t="s">
        <v>108</v>
      </c>
      <c r="L88">
        <v>9</v>
      </c>
      <c r="M88">
        <v>48</v>
      </c>
      <c r="N88">
        <v>206</v>
      </c>
      <c r="O88" s="2">
        <v>45503</v>
      </c>
      <c r="P88">
        <v>1</v>
      </c>
      <c r="Q88">
        <v>12.03</v>
      </c>
      <c r="R88" t="s">
        <v>1750</v>
      </c>
    </row>
    <row r="89" spans="1:18" x14ac:dyDescent="0.3">
      <c r="A89" t="s">
        <v>1927</v>
      </c>
      <c r="B89" t="s">
        <v>1928</v>
      </c>
      <c r="C89" t="s">
        <v>1892</v>
      </c>
      <c r="D89" t="s">
        <v>1880</v>
      </c>
      <c r="E89" t="s">
        <v>1881</v>
      </c>
      <c r="F89">
        <v>150</v>
      </c>
      <c r="G89" t="s">
        <v>1882</v>
      </c>
      <c r="H89">
        <v>12</v>
      </c>
      <c r="I89" s="3">
        <v>69.08</v>
      </c>
      <c r="J89" s="3">
        <v>96.16</v>
      </c>
      <c r="K89" t="s">
        <v>191</v>
      </c>
      <c r="L89">
        <v>8</v>
      </c>
      <c r="M89">
        <v>1</v>
      </c>
      <c r="N89">
        <v>261</v>
      </c>
      <c r="O89" s="2">
        <v>45482</v>
      </c>
      <c r="P89">
        <v>1</v>
      </c>
      <c r="Q89">
        <v>84.72</v>
      </c>
      <c r="R89" t="s">
        <v>1774</v>
      </c>
    </row>
    <row r="90" spans="1:18" x14ac:dyDescent="0.3">
      <c r="A90" t="s">
        <v>1929</v>
      </c>
      <c r="B90" t="s">
        <v>1930</v>
      </c>
      <c r="C90" t="s">
        <v>1879</v>
      </c>
      <c r="D90" t="s">
        <v>1880</v>
      </c>
      <c r="E90" t="s">
        <v>1889</v>
      </c>
      <c r="F90">
        <v>40</v>
      </c>
      <c r="G90" t="s">
        <v>1882</v>
      </c>
      <c r="H90">
        <v>48</v>
      </c>
      <c r="I90" s="3">
        <v>20</v>
      </c>
      <c r="J90" s="3">
        <v>27.01</v>
      </c>
      <c r="K90" t="s">
        <v>162</v>
      </c>
      <c r="L90">
        <v>7</v>
      </c>
      <c r="M90">
        <v>6</v>
      </c>
      <c r="N90">
        <v>334</v>
      </c>
      <c r="O90" s="2">
        <v>45631</v>
      </c>
      <c r="P90">
        <v>1</v>
      </c>
      <c r="Q90">
        <v>62.52</v>
      </c>
      <c r="R90" t="s">
        <v>77</v>
      </c>
    </row>
    <row r="91" spans="1:18" x14ac:dyDescent="0.3">
      <c r="A91" t="s">
        <v>1931</v>
      </c>
      <c r="B91" t="s">
        <v>1932</v>
      </c>
      <c r="C91" t="s">
        <v>1888</v>
      </c>
      <c r="D91" t="s">
        <v>1880</v>
      </c>
      <c r="E91" t="s">
        <v>1881</v>
      </c>
      <c r="F91">
        <v>250</v>
      </c>
      <c r="G91" t="s">
        <v>1882</v>
      </c>
      <c r="H91">
        <v>36</v>
      </c>
      <c r="I91" s="3">
        <v>46.4</v>
      </c>
      <c r="J91" s="3">
        <v>64.48</v>
      </c>
      <c r="K91" t="s">
        <v>135</v>
      </c>
      <c r="L91">
        <v>20</v>
      </c>
      <c r="M91">
        <v>4</v>
      </c>
      <c r="N91">
        <v>267</v>
      </c>
      <c r="O91" s="2">
        <v>45836</v>
      </c>
      <c r="P91">
        <v>1</v>
      </c>
      <c r="Q91">
        <v>71.41</v>
      </c>
      <c r="R91" t="s">
        <v>77</v>
      </c>
    </row>
    <row r="92" spans="1:18" x14ac:dyDescent="0.3">
      <c r="A92" t="s">
        <v>1933</v>
      </c>
      <c r="B92" t="s">
        <v>1934</v>
      </c>
      <c r="C92" t="s">
        <v>1892</v>
      </c>
      <c r="D92" t="s">
        <v>1880</v>
      </c>
      <c r="E92" t="s">
        <v>1881</v>
      </c>
      <c r="F92">
        <v>150</v>
      </c>
      <c r="G92" t="s">
        <v>1882</v>
      </c>
      <c r="H92">
        <v>12</v>
      </c>
      <c r="I92" s="3">
        <v>107.66</v>
      </c>
      <c r="J92" s="3">
        <v>147.80000000000001</v>
      </c>
      <c r="K92" t="s">
        <v>121</v>
      </c>
      <c r="L92">
        <v>15</v>
      </c>
      <c r="M92">
        <v>6</v>
      </c>
      <c r="N92">
        <v>358</v>
      </c>
      <c r="O92" s="2">
        <v>45365</v>
      </c>
      <c r="P92">
        <v>1</v>
      </c>
      <c r="Q92">
        <v>16.39</v>
      </c>
      <c r="R92" t="s">
        <v>1750</v>
      </c>
    </row>
    <row r="93" spans="1:18" x14ac:dyDescent="0.3">
      <c r="A93" t="s">
        <v>1935</v>
      </c>
      <c r="B93" t="s">
        <v>1936</v>
      </c>
      <c r="C93" t="s">
        <v>1904</v>
      </c>
      <c r="D93" t="s">
        <v>1880</v>
      </c>
      <c r="E93" t="s">
        <v>1889</v>
      </c>
      <c r="F93">
        <v>120</v>
      </c>
      <c r="G93" t="s">
        <v>1882</v>
      </c>
      <c r="H93">
        <v>36</v>
      </c>
      <c r="I93" s="3">
        <v>22.99</v>
      </c>
      <c r="J93" s="3">
        <v>30.97</v>
      </c>
      <c r="K93" t="s">
        <v>174</v>
      </c>
      <c r="L93">
        <v>10</v>
      </c>
      <c r="M93">
        <v>48</v>
      </c>
      <c r="N93">
        <v>312</v>
      </c>
      <c r="O93" s="2">
        <v>45621</v>
      </c>
      <c r="P93">
        <v>1</v>
      </c>
      <c r="Q93">
        <v>33.39</v>
      </c>
      <c r="R93" t="s">
        <v>77</v>
      </c>
    </row>
    <row r="94" spans="1:18" x14ac:dyDescent="0.3">
      <c r="A94" t="s">
        <v>1937</v>
      </c>
      <c r="B94" t="s">
        <v>1938</v>
      </c>
      <c r="C94" t="s">
        <v>1892</v>
      </c>
      <c r="D94" t="s">
        <v>1880</v>
      </c>
      <c r="E94" t="s">
        <v>1889</v>
      </c>
      <c r="F94">
        <v>120</v>
      </c>
      <c r="G94" t="s">
        <v>1882</v>
      </c>
      <c r="H94">
        <v>36</v>
      </c>
      <c r="I94" s="3">
        <v>162.79</v>
      </c>
      <c r="J94" s="3">
        <v>231.71</v>
      </c>
      <c r="K94" t="s">
        <v>196</v>
      </c>
      <c r="L94">
        <v>25</v>
      </c>
      <c r="M94">
        <v>4</v>
      </c>
      <c r="N94">
        <v>297</v>
      </c>
      <c r="O94" s="2">
        <v>45872</v>
      </c>
      <c r="P94">
        <v>1</v>
      </c>
      <c r="Q94">
        <v>22.43</v>
      </c>
      <c r="R94" t="s">
        <v>1750</v>
      </c>
    </row>
    <row r="95" spans="1:18" x14ac:dyDescent="0.3">
      <c r="A95" t="s">
        <v>1939</v>
      </c>
      <c r="B95" t="s">
        <v>1940</v>
      </c>
      <c r="C95" t="s">
        <v>1888</v>
      </c>
      <c r="D95" t="s">
        <v>1880</v>
      </c>
      <c r="E95" t="s">
        <v>1895</v>
      </c>
      <c r="F95">
        <v>80</v>
      </c>
      <c r="G95" t="s">
        <v>1882</v>
      </c>
      <c r="H95">
        <v>48</v>
      </c>
      <c r="I95" s="3">
        <v>46.63</v>
      </c>
      <c r="J95" s="3">
        <v>60.98</v>
      </c>
      <c r="K95" t="s">
        <v>176</v>
      </c>
      <c r="L95">
        <v>7</v>
      </c>
      <c r="M95">
        <v>1</v>
      </c>
      <c r="N95">
        <v>317</v>
      </c>
      <c r="O95" s="2">
        <v>45795</v>
      </c>
      <c r="P95">
        <v>1</v>
      </c>
      <c r="Q95">
        <v>141.72</v>
      </c>
      <c r="R95" t="s">
        <v>1774</v>
      </c>
    </row>
    <row r="96" spans="1:18" x14ac:dyDescent="0.3">
      <c r="A96" t="s">
        <v>1941</v>
      </c>
      <c r="B96" t="s">
        <v>1942</v>
      </c>
      <c r="C96" t="s">
        <v>1892</v>
      </c>
      <c r="D96" t="s">
        <v>1880</v>
      </c>
      <c r="E96" t="s">
        <v>1885</v>
      </c>
      <c r="F96">
        <v>400</v>
      </c>
      <c r="G96" t="s">
        <v>1882</v>
      </c>
      <c r="H96">
        <v>12</v>
      </c>
      <c r="I96" s="3">
        <v>153.93</v>
      </c>
      <c r="J96" s="3">
        <v>198.09</v>
      </c>
      <c r="K96" t="s">
        <v>121</v>
      </c>
      <c r="L96">
        <v>15</v>
      </c>
      <c r="M96">
        <v>12</v>
      </c>
      <c r="N96">
        <v>338</v>
      </c>
      <c r="O96" s="2">
        <v>45602</v>
      </c>
      <c r="P96">
        <v>1</v>
      </c>
      <c r="Q96">
        <v>6.31</v>
      </c>
      <c r="R96" t="s">
        <v>1741</v>
      </c>
    </row>
    <row r="97" spans="1:18" x14ac:dyDescent="0.3">
      <c r="A97" t="s">
        <v>1943</v>
      </c>
      <c r="B97" t="s">
        <v>1944</v>
      </c>
      <c r="C97" t="s">
        <v>1731</v>
      </c>
      <c r="D97" t="s">
        <v>1880</v>
      </c>
      <c r="E97" t="s">
        <v>1889</v>
      </c>
      <c r="F97">
        <v>40</v>
      </c>
      <c r="G97" t="s">
        <v>1882</v>
      </c>
      <c r="H97">
        <v>24</v>
      </c>
      <c r="I97" s="3">
        <v>130.43</v>
      </c>
      <c r="J97" s="3">
        <v>175.15</v>
      </c>
      <c r="K97" t="s">
        <v>119</v>
      </c>
      <c r="L97">
        <v>12</v>
      </c>
      <c r="M97">
        <v>100</v>
      </c>
      <c r="N97">
        <v>288</v>
      </c>
      <c r="O97" s="2">
        <v>45984</v>
      </c>
      <c r="P97">
        <v>1</v>
      </c>
      <c r="Q97">
        <v>87.22</v>
      </c>
      <c r="R97" t="s">
        <v>1774</v>
      </c>
    </row>
    <row r="98" spans="1:18" x14ac:dyDescent="0.3">
      <c r="A98" t="s">
        <v>1945</v>
      </c>
      <c r="B98" t="s">
        <v>1946</v>
      </c>
      <c r="C98" t="s">
        <v>1879</v>
      </c>
      <c r="D98" t="s">
        <v>1880</v>
      </c>
      <c r="E98" t="s">
        <v>1881</v>
      </c>
      <c r="F98">
        <v>150</v>
      </c>
      <c r="G98" t="s">
        <v>1882</v>
      </c>
      <c r="H98">
        <v>36</v>
      </c>
      <c r="I98" s="3">
        <v>71.099999999999994</v>
      </c>
      <c r="J98" s="3">
        <v>94.41</v>
      </c>
      <c r="K98" t="s">
        <v>138</v>
      </c>
      <c r="L98">
        <v>14</v>
      </c>
      <c r="M98">
        <v>48</v>
      </c>
      <c r="N98">
        <v>183</v>
      </c>
      <c r="O98" s="2">
        <v>45746</v>
      </c>
      <c r="P98">
        <v>1</v>
      </c>
      <c r="Q98">
        <v>51.55</v>
      </c>
      <c r="R98" t="s">
        <v>77</v>
      </c>
    </row>
    <row r="99" spans="1:18" x14ac:dyDescent="0.3">
      <c r="A99" t="s">
        <v>1947</v>
      </c>
      <c r="B99" t="s">
        <v>1948</v>
      </c>
      <c r="C99" t="s">
        <v>1904</v>
      </c>
      <c r="D99" t="s">
        <v>1880</v>
      </c>
      <c r="E99" t="s">
        <v>1885</v>
      </c>
      <c r="F99">
        <v>200</v>
      </c>
      <c r="G99" t="s">
        <v>1882</v>
      </c>
      <c r="H99">
        <v>12</v>
      </c>
      <c r="I99" s="3">
        <v>42.58</v>
      </c>
      <c r="J99" s="3">
        <v>53.98</v>
      </c>
      <c r="K99" t="s">
        <v>182</v>
      </c>
      <c r="L99">
        <v>10</v>
      </c>
      <c r="M99">
        <v>100</v>
      </c>
      <c r="N99">
        <v>287</v>
      </c>
      <c r="O99" s="2">
        <v>45350</v>
      </c>
      <c r="P99">
        <v>1</v>
      </c>
      <c r="Q99">
        <v>9.49</v>
      </c>
      <c r="R99" t="s">
        <v>1741</v>
      </c>
    </row>
    <row r="100" spans="1:18" x14ac:dyDescent="0.3">
      <c r="A100" t="s">
        <v>1949</v>
      </c>
      <c r="B100" t="s">
        <v>1950</v>
      </c>
      <c r="C100" t="s">
        <v>1888</v>
      </c>
      <c r="D100" t="s">
        <v>1880</v>
      </c>
      <c r="E100" t="s">
        <v>1889</v>
      </c>
      <c r="F100">
        <v>200</v>
      </c>
      <c r="G100" t="s">
        <v>1882</v>
      </c>
      <c r="H100">
        <v>24</v>
      </c>
      <c r="I100" s="3">
        <v>40.57</v>
      </c>
      <c r="J100" s="3">
        <v>56.77</v>
      </c>
      <c r="K100" t="s">
        <v>168</v>
      </c>
      <c r="L100">
        <v>10</v>
      </c>
      <c r="M100">
        <v>6</v>
      </c>
      <c r="N100">
        <v>238</v>
      </c>
      <c r="O100" s="2">
        <v>45874</v>
      </c>
      <c r="P100">
        <v>1</v>
      </c>
      <c r="Q100">
        <v>3.61</v>
      </c>
      <c r="R100" t="s">
        <v>1741</v>
      </c>
    </row>
    <row r="101" spans="1:18" x14ac:dyDescent="0.3">
      <c r="A101" t="s">
        <v>1951</v>
      </c>
      <c r="B101" t="s">
        <v>1952</v>
      </c>
      <c r="C101" t="s">
        <v>1892</v>
      </c>
      <c r="D101" t="s">
        <v>1880</v>
      </c>
      <c r="E101" t="s">
        <v>1889</v>
      </c>
      <c r="F101">
        <v>120</v>
      </c>
      <c r="G101" t="s">
        <v>1882</v>
      </c>
      <c r="H101">
        <v>12</v>
      </c>
      <c r="I101" s="3">
        <v>125.07</v>
      </c>
      <c r="J101" s="3">
        <v>167.35</v>
      </c>
      <c r="K101" t="s">
        <v>189</v>
      </c>
      <c r="L101">
        <v>13</v>
      </c>
      <c r="M101">
        <v>12</v>
      </c>
      <c r="N101">
        <v>190</v>
      </c>
      <c r="O101" s="2">
        <v>45410</v>
      </c>
      <c r="P101">
        <v>1</v>
      </c>
      <c r="Q101">
        <v>5.89</v>
      </c>
      <c r="R101" t="s">
        <v>1741</v>
      </c>
    </row>
    <row r="102" spans="1:18" x14ac:dyDescent="0.3">
      <c r="A102" t="s">
        <v>1953</v>
      </c>
      <c r="B102" t="s">
        <v>1954</v>
      </c>
      <c r="C102" t="s">
        <v>1888</v>
      </c>
      <c r="D102" t="s">
        <v>1880</v>
      </c>
      <c r="E102" t="s">
        <v>1881</v>
      </c>
      <c r="F102">
        <v>250</v>
      </c>
      <c r="G102" t="s">
        <v>1882</v>
      </c>
      <c r="H102">
        <v>36</v>
      </c>
      <c r="I102" s="3">
        <v>37.880000000000003</v>
      </c>
      <c r="J102" s="3">
        <v>50.82</v>
      </c>
      <c r="K102" t="s">
        <v>142</v>
      </c>
      <c r="L102">
        <v>9</v>
      </c>
      <c r="M102">
        <v>24</v>
      </c>
      <c r="N102">
        <v>315</v>
      </c>
      <c r="O102" s="2">
        <v>45399</v>
      </c>
      <c r="P102">
        <v>1</v>
      </c>
      <c r="Q102">
        <v>37.17</v>
      </c>
      <c r="R102" t="s">
        <v>77</v>
      </c>
    </row>
    <row r="103" spans="1:18" x14ac:dyDescent="0.3">
      <c r="A103" t="s">
        <v>1955</v>
      </c>
      <c r="B103" t="s">
        <v>1956</v>
      </c>
      <c r="C103" t="s">
        <v>1904</v>
      </c>
      <c r="D103" t="s">
        <v>1880</v>
      </c>
      <c r="E103" t="s">
        <v>1895</v>
      </c>
      <c r="F103">
        <v>80</v>
      </c>
      <c r="G103" t="s">
        <v>1882</v>
      </c>
      <c r="H103">
        <v>36</v>
      </c>
      <c r="I103" s="3">
        <v>106.69</v>
      </c>
      <c r="J103" s="3">
        <v>133.85</v>
      </c>
      <c r="K103" t="s">
        <v>174</v>
      </c>
      <c r="L103">
        <v>10</v>
      </c>
      <c r="M103">
        <v>6</v>
      </c>
      <c r="N103">
        <v>250</v>
      </c>
      <c r="O103" s="2">
        <v>45601</v>
      </c>
      <c r="P103">
        <v>1</v>
      </c>
      <c r="Q103">
        <v>7.82</v>
      </c>
      <c r="R103" t="s">
        <v>1750</v>
      </c>
    </row>
    <row r="104" spans="1:18" x14ac:dyDescent="0.3">
      <c r="A104" t="s">
        <v>1957</v>
      </c>
      <c r="B104" t="s">
        <v>1958</v>
      </c>
      <c r="C104" t="s">
        <v>1892</v>
      </c>
      <c r="D104" t="s">
        <v>1880</v>
      </c>
      <c r="E104" t="s">
        <v>1881</v>
      </c>
      <c r="F104">
        <v>80</v>
      </c>
      <c r="G104" t="s">
        <v>1882</v>
      </c>
      <c r="H104">
        <v>36</v>
      </c>
      <c r="I104" s="3">
        <v>34.17</v>
      </c>
      <c r="J104" s="3">
        <v>43.63</v>
      </c>
      <c r="K104" t="s">
        <v>186</v>
      </c>
      <c r="L104">
        <v>16</v>
      </c>
      <c r="M104">
        <v>48</v>
      </c>
      <c r="N104">
        <v>274</v>
      </c>
      <c r="O104" s="2">
        <v>45365</v>
      </c>
      <c r="P104">
        <v>1</v>
      </c>
      <c r="Q104">
        <v>6.25</v>
      </c>
      <c r="R104" t="s">
        <v>1741</v>
      </c>
    </row>
    <row r="105" spans="1:18" x14ac:dyDescent="0.3">
      <c r="A105" t="s">
        <v>1959</v>
      </c>
      <c r="B105" t="s">
        <v>1960</v>
      </c>
      <c r="C105" t="s">
        <v>1904</v>
      </c>
      <c r="D105" t="s">
        <v>1880</v>
      </c>
      <c r="E105" t="s">
        <v>1881</v>
      </c>
      <c r="F105">
        <v>250</v>
      </c>
      <c r="G105" t="s">
        <v>1882</v>
      </c>
      <c r="H105">
        <v>36</v>
      </c>
      <c r="I105" s="3">
        <v>143.94</v>
      </c>
      <c r="J105" s="3">
        <v>189.7</v>
      </c>
      <c r="K105" t="s">
        <v>168</v>
      </c>
      <c r="L105">
        <v>10</v>
      </c>
      <c r="M105">
        <v>2</v>
      </c>
      <c r="N105">
        <v>250</v>
      </c>
      <c r="O105" s="2">
        <v>45492</v>
      </c>
      <c r="P105">
        <v>1</v>
      </c>
      <c r="Q105">
        <v>8.11</v>
      </c>
      <c r="R105" t="s">
        <v>1741</v>
      </c>
    </row>
    <row r="106" spans="1:18" x14ac:dyDescent="0.3">
      <c r="A106" t="s">
        <v>1961</v>
      </c>
      <c r="B106" t="s">
        <v>1962</v>
      </c>
      <c r="C106" t="s">
        <v>1904</v>
      </c>
      <c r="D106" t="s">
        <v>1880</v>
      </c>
      <c r="E106" t="s">
        <v>1885</v>
      </c>
      <c r="F106">
        <v>50</v>
      </c>
      <c r="G106" t="s">
        <v>1882</v>
      </c>
      <c r="H106">
        <v>24</v>
      </c>
      <c r="I106" s="3">
        <v>57.4</v>
      </c>
      <c r="J106" s="3">
        <v>80.97</v>
      </c>
      <c r="K106" t="s">
        <v>144</v>
      </c>
      <c r="L106">
        <v>13</v>
      </c>
      <c r="M106">
        <v>1</v>
      </c>
      <c r="N106">
        <v>241</v>
      </c>
      <c r="O106" s="2">
        <v>45365</v>
      </c>
      <c r="P106">
        <v>1</v>
      </c>
      <c r="Q106">
        <v>17.78</v>
      </c>
      <c r="R106" t="s">
        <v>1750</v>
      </c>
    </row>
    <row r="107" spans="1:18" x14ac:dyDescent="0.3">
      <c r="A107" t="s">
        <v>1963</v>
      </c>
      <c r="B107" t="s">
        <v>1964</v>
      </c>
      <c r="C107" t="s">
        <v>1731</v>
      </c>
      <c r="D107" t="s">
        <v>1880</v>
      </c>
      <c r="E107" t="s">
        <v>1881</v>
      </c>
      <c r="F107">
        <v>80</v>
      </c>
      <c r="G107" t="s">
        <v>1882</v>
      </c>
      <c r="H107">
        <v>36</v>
      </c>
      <c r="I107" s="3">
        <v>70.08</v>
      </c>
      <c r="J107" s="3">
        <v>88.5</v>
      </c>
      <c r="K107" t="s">
        <v>162</v>
      </c>
      <c r="L107">
        <v>7</v>
      </c>
      <c r="M107">
        <v>2</v>
      </c>
      <c r="N107">
        <v>352</v>
      </c>
      <c r="O107" s="2">
        <v>45650</v>
      </c>
      <c r="P107">
        <v>1</v>
      </c>
      <c r="Q107">
        <v>16.489999999999998</v>
      </c>
      <c r="R107" t="s">
        <v>1750</v>
      </c>
    </row>
    <row r="108" spans="1:18" x14ac:dyDescent="0.3">
      <c r="A108" t="s">
        <v>1965</v>
      </c>
      <c r="B108" t="s">
        <v>1966</v>
      </c>
      <c r="C108" t="s">
        <v>1731</v>
      </c>
      <c r="D108" t="s">
        <v>1880</v>
      </c>
      <c r="E108" t="s">
        <v>1889</v>
      </c>
      <c r="F108">
        <v>120</v>
      </c>
      <c r="G108" t="s">
        <v>1882</v>
      </c>
      <c r="H108">
        <v>24</v>
      </c>
      <c r="I108" s="3">
        <v>79.239999999999995</v>
      </c>
      <c r="J108" s="3">
        <v>103.98</v>
      </c>
      <c r="K108" t="s">
        <v>170</v>
      </c>
      <c r="L108">
        <v>13</v>
      </c>
      <c r="M108">
        <v>1</v>
      </c>
      <c r="N108">
        <v>325</v>
      </c>
      <c r="O108" s="2">
        <v>45352</v>
      </c>
      <c r="P108">
        <v>1</v>
      </c>
      <c r="Q108">
        <v>47.89</v>
      </c>
      <c r="R108" t="s">
        <v>77</v>
      </c>
    </row>
    <row r="109" spans="1:18" x14ac:dyDescent="0.3">
      <c r="A109" t="s">
        <v>1967</v>
      </c>
      <c r="B109" t="s">
        <v>1968</v>
      </c>
      <c r="C109" t="s">
        <v>1879</v>
      </c>
      <c r="D109" t="s">
        <v>1880</v>
      </c>
      <c r="E109" t="s">
        <v>1885</v>
      </c>
      <c r="F109">
        <v>400</v>
      </c>
      <c r="G109" t="s">
        <v>1882</v>
      </c>
      <c r="H109">
        <v>12</v>
      </c>
      <c r="I109" s="3">
        <v>139.56</v>
      </c>
      <c r="J109" s="3">
        <v>195.44</v>
      </c>
      <c r="K109" t="s">
        <v>174</v>
      </c>
      <c r="L109">
        <v>10</v>
      </c>
      <c r="M109">
        <v>6</v>
      </c>
      <c r="N109">
        <v>280</v>
      </c>
      <c r="O109" s="2">
        <v>45693</v>
      </c>
      <c r="P109">
        <v>1</v>
      </c>
      <c r="Q109">
        <v>66.61</v>
      </c>
      <c r="R109" t="s">
        <v>1774</v>
      </c>
    </row>
    <row r="110" spans="1:18" x14ac:dyDescent="0.3">
      <c r="A110" t="s">
        <v>1969</v>
      </c>
      <c r="B110" t="s">
        <v>1970</v>
      </c>
      <c r="C110" t="s">
        <v>1731</v>
      </c>
      <c r="D110" t="s">
        <v>1880</v>
      </c>
      <c r="E110" t="s">
        <v>1889</v>
      </c>
      <c r="F110">
        <v>40</v>
      </c>
      <c r="G110" t="s">
        <v>1882</v>
      </c>
      <c r="H110">
        <v>24</v>
      </c>
      <c r="I110" s="3">
        <v>69.25</v>
      </c>
      <c r="J110" s="3">
        <v>89.77</v>
      </c>
      <c r="K110" t="s">
        <v>142</v>
      </c>
      <c r="L110">
        <v>9</v>
      </c>
      <c r="M110">
        <v>2</v>
      </c>
      <c r="N110">
        <v>306</v>
      </c>
      <c r="O110" s="2">
        <v>45761</v>
      </c>
      <c r="P110">
        <v>1</v>
      </c>
      <c r="Q110">
        <v>4.3099999999999996</v>
      </c>
      <c r="R110" t="s">
        <v>1741</v>
      </c>
    </row>
    <row r="111" spans="1:18" x14ac:dyDescent="0.3">
      <c r="A111" t="s">
        <v>1971</v>
      </c>
      <c r="B111" t="s">
        <v>1972</v>
      </c>
      <c r="C111" t="s">
        <v>1879</v>
      </c>
      <c r="D111" t="s">
        <v>1880</v>
      </c>
      <c r="E111" t="s">
        <v>1889</v>
      </c>
      <c r="F111">
        <v>80</v>
      </c>
      <c r="G111" t="s">
        <v>1882</v>
      </c>
      <c r="H111">
        <v>48</v>
      </c>
      <c r="I111" s="3">
        <v>45.72</v>
      </c>
      <c r="J111" s="3">
        <v>60.63</v>
      </c>
      <c r="K111" t="s">
        <v>172</v>
      </c>
      <c r="L111">
        <v>12</v>
      </c>
      <c r="M111">
        <v>24</v>
      </c>
      <c r="N111">
        <v>206</v>
      </c>
      <c r="O111" s="2">
        <v>45524</v>
      </c>
      <c r="P111">
        <v>1</v>
      </c>
      <c r="Q111">
        <v>38.909999999999997</v>
      </c>
      <c r="R111" t="s">
        <v>77</v>
      </c>
    </row>
    <row r="112" spans="1:18" x14ac:dyDescent="0.3">
      <c r="A112" t="s">
        <v>1973</v>
      </c>
      <c r="B112" t="s">
        <v>1974</v>
      </c>
      <c r="C112" t="s">
        <v>1879</v>
      </c>
      <c r="D112" t="s">
        <v>1880</v>
      </c>
      <c r="E112" t="s">
        <v>1881</v>
      </c>
      <c r="F112">
        <v>150</v>
      </c>
      <c r="G112" t="s">
        <v>1882</v>
      </c>
      <c r="H112">
        <v>36</v>
      </c>
      <c r="I112" s="3">
        <v>85.87</v>
      </c>
      <c r="J112" s="3">
        <v>113.77</v>
      </c>
      <c r="K112" t="s">
        <v>160</v>
      </c>
      <c r="L112">
        <v>16</v>
      </c>
      <c r="M112">
        <v>100</v>
      </c>
      <c r="N112">
        <v>322</v>
      </c>
      <c r="O112" s="2">
        <v>45837</v>
      </c>
      <c r="P112">
        <v>1</v>
      </c>
      <c r="Q112">
        <v>21.24</v>
      </c>
      <c r="R112" t="s">
        <v>1750</v>
      </c>
    </row>
    <row r="113" spans="1:18" x14ac:dyDescent="0.3">
      <c r="A113" t="s">
        <v>1975</v>
      </c>
      <c r="B113" t="s">
        <v>1976</v>
      </c>
      <c r="C113" t="s">
        <v>1892</v>
      </c>
      <c r="D113" t="s">
        <v>1880</v>
      </c>
      <c r="E113" t="s">
        <v>1881</v>
      </c>
      <c r="F113">
        <v>150</v>
      </c>
      <c r="G113" t="s">
        <v>1882</v>
      </c>
      <c r="H113">
        <v>24</v>
      </c>
      <c r="I113" s="3">
        <v>38.020000000000003</v>
      </c>
      <c r="J113" s="3">
        <v>51.89</v>
      </c>
      <c r="K113" t="s">
        <v>191</v>
      </c>
      <c r="L113">
        <v>8</v>
      </c>
      <c r="M113">
        <v>100</v>
      </c>
      <c r="N113">
        <v>222</v>
      </c>
      <c r="O113" s="2">
        <v>45363</v>
      </c>
      <c r="P113">
        <v>1</v>
      </c>
      <c r="Q113">
        <v>27.67</v>
      </c>
      <c r="R113" t="s">
        <v>1750</v>
      </c>
    </row>
    <row r="114" spans="1:18" x14ac:dyDescent="0.3">
      <c r="A114" t="s">
        <v>1977</v>
      </c>
      <c r="B114" t="s">
        <v>1978</v>
      </c>
      <c r="C114" t="s">
        <v>1904</v>
      </c>
      <c r="D114" t="s">
        <v>1880</v>
      </c>
      <c r="E114" t="s">
        <v>1881</v>
      </c>
      <c r="F114">
        <v>80</v>
      </c>
      <c r="G114" t="s">
        <v>1882</v>
      </c>
      <c r="H114">
        <v>48</v>
      </c>
      <c r="I114" s="3">
        <v>95.73</v>
      </c>
      <c r="J114" s="3">
        <v>120.23</v>
      </c>
      <c r="K114" t="s">
        <v>182</v>
      </c>
      <c r="L114">
        <v>10</v>
      </c>
      <c r="M114">
        <v>1</v>
      </c>
      <c r="N114">
        <v>342</v>
      </c>
      <c r="O114" s="2">
        <v>45660</v>
      </c>
      <c r="P114">
        <v>1</v>
      </c>
      <c r="Q114">
        <v>22.28</v>
      </c>
      <c r="R114" t="s">
        <v>77</v>
      </c>
    </row>
    <row r="115" spans="1:18" x14ac:dyDescent="0.3">
      <c r="A115" t="s">
        <v>1979</v>
      </c>
      <c r="B115" t="s">
        <v>1980</v>
      </c>
      <c r="C115" t="s">
        <v>1731</v>
      </c>
      <c r="D115" t="s">
        <v>1880</v>
      </c>
      <c r="E115" t="s">
        <v>1895</v>
      </c>
      <c r="F115">
        <v>30</v>
      </c>
      <c r="G115" t="s">
        <v>1882</v>
      </c>
      <c r="H115">
        <v>60</v>
      </c>
      <c r="I115" s="3">
        <v>36.159999999999997</v>
      </c>
      <c r="J115" s="3">
        <v>51.41</v>
      </c>
      <c r="K115" t="s">
        <v>166</v>
      </c>
      <c r="L115">
        <v>9</v>
      </c>
      <c r="M115">
        <v>6</v>
      </c>
      <c r="N115">
        <v>277</v>
      </c>
      <c r="O115" s="2">
        <v>45399</v>
      </c>
      <c r="P115">
        <v>1</v>
      </c>
      <c r="Q115">
        <v>72.34</v>
      </c>
      <c r="R115" t="s">
        <v>1774</v>
      </c>
    </row>
    <row r="116" spans="1:18" x14ac:dyDescent="0.3">
      <c r="A116" t="s">
        <v>1981</v>
      </c>
      <c r="B116" t="s">
        <v>1982</v>
      </c>
      <c r="C116" t="s">
        <v>1888</v>
      </c>
      <c r="D116" t="s">
        <v>1880</v>
      </c>
      <c r="E116" t="s">
        <v>1889</v>
      </c>
      <c r="F116">
        <v>80</v>
      </c>
      <c r="G116" t="s">
        <v>1882</v>
      </c>
      <c r="H116">
        <v>48</v>
      </c>
      <c r="I116" s="3">
        <v>56.66</v>
      </c>
      <c r="J116" s="3">
        <v>72.95</v>
      </c>
      <c r="K116" t="s">
        <v>104</v>
      </c>
      <c r="L116">
        <v>8</v>
      </c>
      <c r="M116">
        <v>100</v>
      </c>
      <c r="N116">
        <v>292</v>
      </c>
      <c r="O116" s="2">
        <v>45709</v>
      </c>
      <c r="P116">
        <v>1</v>
      </c>
      <c r="Q116">
        <v>14.68</v>
      </c>
      <c r="R116" t="s">
        <v>1750</v>
      </c>
    </row>
    <row r="117" spans="1:18" x14ac:dyDescent="0.3">
      <c r="A117" t="s">
        <v>1983</v>
      </c>
      <c r="B117" t="s">
        <v>1984</v>
      </c>
      <c r="C117" t="s">
        <v>1888</v>
      </c>
      <c r="D117" t="s">
        <v>1880</v>
      </c>
      <c r="E117" t="s">
        <v>1895</v>
      </c>
      <c r="F117">
        <v>80</v>
      </c>
      <c r="G117" t="s">
        <v>1882</v>
      </c>
      <c r="H117">
        <v>60</v>
      </c>
      <c r="I117" s="3">
        <v>116.84</v>
      </c>
      <c r="J117" s="3">
        <v>160.88</v>
      </c>
      <c r="K117" t="s">
        <v>196</v>
      </c>
      <c r="L117">
        <v>25</v>
      </c>
      <c r="M117">
        <v>12</v>
      </c>
      <c r="N117">
        <v>199</v>
      </c>
      <c r="O117" s="2">
        <v>45766</v>
      </c>
      <c r="P117">
        <v>1</v>
      </c>
      <c r="Q117">
        <v>41.46</v>
      </c>
      <c r="R117" t="s">
        <v>77</v>
      </c>
    </row>
    <row r="118" spans="1:18" x14ac:dyDescent="0.3">
      <c r="A118" t="s">
        <v>1985</v>
      </c>
      <c r="B118" t="s">
        <v>1986</v>
      </c>
      <c r="C118" t="s">
        <v>1731</v>
      </c>
      <c r="D118" t="s">
        <v>1880</v>
      </c>
      <c r="E118" t="s">
        <v>1885</v>
      </c>
      <c r="F118">
        <v>100</v>
      </c>
      <c r="G118" t="s">
        <v>1882</v>
      </c>
      <c r="H118">
        <v>36</v>
      </c>
      <c r="I118" s="3">
        <v>88.72</v>
      </c>
      <c r="J118" s="3">
        <v>123.51</v>
      </c>
      <c r="K118" t="s">
        <v>162</v>
      </c>
      <c r="L118">
        <v>7</v>
      </c>
      <c r="M118">
        <v>2</v>
      </c>
      <c r="N118">
        <v>262</v>
      </c>
      <c r="O118" s="2">
        <v>45790</v>
      </c>
      <c r="P118">
        <v>1</v>
      </c>
      <c r="Q118">
        <v>10.64</v>
      </c>
      <c r="R118" t="s">
        <v>1750</v>
      </c>
    </row>
    <row r="119" spans="1:18" x14ac:dyDescent="0.3">
      <c r="A119" t="s">
        <v>1987</v>
      </c>
      <c r="B119" t="s">
        <v>1988</v>
      </c>
      <c r="C119" t="s">
        <v>1879</v>
      </c>
      <c r="D119" t="s">
        <v>1880</v>
      </c>
      <c r="E119" t="s">
        <v>1889</v>
      </c>
      <c r="F119">
        <v>120</v>
      </c>
      <c r="G119" t="s">
        <v>1882</v>
      </c>
      <c r="H119">
        <v>24</v>
      </c>
      <c r="I119" s="3">
        <v>91.32</v>
      </c>
      <c r="J119" s="3">
        <v>130.02000000000001</v>
      </c>
      <c r="K119" t="s">
        <v>182</v>
      </c>
      <c r="L119">
        <v>10</v>
      </c>
      <c r="M119">
        <v>6</v>
      </c>
      <c r="N119">
        <v>270</v>
      </c>
      <c r="O119" s="2">
        <v>45379</v>
      </c>
      <c r="P119">
        <v>1</v>
      </c>
      <c r="Q119">
        <v>1.1499999999999999</v>
      </c>
      <c r="R119" t="s">
        <v>1741</v>
      </c>
    </row>
    <row r="120" spans="1:18" x14ac:dyDescent="0.3">
      <c r="A120" t="s">
        <v>1989</v>
      </c>
      <c r="B120" t="s">
        <v>1990</v>
      </c>
      <c r="C120" t="s">
        <v>1888</v>
      </c>
      <c r="D120" t="s">
        <v>1880</v>
      </c>
      <c r="E120" t="s">
        <v>1895</v>
      </c>
      <c r="F120">
        <v>80</v>
      </c>
      <c r="G120" t="s">
        <v>1882</v>
      </c>
      <c r="H120">
        <v>60</v>
      </c>
      <c r="I120" s="3">
        <v>65.58</v>
      </c>
      <c r="J120" s="3">
        <v>85.86</v>
      </c>
      <c r="K120" t="s">
        <v>140</v>
      </c>
      <c r="L120">
        <v>10</v>
      </c>
      <c r="M120">
        <v>48</v>
      </c>
      <c r="N120">
        <v>261</v>
      </c>
      <c r="O120" s="2">
        <v>45538</v>
      </c>
      <c r="P120">
        <v>1</v>
      </c>
      <c r="Q120">
        <v>41.95</v>
      </c>
      <c r="R120" t="s">
        <v>77</v>
      </c>
    </row>
    <row r="121" spans="1:18" x14ac:dyDescent="0.3">
      <c r="A121" t="s">
        <v>1991</v>
      </c>
      <c r="B121" t="s">
        <v>1992</v>
      </c>
      <c r="C121" t="s">
        <v>1888</v>
      </c>
      <c r="D121" t="s">
        <v>1880</v>
      </c>
      <c r="E121" t="s">
        <v>1885</v>
      </c>
      <c r="F121">
        <v>50</v>
      </c>
      <c r="G121" t="s">
        <v>1882</v>
      </c>
      <c r="H121">
        <v>36</v>
      </c>
      <c r="I121" s="3">
        <v>70.650000000000006</v>
      </c>
      <c r="J121" s="3">
        <v>91.41</v>
      </c>
      <c r="K121" t="s">
        <v>186</v>
      </c>
      <c r="L121">
        <v>16</v>
      </c>
      <c r="M121">
        <v>2</v>
      </c>
      <c r="N121">
        <v>244</v>
      </c>
      <c r="O121" s="2">
        <v>45749</v>
      </c>
      <c r="P121">
        <v>1</v>
      </c>
      <c r="Q121">
        <v>7.86</v>
      </c>
      <c r="R121" t="s">
        <v>1750</v>
      </c>
    </row>
    <row r="122" spans="1:18" x14ac:dyDescent="0.3">
      <c r="A122" t="s">
        <v>1993</v>
      </c>
      <c r="B122" t="s">
        <v>1994</v>
      </c>
      <c r="C122" t="s">
        <v>1731</v>
      </c>
      <c r="D122" t="s">
        <v>1880</v>
      </c>
      <c r="E122" t="s">
        <v>1895</v>
      </c>
      <c r="F122">
        <v>30</v>
      </c>
      <c r="G122" t="s">
        <v>1882</v>
      </c>
      <c r="H122">
        <v>36</v>
      </c>
      <c r="I122" s="3">
        <v>95.29</v>
      </c>
      <c r="J122" s="3">
        <v>121.73</v>
      </c>
      <c r="K122" t="s">
        <v>142</v>
      </c>
      <c r="L122">
        <v>9</v>
      </c>
      <c r="M122">
        <v>4</v>
      </c>
      <c r="N122">
        <v>192</v>
      </c>
      <c r="O122" s="2">
        <v>45850</v>
      </c>
      <c r="P122">
        <v>1</v>
      </c>
      <c r="Q122">
        <v>5.91</v>
      </c>
      <c r="R122" t="s">
        <v>1741</v>
      </c>
    </row>
    <row r="123" spans="1:18" x14ac:dyDescent="0.3">
      <c r="A123" t="s">
        <v>1995</v>
      </c>
      <c r="B123" t="s">
        <v>1996</v>
      </c>
      <c r="C123" t="s">
        <v>1888</v>
      </c>
      <c r="D123" t="s">
        <v>1880</v>
      </c>
      <c r="E123" t="s">
        <v>1885</v>
      </c>
      <c r="F123">
        <v>100</v>
      </c>
      <c r="G123" t="s">
        <v>1882</v>
      </c>
      <c r="H123">
        <v>24</v>
      </c>
      <c r="I123" s="3">
        <v>152.51</v>
      </c>
      <c r="J123" s="3">
        <v>190.79</v>
      </c>
      <c r="K123" t="s">
        <v>113</v>
      </c>
      <c r="L123">
        <v>17</v>
      </c>
      <c r="M123">
        <v>24</v>
      </c>
      <c r="N123">
        <v>335</v>
      </c>
      <c r="O123" s="2">
        <v>45654</v>
      </c>
      <c r="P123">
        <v>1</v>
      </c>
      <c r="Q123">
        <v>51.63</v>
      </c>
      <c r="R123" t="s">
        <v>1774</v>
      </c>
    </row>
    <row r="124" spans="1:18" x14ac:dyDescent="0.3">
      <c r="A124" t="s">
        <v>1997</v>
      </c>
      <c r="B124" t="s">
        <v>1998</v>
      </c>
      <c r="C124" t="s">
        <v>1879</v>
      </c>
      <c r="D124" t="s">
        <v>1880</v>
      </c>
      <c r="E124" t="s">
        <v>1889</v>
      </c>
      <c r="F124">
        <v>40</v>
      </c>
      <c r="G124" t="s">
        <v>1882</v>
      </c>
      <c r="H124">
        <v>60</v>
      </c>
      <c r="I124" s="3">
        <v>158.68</v>
      </c>
      <c r="J124" s="3">
        <v>210.81</v>
      </c>
      <c r="K124" t="s">
        <v>174</v>
      </c>
      <c r="L124">
        <v>10</v>
      </c>
      <c r="M124">
        <v>100</v>
      </c>
      <c r="N124">
        <v>268</v>
      </c>
      <c r="O124" s="2">
        <v>45320</v>
      </c>
      <c r="P124">
        <v>1</v>
      </c>
      <c r="Q124">
        <v>21.82</v>
      </c>
      <c r="R124" t="s">
        <v>1750</v>
      </c>
    </row>
    <row r="125" spans="1:18" x14ac:dyDescent="0.3">
      <c r="A125" t="s">
        <v>1999</v>
      </c>
      <c r="B125" t="s">
        <v>2000</v>
      </c>
      <c r="C125" t="s">
        <v>1892</v>
      </c>
      <c r="D125" t="s">
        <v>1880</v>
      </c>
      <c r="E125" t="s">
        <v>1889</v>
      </c>
      <c r="F125">
        <v>80</v>
      </c>
      <c r="G125" t="s">
        <v>1882</v>
      </c>
      <c r="H125">
        <v>60</v>
      </c>
      <c r="I125" s="3">
        <v>66.86</v>
      </c>
      <c r="J125" s="3">
        <v>87.86</v>
      </c>
      <c r="K125" t="s">
        <v>131</v>
      </c>
      <c r="L125">
        <v>11</v>
      </c>
      <c r="M125">
        <v>100</v>
      </c>
      <c r="N125">
        <v>341</v>
      </c>
      <c r="O125" s="2">
        <v>45555</v>
      </c>
      <c r="P125">
        <v>1</v>
      </c>
      <c r="Q125">
        <v>43.21</v>
      </c>
      <c r="R125" t="s">
        <v>77</v>
      </c>
    </row>
    <row r="126" spans="1:18" x14ac:dyDescent="0.3">
      <c r="A126" t="s">
        <v>2001</v>
      </c>
      <c r="B126" t="s">
        <v>2002</v>
      </c>
      <c r="C126" t="s">
        <v>1879</v>
      </c>
      <c r="D126" t="s">
        <v>1880</v>
      </c>
      <c r="E126" t="s">
        <v>1889</v>
      </c>
      <c r="F126">
        <v>200</v>
      </c>
      <c r="G126" t="s">
        <v>1882</v>
      </c>
      <c r="H126">
        <v>12</v>
      </c>
      <c r="I126" s="3">
        <v>103.21</v>
      </c>
      <c r="J126" s="3">
        <v>144.66</v>
      </c>
      <c r="K126" t="s">
        <v>98</v>
      </c>
      <c r="L126">
        <v>11</v>
      </c>
      <c r="M126">
        <v>12</v>
      </c>
      <c r="N126">
        <v>238</v>
      </c>
      <c r="O126" s="2">
        <v>45924</v>
      </c>
      <c r="P126">
        <v>1</v>
      </c>
      <c r="Q126">
        <v>50.59</v>
      </c>
      <c r="R126" t="s">
        <v>77</v>
      </c>
    </row>
    <row r="127" spans="1:18" x14ac:dyDescent="0.3">
      <c r="A127" t="s">
        <v>2003</v>
      </c>
      <c r="B127" t="s">
        <v>2004</v>
      </c>
      <c r="C127" t="s">
        <v>1888</v>
      </c>
      <c r="D127" t="s">
        <v>1880</v>
      </c>
      <c r="E127" t="s">
        <v>1881</v>
      </c>
      <c r="F127">
        <v>250</v>
      </c>
      <c r="G127" t="s">
        <v>1882</v>
      </c>
      <c r="H127">
        <v>12</v>
      </c>
      <c r="I127" s="3">
        <v>109.92</v>
      </c>
      <c r="J127" s="3">
        <v>146.41999999999999</v>
      </c>
      <c r="K127" t="s">
        <v>182</v>
      </c>
      <c r="L127">
        <v>10</v>
      </c>
      <c r="M127">
        <v>24</v>
      </c>
      <c r="N127">
        <v>330</v>
      </c>
      <c r="O127" s="2">
        <v>45446</v>
      </c>
      <c r="P127">
        <v>1</v>
      </c>
      <c r="Q127">
        <v>25.31</v>
      </c>
      <c r="R127" t="s">
        <v>77</v>
      </c>
    </row>
    <row r="128" spans="1:18" x14ac:dyDescent="0.3">
      <c r="A128" t="s">
        <v>2005</v>
      </c>
      <c r="B128" t="s">
        <v>2006</v>
      </c>
      <c r="C128" t="s">
        <v>1731</v>
      </c>
      <c r="D128" t="s">
        <v>1880</v>
      </c>
      <c r="E128" t="s">
        <v>1889</v>
      </c>
      <c r="F128">
        <v>200</v>
      </c>
      <c r="G128" t="s">
        <v>1882</v>
      </c>
      <c r="H128">
        <v>12</v>
      </c>
      <c r="I128" s="3">
        <v>161.13</v>
      </c>
      <c r="J128" s="3">
        <v>226.52</v>
      </c>
      <c r="K128" t="s">
        <v>166</v>
      </c>
      <c r="L128">
        <v>9</v>
      </c>
      <c r="M128">
        <v>24</v>
      </c>
      <c r="N128">
        <v>279</v>
      </c>
      <c r="O128" s="2">
        <v>45467</v>
      </c>
      <c r="P128">
        <v>1</v>
      </c>
      <c r="Q128">
        <v>13.21</v>
      </c>
      <c r="R128" t="s">
        <v>1750</v>
      </c>
    </row>
    <row r="129" spans="1:18" x14ac:dyDescent="0.3">
      <c r="A129" t="s">
        <v>2007</v>
      </c>
      <c r="B129" t="s">
        <v>2008</v>
      </c>
      <c r="C129" t="s">
        <v>1892</v>
      </c>
      <c r="D129" t="s">
        <v>1880</v>
      </c>
      <c r="E129" t="s">
        <v>1895</v>
      </c>
      <c r="F129">
        <v>120</v>
      </c>
      <c r="G129" t="s">
        <v>1882</v>
      </c>
      <c r="H129">
        <v>12</v>
      </c>
      <c r="I129" s="3">
        <v>53.09</v>
      </c>
      <c r="J129" s="3">
        <v>71.739999999999995</v>
      </c>
      <c r="K129" t="s">
        <v>121</v>
      </c>
      <c r="L129">
        <v>15</v>
      </c>
      <c r="M129">
        <v>2</v>
      </c>
      <c r="N129">
        <v>235</v>
      </c>
      <c r="O129" s="2">
        <v>45493</v>
      </c>
      <c r="P129">
        <v>1</v>
      </c>
      <c r="Q129">
        <v>16.579999999999998</v>
      </c>
      <c r="R129" t="s">
        <v>1750</v>
      </c>
    </row>
    <row r="130" spans="1:18" x14ac:dyDescent="0.3">
      <c r="A130" t="s">
        <v>2009</v>
      </c>
      <c r="B130" t="s">
        <v>2010</v>
      </c>
      <c r="C130" t="s">
        <v>1904</v>
      </c>
      <c r="D130" t="s">
        <v>1880</v>
      </c>
      <c r="E130" t="s">
        <v>1881</v>
      </c>
      <c r="F130">
        <v>250</v>
      </c>
      <c r="G130" t="s">
        <v>1882</v>
      </c>
      <c r="H130">
        <v>12</v>
      </c>
      <c r="I130" s="3">
        <v>65.72</v>
      </c>
      <c r="J130" s="3">
        <v>90.55</v>
      </c>
      <c r="K130" t="s">
        <v>150</v>
      </c>
      <c r="L130">
        <v>11</v>
      </c>
      <c r="M130">
        <v>6</v>
      </c>
      <c r="N130">
        <v>227</v>
      </c>
      <c r="O130" s="2">
        <v>45478</v>
      </c>
      <c r="P130">
        <v>1</v>
      </c>
      <c r="Q130">
        <v>7.81</v>
      </c>
      <c r="R130" t="s">
        <v>1750</v>
      </c>
    </row>
    <row r="131" spans="1:18" x14ac:dyDescent="0.3">
      <c r="A131" t="s">
        <v>2011</v>
      </c>
      <c r="B131" t="s">
        <v>2012</v>
      </c>
      <c r="C131" t="s">
        <v>1888</v>
      </c>
      <c r="D131" t="s">
        <v>1880</v>
      </c>
      <c r="E131" t="s">
        <v>1881</v>
      </c>
      <c r="F131">
        <v>250</v>
      </c>
      <c r="G131" t="s">
        <v>1882</v>
      </c>
      <c r="H131">
        <v>12</v>
      </c>
      <c r="I131" s="3">
        <v>112.17</v>
      </c>
      <c r="J131" s="3">
        <v>154.16</v>
      </c>
      <c r="K131" t="s">
        <v>150</v>
      </c>
      <c r="L131">
        <v>11</v>
      </c>
      <c r="M131">
        <v>24</v>
      </c>
      <c r="N131">
        <v>356</v>
      </c>
      <c r="O131" s="2">
        <v>45696</v>
      </c>
      <c r="P131">
        <v>1</v>
      </c>
      <c r="Q131">
        <v>12.23</v>
      </c>
      <c r="R131" t="s">
        <v>1750</v>
      </c>
    </row>
    <row r="132" spans="1:18" x14ac:dyDescent="0.3">
      <c r="A132" t="s">
        <v>2013</v>
      </c>
      <c r="B132" t="s">
        <v>2014</v>
      </c>
      <c r="C132" t="s">
        <v>1904</v>
      </c>
      <c r="D132" t="s">
        <v>1880</v>
      </c>
      <c r="E132" t="s">
        <v>1885</v>
      </c>
      <c r="F132">
        <v>50</v>
      </c>
      <c r="G132" t="s">
        <v>1882</v>
      </c>
      <c r="H132">
        <v>24</v>
      </c>
      <c r="I132" s="3">
        <v>52.46</v>
      </c>
      <c r="J132" s="3">
        <v>66.69</v>
      </c>
      <c r="K132" t="s">
        <v>128</v>
      </c>
      <c r="L132">
        <v>13</v>
      </c>
      <c r="M132">
        <v>1</v>
      </c>
      <c r="N132">
        <v>308</v>
      </c>
      <c r="O132" s="2">
        <v>45888</v>
      </c>
      <c r="P132">
        <v>1</v>
      </c>
      <c r="Q132">
        <v>68.72</v>
      </c>
      <c r="R132" t="s">
        <v>77</v>
      </c>
    </row>
    <row r="133" spans="1:18" x14ac:dyDescent="0.3">
      <c r="A133" t="s">
        <v>2015</v>
      </c>
      <c r="B133" t="s">
        <v>2016</v>
      </c>
      <c r="C133" t="s">
        <v>1879</v>
      </c>
      <c r="D133" t="s">
        <v>1880</v>
      </c>
      <c r="E133" t="s">
        <v>1895</v>
      </c>
      <c r="F133">
        <v>30</v>
      </c>
      <c r="G133" t="s">
        <v>1882</v>
      </c>
      <c r="H133">
        <v>60</v>
      </c>
      <c r="I133" s="3">
        <v>29.72</v>
      </c>
      <c r="J133" s="3">
        <v>37.36</v>
      </c>
      <c r="K133" t="s">
        <v>189</v>
      </c>
      <c r="L133">
        <v>13</v>
      </c>
      <c r="M133">
        <v>100</v>
      </c>
      <c r="N133">
        <v>344</v>
      </c>
      <c r="O133" s="2">
        <v>45705</v>
      </c>
      <c r="P133">
        <v>1</v>
      </c>
      <c r="Q133">
        <v>93.47</v>
      </c>
      <c r="R133" t="s">
        <v>1774</v>
      </c>
    </row>
    <row r="134" spans="1:18" x14ac:dyDescent="0.3">
      <c r="A134" t="s">
        <v>2017</v>
      </c>
      <c r="B134" t="s">
        <v>2018</v>
      </c>
      <c r="C134" t="s">
        <v>1731</v>
      </c>
      <c r="D134" t="s">
        <v>1880</v>
      </c>
      <c r="E134" t="s">
        <v>1895</v>
      </c>
      <c r="F134">
        <v>30</v>
      </c>
      <c r="G134" t="s">
        <v>1882</v>
      </c>
      <c r="H134">
        <v>24</v>
      </c>
      <c r="I134" s="3">
        <v>23.5</v>
      </c>
      <c r="J134" s="3">
        <v>30.25</v>
      </c>
      <c r="K134" t="s">
        <v>158</v>
      </c>
      <c r="L134">
        <v>18</v>
      </c>
      <c r="M134">
        <v>2</v>
      </c>
      <c r="N134">
        <v>304</v>
      </c>
      <c r="O134" s="2">
        <v>45526</v>
      </c>
      <c r="P134">
        <v>1</v>
      </c>
      <c r="Q134">
        <v>65.22</v>
      </c>
      <c r="R134" t="s">
        <v>77</v>
      </c>
    </row>
    <row r="135" spans="1:18" x14ac:dyDescent="0.3">
      <c r="A135" t="s">
        <v>2019</v>
      </c>
      <c r="B135" t="s">
        <v>2020</v>
      </c>
      <c r="C135" t="s">
        <v>1879</v>
      </c>
      <c r="D135" t="s">
        <v>1880</v>
      </c>
      <c r="E135" t="s">
        <v>1895</v>
      </c>
      <c r="F135">
        <v>80</v>
      </c>
      <c r="G135" t="s">
        <v>1882</v>
      </c>
      <c r="H135">
        <v>24</v>
      </c>
      <c r="I135" s="3">
        <v>102.3</v>
      </c>
      <c r="J135" s="3">
        <v>128.22</v>
      </c>
      <c r="K135" t="s">
        <v>133</v>
      </c>
      <c r="L135">
        <v>15</v>
      </c>
      <c r="M135">
        <v>12</v>
      </c>
      <c r="N135">
        <v>296</v>
      </c>
      <c r="O135" s="2">
        <v>45410</v>
      </c>
      <c r="P135">
        <v>1</v>
      </c>
      <c r="Q135">
        <v>5.47</v>
      </c>
      <c r="R135" t="s">
        <v>1741</v>
      </c>
    </row>
    <row r="136" spans="1:18" x14ac:dyDescent="0.3">
      <c r="A136" t="s">
        <v>2021</v>
      </c>
      <c r="B136" t="s">
        <v>2022</v>
      </c>
      <c r="C136" t="s">
        <v>2023</v>
      </c>
      <c r="D136" t="s">
        <v>2024</v>
      </c>
      <c r="E136" t="s">
        <v>2025</v>
      </c>
      <c r="F136">
        <v>250</v>
      </c>
      <c r="G136" t="s">
        <v>1882</v>
      </c>
      <c r="H136">
        <v>24</v>
      </c>
      <c r="I136" s="3">
        <v>55.99</v>
      </c>
      <c r="J136" s="3">
        <v>70.56</v>
      </c>
      <c r="K136" t="s">
        <v>125</v>
      </c>
      <c r="L136">
        <v>23</v>
      </c>
      <c r="M136">
        <v>12</v>
      </c>
      <c r="N136">
        <v>35</v>
      </c>
      <c r="O136" s="2">
        <v>45460</v>
      </c>
      <c r="P136">
        <v>1</v>
      </c>
      <c r="Q136">
        <v>15.42</v>
      </c>
      <c r="R136" t="s">
        <v>1750</v>
      </c>
    </row>
    <row r="137" spans="1:18" x14ac:dyDescent="0.3">
      <c r="A137" t="s">
        <v>2026</v>
      </c>
      <c r="B137" t="s">
        <v>2027</v>
      </c>
      <c r="C137" t="s">
        <v>2028</v>
      </c>
      <c r="D137" t="s">
        <v>2024</v>
      </c>
      <c r="E137" t="s">
        <v>2029</v>
      </c>
      <c r="F137">
        <v>500</v>
      </c>
      <c r="G137" t="s">
        <v>1882</v>
      </c>
      <c r="H137">
        <v>36</v>
      </c>
      <c r="I137" s="3">
        <v>47.06</v>
      </c>
      <c r="J137" s="3">
        <v>56.88</v>
      </c>
      <c r="K137" t="s">
        <v>164</v>
      </c>
      <c r="L137">
        <v>13</v>
      </c>
      <c r="M137">
        <v>12</v>
      </c>
      <c r="N137">
        <v>54</v>
      </c>
      <c r="O137" s="2">
        <v>45358</v>
      </c>
      <c r="P137">
        <v>1</v>
      </c>
      <c r="Q137">
        <v>29.73</v>
      </c>
      <c r="R137" t="s">
        <v>77</v>
      </c>
    </row>
    <row r="138" spans="1:18" x14ac:dyDescent="0.3">
      <c r="A138" t="s">
        <v>2030</v>
      </c>
      <c r="B138" t="s">
        <v>2031</v>
      </c>
      <c r="C138" t="s">
        <v>2023</v>
      </c>
      <c r="D138" t="s">
        <v>2024</v>
      </c>
      <c r="E138" t="s">
        <v>2029</v>
      </c>
      <c r="F138">
        <v>100</v>
      </c>
      <c r="G138" t="s">
        <v>1882</v>
      </c>
      <c r="H138">
        <v>36</v>
      </c>
      <c r="I138" s="3">
        <v>204.49</v>
      </c>
      <c r="J138" s="3">
        <v>257.39999999999998</v>
      </c>
      <c r="K138" t="s">
        <v>154</v>
      </c>
      <c r="L138">
        <v>11</v>
      </c>
      <c r="M138">
        <v>4</v>
      </c>
      <c r="N138">
        <v>54</v>
      </c>
      <c r="O138" s="2">
        <v>45623</v>
      </c>
      <c r="P138">
        <v>1</v>
      </c>
      <c r="Q138">
        <v>46.62</v>
      </c>
      <c r="R138" t="s">
        <v>77</v>
      </c>
    </row>
    <row r="139" spans="1:18" x14ac:dyDescent="0.3">
      <c r="A139" t="s">
        <v>2032</v>
      </c>
      <c r="B139" t="s">
        <v>2033</v>
      </c>
      <c r="C139" t="s">
        <v>2034</v>
      </c>
      <c r="D139" t="s">
        <v>2024</v>
      </c>
      <c r="E139" t="s">
        <v>2029</v>
      </c>
      <c r="F139">
        <v>100</v>
      </c>
      <c r="G139" t="s">
        <v>1882</v>
      </c>
      <c r="H139">
        <v>60</v>
      </c>
      <c r="I139" s="3">
        <v>148.78</v>
      </c>
      <c r="J139" s="3">
        <v>183.35</v>
      </c>
      <c r="K139" t="s">
        <v>131</v>
      </c>
      <c r="L139">
        <v>11</v>
      </c>
      <c r="M139">
        <v>1</v>
      </c>
      <c r="N139">
        <v>34</v>
      </c>
      <c r="O139" s="2">
        <v>45542</v>
      </c>
      <c r="P139">
        <v>1</v>
      </c>
      <c r="Q139">
        <v>9.41</v>
      </c>
      <c r="R139" t="s">
        <v>1750</v>
      </c>
    </row>
    <row r="140" spans="1:18" x14ac:dyDescent="0.3">
      <c r="A140" t="s">
        <v>2035</v>
      </c>
      <c r="B140" t="s">
        <v>2036</v>
      </c>
      <c r="C140" t="s">
        <v>2034</v>
      </c>
      <c r="D140" t="s">
        <v>2024</v>
      </c>
      <c r="E140" t="s">
        <v>2037</v>
      </c>
      <c r="F140">
        <v>1500</v>
      </c>
      <c r="G140" t="s">
        <v>1882</v>
      </c>
      <c r="H140">
        <v>6</v>
      </c>
      <c r="I140" s="3">
        <v>283.39999999999998</v>
      </c>
      <c r="J140" s="3">
        <v>336.14</v>
      </c>
      <c r="K140" t="s">
        <v>98</v>
      </c>
      <c r="L140">
        <v>11</v>
      </c>
      <c r="M140">
        <v>4</v>
      </c>
      <c r="N140">
        <v>33</v>
      </c>
      <c r="O140" s="2">
        <v>45628</v>
      </c>
      <c r="P140">
        <v>1</v>
      </c>
      <c r="Q140">
        <v>46.94</v>
      </c>
      <c r="R140" t="s">
        <v>77</v>
      </c>
    </row>
    <row r="141" spans="1:18" x14ac:dyDescent="0.3">
      <c r="A141" t="s">
        <v>2038</v>
      </c>
      <c r="B141" t="s">
        <v>2039</v>
      </c>
      <c r="C141" t="s">
        <v>2028</v>
      </c>
      <c r="D141" t="s">
        <v>2024</v>
      </c>
      <c r="E141" t="s">
        <v>2040</v>
      </c>
      <c r="F141">
        <v>150</v>
      </c>
      <c r="G141" t="s">
        <v>1882</v>
      </c>
      <c r="H141">
        <v>24</v>
      </c>
      <c r="I141" s="3">
        <v>74.22</v>
      </c>
      <c r="J141" s="3">
        <v>92.32</v>
      </c>
      <c r="K141" t="s">
        <v>186</v>
      </c>
      <c r="L141">
        <v>16</v>
      </c>
      <c r="M141">
        <v>1</v>
      </c>
      <c r="N141">
        <v>28</v>
      </c>
      <c r="O141" s="2">
        <v>45518</v>
      </c>
      <c r="P141">
        <v>1</v>
      </c>
      <c r="Q141">
        <v>7.67</v>
      </c>
      <c r="R141" t="s">
        <v>1750</v>
      </c>
    </row>
    <row r="142" spans="1:18" x14ac:dyDescent="0.3">
      <c r="A142" t="s">
        <v>2041</v>
      </c>
      <c r="B142" t="s">
        <v>2042</v>
      </c>
      <c r="C142" t="s">
        <v>2034</v>
      </c>
      <c r="D142" t="s">
        <v>2024</v>
      </c>
      <c r="E142" t="s">
        <v>2040</v>
      </c>
      <c r="F142">
        <v>100</v>
      </c>
      <c r="G142" t="s">
        <v>1882</v>
      </c>
      <c r="H142">
        <v>24</v>
      </c>
      <c r="I142" s="3">
        <v>152.44999999999999</v>
      </c>
      <c r="J142" s="3">
        <v>191.62</v>
      </c>
      <c r="K142" t="s">
        <v>142</v>
      </c>
      <c r="L142">
        <v>9</v>
      </c>
      <c r="M142">
        <v>100</v>
      </c>
      <c r="N142">
        <v>26</v>
      </c>
      <c r="O142" s="2">
        <v>45531</v>
      </c>
      <c r="P142">
        <v>1</v>
      </c>
      <c r="Q142">
        <v>25.04</v>
      </c>
      <c r="R142" t="s">
        <v>77</v>
      </c>
    </row>
    <row r="143" spans="1:18" x14ac:dyDescent="0.3">
      <c r="A143" t="s">
        <v>2043</v>
      </c>
      <c r="B143" t="s">
        <v>2044</v>
      </c>
      <c r="C143" t="s">
        <v>2023</v>
      </c>
      <c r="D143" t="s">
        <v>2024</v>
      </c>
      <c r="E143" t="s">
        <v>2029</v>
      </c>
      <c r="F143">
        <v>500</v>
      </c>
      <c r="G143" t="s">
        <v>1882</v>
      </c>
      <c r="H143">
        <v>24</v>
      </c>
      <c r="I143" s="3">
        <v>66.099999999999994</v>
      </c>
      <c r="J143" s="3">
        <v>83.69</v>
      </c>
      <c r="K143" t="s">
        <v>152</v>
      </c>
      <c r="L143">
        <v>17</v>
      </c>
      <c r="M143">
        <v>6</v>
      </c>
      <c r="N143">
        <v>29</v>
      </c>
      <c r="O143" s="2">
        <v>45510</v>
      </c>
      <c r="P143">
        <v>1</v>
      </c>
      <c r="Q143">
        <v>36.270000000000003</v>
      </c>
      <c r="R143" t="s">
        <v>77</v>
      </c>
    </row>
    <row r="144" spans="1:18" x14ac:dyDescent="0.3">
      <c r="A144" t="s">
        <v>2045</v>
      </c>
      <c r="B144" t="s">
        <v>2046</v>
      </c>
      <c r="C144" t="s">
        <v>2023</v>
      </c>
      <c r="D144" t="s">
        <v>2024</v>
      </c>
      <c r="E144" t="s">
        <v>2025</v>
      </c>
      <c r="F144">
        <v>500</v>
      </c>
      <c r="G144" t="s">
        <v>1882</v>
      </c>
      <c r="H144">
        <v>36</v>
      </c>
      <c r="I144" s="3">
        <v>71.69</v>
      </c>
      <c r="J144" s="3">
        <v>90.19</v>
      </c>
      <c r="K144" t="s">
        <v>191</v>
      </c>
      <c r="L144">
        <v>8</v>
      </c>
      <c r="M144">
        <v>24</v>
      </c>
      <c r="N144">
        <v>55</v>
      </c>
      <c r="O144" s="2">
        <v>45772</v>
      </c>
      <c r="P144">
        <v>1</v>
      </c>
      <c r="Q144">
        <v>7.65</v>
      </c>
      <c r="R144" t="s">
        <v>1750</v>
      </c>
    </row>
    <row r="145" spans="1:18" x14ac:dyDescent="0.3">
      <c r="A145" t="s">
        <v>2047</v>
      </c>
      <c r="B145" t="s">
        <v>2048</v>
      </c>
      <c r="C145" t="s">
        <v>2028</v>
      </c>
      <c r="D145" t="s">
        <v>2024</v>
      </c>
      <c r="E145" t="s">
        <v>2040</v>
      </c>
      <c r="F145">
        <v>500</v>
      </c>
      <c r="G145" t="s">
        <v>1882</v>
      </c>
      <c r="H145">
        <v>12</v>
      </c>
      <c r="I145" s="3">
        <v>134.68</v>
      </c>
      <c r="J145" s="3">
        <v>168.97</v>
      </c>
      <c r="K145" t="s">
        <v>166</v>
      </c>
      <c r="L145">
        <v>9</v>
      </c>
      <c r="M145">
        <v>24</v>
      </c>
      <c r="N145">
        <v>37</v>
      </c>
      <c r="O145" s="2">
        <v>45593</v>
      </c>
      <c r="P145">
        <v>1</v>
      </c>
      <c r="Q145">
        <v>39.56</v>
      </c>
      <c r="R145" t="s">
        <v>77</v>
      </c>
    </row>
    <row r="146" spans="1:18" x14ac:dyDescent="0.3">
      <c r="A146" t="s">
        <v>2049</v>
      </c>
      <c r="B146" t="s">
        <v>2050</v>
      </c>
      <c r="C146" t="s">
        <v>1731</v>
      </c>
      <c r="D146" t="s">
        <v>2024</v>
      </c>
      <c r="E146" t="s">
        <v>2037</v>
      </c>
      <c r="F146">
        <v>1000</v>
      </c>
      <c r="G146" t="s">
        <v>1882</v>
      </c>
      <c r="H146">
        <v>6</v>
      </c>
      <c r="I146" s="3">
        <v>221.36</v>
      </c>
      <c r="J146" s="3">
        <v>263.05</v>
      </c>
      <c r="K146" t="s">
        <v>166</v>
      </c>
      <c r="L146">
        <v>9</v>
      </c>
      <c r="M146">
        <v>48</v>
      </c>
      <c r="N146">
        <v>21</v>
      </c>
      <c r="O146" s="2">
        <v>45549</v>
      </c>
      <c r="P146">
        <v>1</v>
      </c>
      <c r="Q146">
        <v>9.85</v>
      </c>
      <c r="R146" t="s">
        <v>1750</v>
      </c>
    </row>
    <row r="147" spans="1:18" x14ac:dyDescent="0.3">
      <c r="A147" t="s">
        <v>2051</v>
      </c>
      <c r="B147" t="s">
        <v>2052</v>
      </c>
      <c r="C147" t="s">
        <v>1731</v>
      </c>
      <c r="D147" t="s">
        <v>2024</v>
      </c>
      <c r="E147" t="s">
        <v>2037</v>
      </c>
      <c r="F147">
        <v>250</v>
      </c>
      <c r="G147" t="s">
        <v>1882</v>
      </c>
      <c r="H147">
        <v>36</v>
      </c>
      <c r="I147" s="3">
        <v>229.32</v>
      </c>
      <c r="J147" s="3">
        <v>276.36</v>
      </c>
      <c r="K147" t="s">
        <v>172</v>
      </c>
      <c r="L147">
        <v>12</v>
      </c>
      <c r="M147">
        <v>48</v>
      </c>
      <c r="N147">
        <v>45</v>
      </c>
      <c r="O147" s="2">
        <v>45945</v>
      </c>
      <c r="P147">
        <v>1</v>
      </c>
      <c r="Q147">
        <v>9.6199999999999992</v>
      </c>
      <c r="R147" t="s">
        <v>1750</v>
      </c>
    </row>
    <row r="148" spans="1:18" x14ac:dyDescent="0.3">
      <c r="A148" t="s">
        <v>2053</v>
      </c>
      <c r="B148" t="s">
        <v>2054</v>
      </c>
      <c r="C148" t="s">
        <v>2023</v>
      </c>
      <c r="D148" t="s">
        <v>2024</v>
      </c>
      <c r="E148" t="s">
        <v>2037</v>
      </c>
      <c r="F148">
        <v>500</v>
      </c>
      <c r="G148" t="s">
        <v>1882</v>
      </c>
      <c r="H148">
        <v>36</v>
      </c>
      <c r="I148" s="3">
        <v>114.52</v>
      </c>
      <c r="J148" s="3">
        <v>144.96</v>
      </c>
      <c r="K148" t="s">
        <v>140</v>
      </c>
      <c r="L148">
        <v>10</v>
      </c>
      <c r="M148">
        <v>6</v>
      </c>
      <c r="N148">
        <v>18</v>
      </c>
      <c r="O148" s="2">
        <v>45740</v>
      </c>
      <c r="P148">
        <v>1</v>
      </c>
      <c r="Q148">
        <v>6.14</v>
      </c>
      <c r="R148" t="s">
        <v>1741</v>
      </c>
    </row>
    <row r="149" spans="1:18" x14ac:dyDescent="0.3">
      <c r="A149" t="s">
        <v>2055</v>
      </c>
      <c r="B149" t="s">
        <v>2056</v>
      </c>
      <c r="C149" t="s">
        <v>1731</v>
      </c>
      <c r="D149" t="s">
        <v>2024</v>
      </c>
      <c r="E149" t="s">
        <v>2025</v>
      </c>
      <c r="F149">
        <v>200</v>
      </c>
      <c r="G149" t="s">
        <v>1882</v>
      </c>
      <c r="H149">
        <v>36</v>
      </c>
      <c r="I149" s="3">
        <v>145.06</v>
      </c>
      <c r="J149" s="3">
        <v>170.67</v>
      </c>
      <c r="K149" t="s">
        <v>98</v>
      </c>
      <c r="L149">
        <v>11</v>
      </c>
      <c r="M149">
        <v>2</v>
      </c>
      <c r="N149">
        <v>53</v>
      </c>
      <c r="O149" s="2">
        <v>45749</v>
      </c>
      <c r="P149">
        <v>1</v>
      </c>
      <c r="Q149">
        <v>12.87</v>
      </c>
      <c r="R149" t="s">
        <v>1750</v>
      </c>
    </row>
    <row r="150" spans="1:18" x14ac:dyDescent="0.3">
      <c r="A150" t="s">
        <v>2057</v>
      </c>
      <c r="B150" t="s">
        <v>2058</v>
      </c>
      <c r="C150" t="s">
        <v>1731</v>
      </c>
      <c r="D150" t="s">
        <v>2024</v>
      </c>
      <c r="E150" t="s">
        <v>2040</v>
      </c>
      <c r="F150">
        <v>100</v>
      </c>
      <c r="G150" t="s">
        <v>1882</v>
      </c>
      <c r="H150">
        <v>60</v>
      </c>
      <c r="I150" s="3">
        <v>168.65</v>
      </c>
      <c r="J150" s="3">
        <v>212.57</v>
      </c>
      <c r="K150" t="s">
        <v>166</v>
      </c>
      <c r="L150">
        <v>9</v>
      </c>
      <c r="M150">
        <v>1</v>
      </c>
      <c r="N150">
        <v>21</v>
      </c>
      <c r="O150" s="2">
        <v>45632</v>
      </c>
      <c r="P150">
        <v>1</v>
      </c>
      <c r="Q150">
        <v>32.51</v>
      </c>
      <c r="R150" t="s">
        <v>77</v>
      </c>
    </row>
    <row r="151" spans="1:18" x14ac:dyDescent="0.3">
      <c r="A151" t="s">
        <v>2059</v>
      </c>
      <c r="B151" t="s">
        <v>2060</v>
      </c>
      <c r="C151" t="s">
        <v>1731</v>
      </c>
      <c r="D151" t="s">
        <v>2024</v>
      </c>
      <c r="E151" t="s">
        <v>2037</v>
      </c>
      <c r="F151">
        <v>1500</v>
      </c>
      <c r="G151" t="s">
        <v>1882</v>
      </c>
      <c r="H151">
        <v>6</v>
      </c>
      <c r="I151" s="3">
        <v>76.09</v>
      </c>
      <c r="J151" s="3">
        <v>95.93</v>
      </c>
      <c r="K151" t="s">
        <v>162</v>
      </c>
      <c r="L151">
        <v>7</v>
      </c>
      <c r="M151">
        <v>1</v>
      </c>
      <c r="N151">
        <v>50</v>
      </c>
      <c r="O151" s="2">
        <v>45962</v>
      </c>
      <c r="P151">
        <v>1</v>
      </c>
      <c r="Q151">
        <v>12.34</v>
      </c>
      <c r="R151" t="s">
        <v>1750</v>
      </c>
    </row>
    <row r="152" spans="1:18" x14ac:dyDescent="0.3">
      <c r="A152" t="s">
        <v>2061</v>
      </c>
      <c r="B152" t="s">
        <v>2062</v>
      </c>
      <c r="C152" t="s">
        <v>2034</v>
      </c>
      <c r="D152" t="s">
        <v>2024</v>
      </c>
      <c r="E152" t="s">
        <v>2029</v>
      </c>
      <c r="F152">
        <v>200</v>
      </c>
      <c r="G152" t="s">
        <v>1882</v>
      </c>
      <c r="H152">
        <v>36</v>
      </c>
      <c r="I152" s="3">
        <v>219.35</v>
      </c>
      <c r="J152" s="3">
        <v>276.31</v>
      </c>
      <c r="K152" t="s">
        <v>166</v>
      </c>
      <c r="L152">
        <v>9</v>
      </c>
      <c r="M152">
        <v>1</v>
      </c>
      <c r="N152">
        <v>43</v>
      </c>
      <c r="O152" s="2">
        <v>45755</v>
      </c>
      <c r="P152">
        <v>1</v>
      </c>
      <c r="Q152">
        <v>14.79</v>
      </c>
      <c r="R152" t="s">
        <v>1750</v>
      </c>
    </row>
    <row r="153" spans="1:18" x14ac:dyDescent="0.3">
      <c r="A153" t="s">
        <v>2063</v>
      </c>
      <c r="B153" t="s">
        <v>2064</v>
      </c>
      <c r="C153" t="s">
        <v>2028</v>
      </c>
      <c r="D153" t="s">
        <v>2024</v>
      </c>
      <c r="E153" t="s">
        <v>2040</v>
      </c>
      <c r="F153">
        <v>500</v>
      </c>
      <c r="G153" t="s">
        <v>1882</v>
      </c>
      <c r="H153">
        <v>12</v>
      </c>
      <c r="I153" s="3">
        <v>211.35</v>
      </c>
      <c r="J153" s="3">
        <v>266.98</v>
      </c>
      <c r="K153" t="s">
        <v>138</v>
      </c>
      <c r="L153">
        <v>14</v>
      </c>
      <c r="M153">
        <v>24</v>
      </c>
      <c r="N153">
        <v>20</v>
      </c>
      <c r="O153" s="2">
        <v>45503</v>
      </c>
      <c r="P153">
        <v>1</v>
      </c>
      <c r="Q153">
        <v>22.73</v>
      </c>
      <c r="R153" t="s">
        <v>77</v>
      </c>
    </row>
    <row r="154" spans="1:18" x14ac:dyDescent="0.3">
      <c r="A154" t="s">
        <v>2065</v>
      </c>
      <c r="B154" t="s">
        <v>2066</v>
      </c>
      <c r="C154" t="s">
        <v>2023</v>
      </c>
      <c r="D154" t="s">
        <v>2024</v>
      </c>
      <c r="E154" t="s">
        <v>2029</v>
      </c>
      <c r="F154">
        <v>200</v>
      </c>
      <c r="G154" t="s">
        <v>1882</v>
      </c>
      <c r="H154">
        <v>24</v>
      </c>
      <c r="I154" s="3">
        <v>149.41</v>
      </c>
      <c r="J154" s="3">
        <v>184.75</v>
      </c>
      <c r="K154" t="s">
        <v>142</v>
      </c>
      <c r="L154">
        <v>9</v>
      </c>
      <c r="M154">
        <v>100</v>
      </c>
      <c r="N154">
        <v>53</v>
      </c>
      <c r="O154" s="2">
        <v>45348</v>
      </c>
      <c r="P154">
        <v>1</v>
      </c>
      <c r="Q154">
        <v>5.9</v>
      </c>
      <c r="R154" t="s">
        <v>1750</v>
      </c>
    </row>
    <row r="155" spans="1:18" x14ac:dyDescent="0.3">
      <c r="A155" t="s">
        <v>2067</v>
      </c>
      <c r="B155" t="s">
        <v>2068</v>
      </c>
      <c r="C155" t="s">
        <v>2023</v>
      </c>
      <c r="D155" t="s">
        <v>2024</v>
      </c>
      <c r="E155" t="s">
        <v>2029</v>
      </c>
      <c r="F155">
        <v>100</v>
      </c>
      <c r="G155" t="s">
        <v>1882</v>
      </c>
      <c r="H155">
        <v>24</v>
      </c>
      <c r="I155" s="3">
        <v>67.12</v>
      </c>
      <c r="J155" s="3">
        <v>79.38</v>
      </c>
      <c r="K155" t="s">
        <v>108</v>
      </c>
      <c r="L155">
        <v>9</v>
      </c>
      <c r="M155">
        <v>6</v>
      </c>
      <c r="N155">
        <v>56</v>
      </c>
      <c r="O155" s="2">
        <v>45509</v>
      </c>
      <c r="P155">
        <v>1</v>
      </c>
      <c r="Q155">
        <v>43.82</v>
      </c>
      <c r="R155" t="s">
        <v>77</v>
      </c>
    </row>
    <row r="156" spans="1:18" x14ac:dyDescent="0.3">
      <c r="A156" t="s">
        <v>2069</v>
      </c>
      <c r="B156" t="s">
        <v>2070</v>
      </c>
      <c r="C156" t="s">
        <v>1731</v>
      </c>
      <c r="D156" t="s">
        <v>2024</v>
      </c>
      <c r="E156" t="s">
        <v>2037</v>
      </c>
      <c r="F156">
        <v>1000</v>
      </c>
      <c r="G156" t="s">
        <v>1882</v>
      </c>
      <c r="H156">
        <v>12</v>
      </c>
      <c r="I156" s="3">
        <v>121.5</v>
      </c>
      <c r="J156" s="3">
        <v>152.93</v>
      </c>
      <c r="K156" t="s">
        <v>174</v>
      </c>
      <c r="L156">
        <v>10</v>
      </c>
      <c r="M156">
        <v>2</v>
      </c>
      <c r="N156">
        <v>46</v>
      </c>
      <c r="O156" s="2">
        <v>45527</v>
      </c>
      <c r="P156">
        <v>1</v>
      </c>
      <c r="Q156">
        <v>24.28</v>
      </c>
      <c r="R156" t="s">
        <v>77</v>
      </c>
    </row>
    <row r="157" spans="1:18" x14ac:dyDescent="0.3">
      <c r="A157" t="s">
        <v>2071</v>
      </c>
      <c r="B157" t="s">
        <v>2072</v>
      </c>
      <c r="C157" t="s">
        <v>2028</v>
      </c>
      <c r="D157" t="s">
        <v>2024</v>
      </c>
      <c r="E157" t="s">
        <v>2029</v>
      </c>
      <c r="F157">
        <v>500</v>
      </c>
      <c r="G157" t="s">
        <v>1882</v>
      </c>
      <c r="H157">
        <v>24</v>
      </c>
      <c r="I157" s="3">
        <v>208.75</v>
      </c>
      <c r="J157" s="3">
        <v>250.83</v>
      </c>
      <c r="K157" t="s">
        <v>144</v>
      </c>
      <c r="L157">
        <v>13</v>
      </c>
      <c r="M157">
        <v>6</v>
      </c>
      <c r="N157">
        <v>36</v>
      </c>
      <c r="O157" s="2">
        <v>45694</v>
      </c>
      <c r="P157">
        <v>1</v>
      </c>
      <c r="Q157">
        <v>8</v>
      </c>
      <c r="R157" t="s">
        <v>1750</v>
      </c>
    </row>
    <row r="158" spans="1:18" x14ac:dyDescent="0.3">
      <c r="A158" t="s">
        <v>2073</v>
      </c>
      <c r="B158" t="s">
        <v>2074</v>
      </c>
      <c r="C158" t="s">
        <v>2028</v>
      </c>
      <c r="D158" t="s">
        <v>2024</v>
      </c>
      <c r="E158" t="s">
        <v>2029</v>
      </c>
      <c r="F158">
        <v>500</v>
      </c>
      <c r="G158" t="s">
        <v>1882</v>
      </c>
      <c r="H158">
        <v>24</v>
      </c>
      <c r="I158" s="3">
        <v>113.87</v>
      </c>
      <c r="J158" s="3">
        <v>139.29</v>
      </c>
      <c r="K158" t="s">
        <v>170</v>
      </c>
      <c r="L158">
        <v>13</v>
      </c>
      <c r="M158">
        <v>4</v>
      </c>
      <c r="N158">
        <v>19</v>
      </c>
      <c r="O158" s="2">
        <v>45451</v>
      </c>
      <c r="P158">
        <v>1</v>
      </c>
      <c r="Q158">
        <v>11.36</v>
      </c>
      <c r="R158" t="s">
        <v>1750</v>
      </c>
    </row>
    <row r="159" spans="1:18" x14ac:dyDescent="0.3">
      <c r="A159" t="s">
        <v>2075</v>
      </c>
      <c r="B159" t="s">
        <v>2076</v>
      </c>
      <c r="C159" t="s">
        <v>2023</v>
      </c>
      <c r="D159" t="s">
        <v>2024</v>
      </c>
      <c r="E159" t="s">
        <v>2037</v>
      </c>
      <c r="F159">
        <v>1000</v>
      </c>
      <c r="G159" t="s">
        <v>1882</v>
      </c>
      <c r="H159">
        <v>6</v>
      </c>
      <c r="I159" s="3">
        <v>71.650000000000006</v>
      </c>
      <c r="J159" s="3">
        <v>89.94</v>
      </c>
      <c r="K159" t="s">
        <v>144</v>
      </c>
      <c r="L159">
        <v>13</v>
      </c>
      <c r="M159">
        <v>24</v>
      </c>
      <c r="N159">
        <v>35</v>
      </c>
      <c r="O159" s="2">
        <v>45406</v>
      </c>
      <c r="P159">
        <v>1</v>
      </c>
      <c r="Q159">
        <v>12.19</v>
      </c>
      <c r="R159" t="s">
        <v>1750</v>
      </c>
    </row>
    <row r="160" spans="1:18" x14ac:dyDescent="0.3">
      <c r="A160" t="s">
        <v>2077</v>
      </c>
      <c r="B160" t="s">
        <v>2078</v>
      </c>
      <c r="C160" t="s">
        <v>2023</v>
      </c>
      <c r="D160" t="s">
        <v>2024</v>
      </c>
      <c r="E160" t="s">
        <v>2029</v>
      </c>
      <c r="F160">
        <v>100</v>
      </c>
      <c r="G160" t="s">
        <v>1882</v>
      </c>
      <c r="H160">
        <v>36</v>
      </c>
      <c r="I160" s="3">
        <v>193.62</v>
      </c>
      <c r="J160" s="3">
        <v>246.54</v>
      </c>
      <c r="K160" t="s">
        <v>119</v>
      </c>
      <c r="L160">
        <v>12</v>
      </c>
      <c r="M160">
        <v>48</v>
      </c>
      <c r="N160">
        <v>23</v>
      </c>
      <c r="O160" s="2">
        <v>45797</v>
      </c>
      <c r="P160">
        <v>1</v>
      </c>
      <c r="Q160">
        <v>28.96</v>
      </c>
      <c r="R160" t="s">
        <v>77</v>
      </c>
    </row>
    <row r="161" spans="1:18" x14ac:dyDescent="0.3">
      <c r="A161" t="s">
        <v>2079</v>
      </c>
      <c r="B161" t="s">
        <v>2080</v>
      </c>
      <c r="C161" t="s">
        <v>2023</v>
      </c>
      <c r="D161" t="s">
        <v>2024</v>
      </c>
      <c r="E161" t="s">
        <v>2037</v>
      </c>
      <c r="F161">
        <v>1000</v>
      </c>
      <c r="G161" t="s">
        <v>1882</v>
      </c>
      <c r="H161">
        <v>12</v>
      </c>
      <c r="I161" s="3">
        <v>184.69</v>
      </c>
      <c r="J161" s="3">
        <v>233</v>
      </c>
      <c r="K161" t="s">
        <v>144</v>
      </c>
      <c r="L161">
        <v>13</v>
      </c>
      <c r="M161">
        <v>24</v>
      </c>
      <c r="N161">
        <v>16</v>
      </c>
      <c r="O161" s="2">
        <v>45637</v>
      </c>
      <c r="P161">
        <v>1</v>
      </c>
      <c r="Q161">
        <v>9.82</v>
      </c>
      <c r="R161" t="s">
        <v>1750</v>
      </c>
    </row>
    <row r="162" spans="1:18" x14ac:dyDescent="0.3">
      <c r="A162" t="s">
        <v>2081</v>
      </c>
      <c r="B162" t="s">
        <v>2082</v>
      </c>
      <c r="C162" t="s">
        <v>2034</v>
      </c>
      <c r="D162" t="s">
        <v>2024</v>
      </c>
      <c r="E162" t="s">
        <v>2025</v>
      </c>
      <c r="F162">
        <v>200</v>
      </c>
      <c r="G162" t="s">
        <v>1882</v>
      </c>
      <c r="H162">
        <v>12</v>
      </c>
      <c r="I162" s="3">
        <v>53.76</v>
      </c>
      <c r="J162" s="3">
        <v>64.290000000000006</v>
      </c>
      <c r="K162" t="s">
        <v>166</v>
      </c>
      <c r="L162">
        <v>9</v>
      </c>
      <c r="M162">
        <v>2</v>
      </c>
      <c r="N162">
        <v>58</v>
      </c>
      <c r="O162" s="2">
        <v>45578</v>
      </c>
      <c r="P162">
        <v>1</v>
      </c>
      <c r="Q162">
        <v>52.34</v>
      </c>
      <c r="R162" t="s">
        <v>77</v>
      </c>
    </row>
    <row r="163" spans="1:18" x14ac:dyDescent="0.3">
      <c r="A163" t="s">
        <v>2083</v>
      </c>
      <c r="B163" t="s">
        <v>2084</v>
      </c>
      <c r="C163" t="s">
        <v>2028</v>
      </c>
      <c r="D163" t="s">
        <v>2024</v>
      </c>
      <c r="E163" t="s">
        <v>2025</v>
      </c>
      <c r="F163">
        <v>500</v>
      </c>
      <c r="G163" t="s">
        <v>1882</v>
      </c>
      <c r="H163">
        <v>36</v>
      </c>
      <c r="I163" s="3">
        <v>123.19</v>
      </c>
      <c r="J163" s="3">
        <v>146.97</v>
      </c>
      <c r="K163" t="s">
        <v>178</v>
      </c>
      <c r="L163">
        <v>12</v>
      </c>
      <c r="M163">
        <v>24</v>
      </c>
      <c r="N163">
        <v>25</v>
      </c>
      <c r="O163" s="2">
        <v>45514</v>
      </c>
      <c r="P163">
        <v>1</v>
      </c>
      <c r="Q163">
        <v>13.31</v>
      </c>
      <c r="R163" t="s">
        <v>1750</v>
      </c>
    </row>
    <row r="164" spans="1:18" x14ac:dyDescent="0.3">
      <c r="A164" t="s">
        <v>2085</v>
      </c>
      <c r="B164" t="s">
        <v>2086</v>
      </c>
      <c r="C164" t="s">
        <v>2034</v>
      </c>
      <c r="D164" t="s">
        <v>2024</v>
      </c>
      <c r="E164" t="s">
        <v>2037</v>
      </c>
      <c r="F164">
        <v>250</v>
      </c>
      <c r="G164" t="s">
        <v>1882</v>
      </c>
      <c r="H164">
        <v>12</v>
      </c>
      <c r="I164" s="3">
        <v>104.9</v>
      </c>
      <c r="J164" s="3">
        <v>125.71</v>
      </c>
      <c r="K164" t="s">
        <v>150</v>
      </c>
      <c r="L164">
        <v>11</v>
      </c>
      <c r="M164">
        <v>48</v>
      </c>
      <c r="N164">
        <v>41</v>
      </c>
      <c r="O164" s="2">
        <v>45326</v>
      </c>
      <c r="P164">
        <v>1</v>
      </c>
      <c r="Q164">
        <v>18.27</v>
      </c>
      <c r="R164" t="s">
        <v>77</v>
      </c>
    </row>
    <row r="165" spans="1:18" x14ac:dyDescent="0.3">
      <c r="A165" t="s">
        <v>2087</v>
      </c>
      <c r="B165" t="s">
        <v>2088</v>
      </c>
      <c r="C165" t="s">
        <v>2034</v>
      </c>
      <c r="D165" t="s">
        <v>2024</v>
      </c>
      <c r="E165" t="s">
        <v>2025</v>
      </c>
      <c r="F165">
        <v>200</v>
      </c>
      <c r="G165" t="s">
        <v>1882</v>
      </c>
      <c r="H165">
        <v>12</v>
      </c>
      <c r="I165" s="3">
        <v>189.16</v>
      </c>
      <c r="J165" s="3">
        <v>226.05</v>
      </c>
      <c r="K165" t="s">
        <v>168</v>
      </c>
      <c r="L165">
        <v>10</v>
      </c>
      <c r="M165">
        <v>4</v>
      </c>
      <c r="N165">
        <v>43</v>
      </c>
      <c r="O165" s="2">
        <v>45439</v>
      </c>
      <c r="P165">
        <v>1</v>
      </c>
      <c r="Q165">
        <v>7.42</v>
      </c>
      <c r="R165" t="s">
        <v>1750</v>
      </c>
    </row>
    <row r="166" spans="1:18" x14ac:dyDescent="0.3">
      <c r="A166" t="s">
        <v>2089</v>
      </c>
      <c r="B166" t="s">
        <v>2090</v>
      </c>
      <c r="C166" t="s">
        <v>1731</v>
      </c>
      <c r="D166" t="s">
        <v>2024</v>
      </c>
      <c r="E166" t="s">
        <v>2029</v>
      </c>
      <c r="F166">
        <v>200</v>
      </c>
      <c r="G166" t="s">
        <v>1882</v>
      </c>
      <c r="H166">
        <v>36</v>
      </c>
      <c r="I166" s="3">
        <v>177.09</v>
      </c>
      <c r="J166" s="3">
        <v>211.58</v>
      </c>
      <c r="K166" t="s">
        <v>131</v>
      </c>
      <c r="L166">
        <v>11</v>
      </c>
      <c r="M166">
        <v>12</v>
      </c>
      <c r="N166">
        <v>31</v>
      </c>
      <c r="O166" s="2">
        <v>45901</v>
      </c>
      <c r="P166">
        <v>1</v>
      </c>
      <c r="Q166">
        <v>81.96</v>
      </c>
      <c r="R166" t="s">
        <v>1774</v>
      </c>
    </row>
    <row r="167" spans="1:18" x14ac:dyDescent="0.3">
      <c r="A167" t="s">
        <v>2091</v>
      </c>
      <c r="B167" t="s">
        <v>2092</v>
      </c>
      <c r="C167" t="s">
        <v>2028</v>
      </c>
      <c r="D167" t="s">
        <v>2024</v>
      </c>
      <c r="E167" t="s">
        <v>2025</v>
      </c>
      <c r="F167">
        <v>200</v>
      </c>
      <c r="G167" t="s">
        <v>1882</v>
      </c>
      <c r="H167">
        <v>12</v>
      </c>
      <c r="I167" s="3">
        <v>214.22</v>
      </c>
      <c r="J167" s="3">
        <v>267.81</v>
      </c>
      <c r="K167" t="s">
        <v>144</v>
      </c>
      <c r="L167">
        <v>13</v>
      </c>
      <c r="M167">
        <v>24</v>
      </c>
      <c r="N167">
        <v>29</v>
      </c>
      <c r="O167" s="2">
        <v>45898</v>
      </c>
      <c r="P167">
        <v>1</v>
      </c>
      <c r="Q167">
        <v>36.130000000000003</v>
      </c>
      <c r="R167" t="s">
        <v>77</v>
      </c>
    </row>
    <row r="168" spans="1:18" x14ac:dyDescent="0.3">
      <c r="A168" t="s">
        <v>2093</v>
      </c>
      <c r="B168" t="s">
        <v>2094</v>
      </c>
      <c r="C168" t="s">
        <v>2034</v>
      </c>
      <c r="D168" t="s">
        <v>2024</v>
      </c>
      <c r="E168" t="s">
        <v>2040</v>
      </c>
      <c r="F168">
        <v>150</v>
      </c>
      <c r="G168" t="s">
        <v>1882</v>
      </c>
      <c r="H168">
        <v>24</v>
      </c>
      <c r="I168" s="3">
        <v>167.25</v>
      </c>
      <c r="J168" s="3">
        <v>208.93</v>
      </c>
      <c r="K168" t="s">
        <v>146</v>
      </c>
      <c r="L168">
        <v>15</v>
      </c>
      <c r="M168">
        <v>12</v>
      </c>
      <c r="N168">
        <v>40</v>
      </c>
      <c r="O168" s="2">
        <v>45772</v>
      </c>
      <c r="P168">
        <v>1</v>
      </c>
      <c r="Q168">
        <v>27.02</v>
      </c>
      <c r="R168" t="s">
        <v>77</v>
      </c>
    </row>
    <row r="169" spans="1:18" x14ac:dyDescent="0.3">
      <c r="A169" t="s">
        <v>2095</v>
      </c>
      <c r="B169" t="s">
        <v>2096</v>
      </c>
      <c r="C169" t="s">
        <v>2028</v>
      </c>
      <c r="D169" t="s">
        <v>2024</v>
      </c>
      <c r="E169" t="s">
        <v>2029</v>
      </c>
      <c r="F169">
        <v>100</v>
      </c>
      <c r="G169" t="s">
        <v>1882</v>
      </c>
      <c r="H169">
        <v>24</v>
      </c>
      <c r="I169" s="3">
        <v>115.48</v>
      </c>
      <c r="J169" s="3">
        <v>144.02000000000001</v>
      </c>
      <c r="K169" t="s">
        <v>113</v>
      </c>
      <c r="L169">
        <v>17</v>
      </c>
      <c r="M169">
        <v>100</v>
      </c>
      <c r="N169">
        <v>30</v>
      </c>
      <c r="O169" s="2">
        <v>45850</v>
      </c>
      <c r="P169">
        <v>1</v>
      </c>
      <c r="Q169">
        <v>18.649999999999999</v>
      </c>
      <c r="R169" t="s">
        <v>77</v>
      </c>
    </row>
    <row r="170" spans="1:18" x14ac:dyDescent="0.3">
      <c r="A170" t="s">
        <v>2097</v>
      </c>
      <c r="B170" t="s">
        <v>2098</v>
      </c>
      <c r="C170" t="s">
        <v>2028</v>
      </c>
      <c r="D170" t="s">
        <v>2024</v>
      </c>
      <c r="E170" t="s">
        <v>2040</v>
      </c>
      <c r="F170">
        <v>150</v>
      </c>
      <c r="G170" t="s">
        <v>1882</v>
      </c>
      <c r="H170">
        <v>36</v>
      </c>
      <c r="I170" s="3">
        <v>160.63</v>
      </c>
      <c r="J170" s="3">
        <v>198.25</v>
      </c>
      <c r="K170" t="s">
        <v>146</v>
      </c>
      <c r="L170">
        <v>15</v>
      </c>
      <c r="M170">
        <v>1</v>
      </c>
      <c r="N170">
        <v>54</v>
      </c>
      <c r="O170" s="2">
        <v>45389</v>
      </c>
      <c r="P170">
        <v>1</v>
      </c>
      <c r="Q170">
        <v>85.89</v>
      </c>
      <c r="R170" t="s">
        <v>1774</v>
      </c>
    </row>
    <row r="171" spans="1:18" x14ac:dyDescent="0.3">
      <c r="A171" t="s">
        <v>2099</v>
      </c>
      <c r="B171" t="s">
        <v>2100</v>
      </c>
      <c r="C171" t="s">
        <v>2028</v>
      </c>
      <c r="D171" t="s">
        <v>2024</v>
      </c>
      <c r="E171" t="s">
        <v>2037</v>
      </c>
      <c r="F171">
        <v>500</v>
      </c>
      <c r="G171" t="s">
        <v>1882</v>
      </c>
      <c r="H171">
        <v>24</v>
      </c>
      <c r="I171" s="3">
        <v>127.85</v>
      </c>
      <c r="J171" s="3">
        <v>157.93</v>
      </c>
      <c r="K171" t="s">
        <v>150</v>
      </c>
      <c r="L171">
        <v>11</v>
      </c>
      <c r="M171">
        <v>1</v>
      </c>
      <c r="N171">
        <v>49</v>
      </c>
      <c r="O171" s="2">
        <v>45353</v>
      </c>
      <c r="P171">
        <v>1</v>
      </c>
      <c r="Q171">
        <v>6.11</v>
      </c>
      <c r="R171" t="s">
        <v>1750</v>
      </c>
    </row>
    <row r="172" spans="1:18" x14ac:dyDescent="0.3">
      <c r="A172" t="s">
        <v>2101</v>
      </c>
      <c r="B172" t="s">
        <v>2102</v>
      </c>
      <c r="C172" t="s">
        <v>2034</v>
      </c>
      <c r="D172" t="s">
        <v>2024</v>
      </c>
      <c r="E172" t="s">
        <v>2029</v>
      </c>
      <c r="F172">
        <v>500</v>
      </c>
      <c r="G172" t="s">
        <v>1882</v>
      </c>
      <c r="H172">
        <v>24</v>
      </c>
      <c r="I172" s="3">
        <v>126.09</v>
      </c>
      <c r="J172" s="3">
        <v>157.63999999999999</v>
      </c>
      <c r="K172" t="s">
        <v>140</v>
      </c>
      <c r="L172">
        <v>10</v>
      </c>
      <c r="M172">
        <v>2</v>
      </c>
      <c r="N172">
        <v>26</v>
      </c>
      <c r="O172" s="2">
        <v>45730</v>
      </c>
      <c r="P172">
        <v>1</v>
      </c>
      <c r="Q172">
        <v>5.79</v>
      </c>
      <c r="R172" t="s">
        <v>1750</v>
      </c>
    </row>
    <row r="173" spans="1:18" x14ac:dyDescent="0.3">
      <c r="A173" t="s">
        <v>2103</v>
      </c>
      <c r="B173" t="s">
        <v>2104</v>
      </c>
      <c r="C173" t="s">
        <v>1731</v>
      </c>
      <c r="D173" t="s">
        <v>2024</v>
      </c>
      <c r="E173" t="s">
        <v>2029</v>
      </c>
      <c r="F173">
        <v>100</v>
      </c>
      <c r="G173" t="s">
        <v>1882</v>
      </c>
      <c r="H173">
        <v>60</v>
      </c>
      <c r="I173" s="3">
        <v>216.72</v>
      </c>
      <c r="J173" s="3">
        <v>275.14999999999998</v>
      </c>
      <c r="K173" t="s">
        <v>168</v>
      </c>
      <c r="L173">
        <v>10</v>
      </c>
      <c r="M173">
        <v>6</v>
      </c>
      <c r="N173">
        <v>21</v>
      </c>
      <c r="O173" s="2">
        <v>45599</v>
      </c>
      <c r="P173">
        <v>1</v>
      </c>
      <c r="Q173">
        <v>3.32</v>
      </c>
      <c r="R173" t="s">
        <v>1741</v>
      </c>
    </row>
    <row r="174" spans="1:18" x14ac:dyDescent="0.3">
      <c r="A174" t="s">
        <v>2105</v>
      </c>
      <c r="B174" t="s">
        <v>2106</v>
      </c>
      <c r="C174" t="s">
        <v>1731</v>
      </c>
      <c r="D174" t="s">
        <v>2024</v>
      </c>
      <c r="E174" t="s">
        <v>2040</v>
      </c>
      <c r="F174">
        <v>1000</v>
      </c>
      <c r="G174" t="s">
        <v>1882</v>
      </c>
      <c r="H174">
        <v>6</v>
      </c>
      <c r="I174" s="3">
        <v>165.92</v>
      </c>
      <c r="J174" s="3">
        <v>201.69</v>
      </c>
      <c r="K174" t="s">
        <v>140</v>
      </c>
      <c r="L174">
        <v>10</v>
      </c>
      <c r="M174">
        <v>48</v>
      </c>
      <c r="N174">
        <v>34</v>
      </c>
      <c r="O174" s="2">
        <v>45847</v>
      </c>
      <c r="P174">
        <v>1</v>
      </c>
      <c r="Q174">
        <v>81.010000000000005</v>
      </c>
      <c r="R174" t="s">
        <v>1774</v>
      </c>
    </row>
    <row r="175" spans="1:18" x14ac:dyDescent="0.3">
      <c r="A175" t="s">
        <v>2107</v>
      </c>
      <c r="B175" t="s">
        <v>2108</v>
      </c>
      <c r="C175" t="s">
        <v>2034</v>
      </c>
      <c r="D175" t="s">
        <v>2024</v>
      </c>
      <c r="E175" t="s">
        <v>2025</v>
      </c>
      <c r="F175">
        <v>250</v>
      </c>
      <c r="G175" t="s">
        <v>1882</v>
      </c>
      <c r="H175">
        <v>24</v>
      </c>
      <c r="I175" s="3">
        <v>93.09</v>
      </c>
      <c r="J175" s="3">
        <v>118.44</v>
      </c>
      <c r="K175" t="s">
        <v>140</v>
      </c>
      <c r="L175">
        <v>10</v>
      </c>
      <c r="M175">
        <v>4</v>
      </c>
      <c r="N175">
        <v>38</v>
      </c>
      <c r="O175" s="2">
        <v>45646</v>
      </c>
      <c r="P175">
        <v>1</v>
      </c>
      <c r="Q175">
        <v>7.87</v>
      </c>
      <c r="R175" t="s">
        <v>1750</v>
      </c>
    </row>
    <row r="176" spans="1:18" x14ac:dyDescent="0.3">
      <c r="A176" t="s">
        <v>2109</v>
      </c>
      <c r="B176" t="s">
        <v>2110</v>
      </c>
      <c r="C176" t="s">
        <v>2034</v>
      </c>
      <c r="D176" t="s">
        <v>2024</v>
      </c>
      <c r="E176" t="s">
        <v>2037</v>
      </c>
      <c r="F176">
        <v>1500</v>
      </c>
      <c r="G176" t="s">
        <v>1882</v>
      </c>
      <c r="H176">
        <v>12</v>
      </c>
      <c r="I176" s="3">
        <v>111.67</v>
      </c>
      <c r="J176" s="3">
        <v>135.07</v>
      </c>
      <c r="K176" t="s">
        <v>131</v>
      </c>
      <c r="L176">
        <v>11</v>
      </c>
      <c r="M176">
        <v>100</v>
      </c>
      <c r="N176">
        <v>23</v>
      </c>
      <c r="O176" s="2">
        <v>45808</v>
      </c>
      <c r="P176">
        <v>1</v>
      </c>
      <c r="Q176">
        <v>18.54</v>
      </c>
      <c r="R176" t="s">
        <v>1750</v>
      </c>
    </row>
    <row r="177" spans="1:18" x14ac:dyDescent="0.3">
      <c r="A177" t="s">
        <v>2111</v>
      </c>
      <c r="B177" t="s">
        <v>2112</v>
      </c>
      <c r="C177" t="s">
        <v>2034</v>
      </c>
      <c r="D177" t="s">
        <v>2024</v>
      </c>
      <c r="E177" t="s">
        <v>2029</v>
      </c>
      <c r="F177">
        <v>100</v>
      </c>
      <c r="G177" t="s">
        <v>1882</v>
      </c>
      <c r="H177">
        <v>36</v>
      </c>
      <c r="I177" s="3">
        <v>224.41</v>
      </c>
      <c r="J177" s="3">
        <v>267.06</v>
      </c>
      <c r="K177" t="s">
        <v>174</v>
      </c>
      <c r="L177">
        <v>10</v>
      </c>
      <c r="M177">
        <v>12</v>
      </c>
      <c r="N177">
        <v>24</v>
      </c>
      <c r="O177" s="2">
        <v>45694</v>
      </c>
      <c r="P177">
        <v>1</v>
      </c>
      <c r="Q177">
        <v>10.38</v>
      </c>
      <c r="R177" t="s">
        <v>1750</v>
      </c>
    </row>
    <row r="178" spans="1:18" x14ac:dyDescent="0.3">
      <c r="A178" t="s">
        <v>2113</v>
      </c>
      <c r="B178" t="s">
        <v>2114</v>
      </c>
      <c r="C178" t="s">
        <v>2023</v>
      </c>
      <c r="D178" t="s">
        <v>2024</v>
      </c>
      <c r="E178" t="s">
        <v>2037</v>
      </c>
      <c r="F178">
        <v>1000</v>
      </c>
      <c r="G178" t="s">
        <v>1882</v>
      </c>
      <c r="H178">
        <v>6</v>
      </c>
      <c r="I178" s="3">
        <v>217.7</v>
      </c>
      <c r="J178" s="3">
        <v>261.35000000000002</v>
      </c>
      <c r="K178" t="s">
        <v>178</v>
      </c>
      <c r="L178">
        <v>12</v>
      </c>
      <c r="M178">
        <v>100</v>
      </c>
      <c r="N178">
        <v>45</v>
      </c>
      <c r="O178" s="2">
        <v>45846</v>
      </c>
      <c r="P178">
        <v>1</v>
      </c>
      <c r="Q178">
        <v>11.17</v>
      </c>
      <c r="R178" t="s">
        <v>1750</v>
      </c>
    </row>
    <row r="179" spans="1:18" x14ac:dyDescent="0.3">
      <c r="A179" t="s">
        <v>2115</v>
      </c>
      <c r="B179" t="s">
        <v>2116</v>
      </c>
      <c r="C179" t="s">
        <v>2028</v>
      </c>
      <c r="D179" t="s">
        <v>2024</v>
      </c>
      <c r="E179" t="s">
        <v>2029</v>
      </c>
      <c r="F179">
        <v>500</v>
      </c>
      <c r="G179" t="s">
        <v>1882</v>
      </c>
      <c r="H179">
        <v>12</v>
      </c>
      <c r="I179" s="3">
        <v>258.26</v>
      </c>
      <c r="J179" s="3">
        <v>309.89</v>
      </c>
      <c r="K179" t="s">
        <v>184</v>
      </c>
      <c r="L179">
        <v>17</v>
      </c>
      <c r="M179">
        <v>100</v>
      </c>
      <c r="N179">
        <v>39</v>
      </c>
      <c r="O179" s="2">
        <v>45504</v>
      </c>
      <c r="P179">
        <v>1</v>
      </c>
      <c r="Q179">
        <v>32.840000000000003</v>
      </c>
      <c r="R179" t="s">
        <v>77</v>
      </c>
    </row>
    <row r="180" spans="1:18" x14ac:dyDescent="0.3">
      <c r="A180" t="s">
        <v>2117</v>
      </c>
      <c r="B180" t="s">
        <v>2118</v>
      </c>
      <c r="C180" t="s">
        <v>2023</v>
      </c>
      <c r="D180" t="s">
        <v>2024</v>
      </c>
      <c r="E180" t="s">
        <v>2029</v>
      </c>
      <c r="F180">
        <v>500</v>
      </c>
      <c r="G180" t="s">
        <v>1882</v>
      </c>
      <c r="H180">
        <v>36</v>
      </c>
      <c r="I180" s="3">
        <v>213.96</v>
      </c>
      <c r="J180" s="3">
        <v>259.64</v>
      </c>
      <c r="K180" t="s">
        <v>135</v>
      </c>
      <c r="L180">
        <v>20</v>
      </c>
      <c r="M180">
        <v>2</v>
      </c>
      <c r="N180">
        <v>24</v>
      </c>
      <c r="O180" s="2">
        <v>45600</v>
      </c>
      <c r="P180">
        <v>1</v>
      </c>
      <c r="Q180">
        <v>2.12</v>
      </c>
      <c r="R180" t="s">
        <v>1741</v>
      </c>
    </row>
    <row r="181" spans="1:18" x14ac:dyDescent="0.3">
      <c r="A181" t="s">
        <v>2119</v>
      </c>
      <c r="B181" t="s">
        <v>2120</v>
      </c>
      <c r="C181" t="s">
        <v>1731</v>
      </c>
      <c r="D181" t="s">
        <v>2024</v>
      </c>
      <c r="E181" t="s">
        <v>2037</v>
      </c>
      <c r="F181">
        <v>1500</v>
      </c>
      <c r="G181" t="s">
        <v>1882</v>
      </c>
      <c r="H181">
        <v>12</v>
      </c>
      <c r="I181" s="3">
        <v>202.59</v>
      </c>
      <c r="J181" s="3">
        <v>251.87</v>
      </c>
      <c r="K181" t="s">
        <v>186</v>
      </c>
      <c r="L181">
        <v>16</v>
      </c>
      <c r="M181">
        <v>4</v>
      </c>
      <c r="N181">
        <v>54</v>
      </c>
      <c r="O181" s="2">
        <v>45743</v>
      </c>
      <c r="P181">
        <v>1</v>
      </c>
      <c r="Q181">
        <v>7.09</v>
      </c>
      <c r="R181" t="s">
        <v>1750</v>
      </c>
    </row>
    <row r="182" spans="1:18" x14ac:dyDescent="0.3">
      <c r="A182" t="s">
        <v>2121</v>
      </c>
      <c r="B182" t="s">
        <v>2122</v>
      </c>
      <c r="C182" t="s">
        <v>2028</v>
      </c>
      <c r="D182" t="s">
        <v>2024</v>
      </c>
      <c r="E182" t="s">
        <v>2025</v>
      </c>
      <c r="F182">
        <v>250</v>
      </c>
      <c r="G182" t="s">
        <v>1882</v>
      </c>
      <c r="H182">
        <v>36</v>
      </c>
      <c r="I182" s="3">
        <v>69.2</v>
      </c>
      <c r="J182" s="3">
        <v>84.76</v>
      </c>
      <c r="K182" t="s">
        <v>135</v>
      </c>
      <c r="L182">
        <v>20</v>
      </c>
      <c r="M182">
        <v>6</v>
      </c>
      <c r="N182">
        <v>55</v>
      </c>
      <c r="O182" s="2">
        <v>45423</v>
      </c>
      <c r="P182">
        <v>1</v>
      </c>
      <c r="Q182">
        <v>46.27</v>
      </c>
      <c r="R182" t="s">
        <v>1774</v>
      </c>
    </row>
    <row r="183" spans="1:18" x14ac:dyDescent="0.3">
      <c r="A183" t="s">
        <v>2123</v>
      </c>
      <c r="B183" t="s">
        <v>2124</v>
      </c>
      <c r="C183" t="s">
        <v>2023</v>
      </c>
      <c r="D183" t="s">
        <v>2024</v>
      </c>
      <c r="E183" t="s">
        <v>2040</v>
      </c>
      <c r="F183">
        <v>1000</v>
      </c>
      <c r="G183" t="s">
        <v>1882</v>
      </c>
      <c r="H183">
        <v>12</v>
      </c>
      <c r="I183" s="3">
        <v>129.63999999999999</v>
      </c>
      <c r="J183" s="3">
        <v>162.02000000000001</v>
      </c>
      <c r="K183" t="s">
        <v>174</v>
      </c>
      <c r="L183">
        <v>10</v>
      </c>
      <c r="M183">
        <v>12</v>
      </c>
      <c r="N183">
        <v>51</v>
      </c>
      <c r="O183" s="2">
        <v>45449</v>
      </c>
      <c r="P183">
        <v>1</v>
      </c>
      <c r="Q183">
        <v>6.62</v>
      </c>
      <c r="R183" t="s">
        <v>1750</v>
      </c>
    </row>
    <row r="184" spans="1:18" x14ac:dyDescent="0.3">
      <c r="A184" t="s">
        <v>2125</v>
      </c>
      <c r="B184" t="s">
        <v>2126</v>
      </c>
      <c r="C184" t="s">
        <v>2034</v>
      </c>
      <c r="D184" t="s">
        <v>2024</v>
      </c>
      <c r="E184" t="s">
        <v>2029</v>
      </c>
      <c r="F184">
        <v>500</v>
      </c>
      <c r="G184" t="s">
        <v>1882</v>
      </c>
      <c r="H184">
        <v>36</v>
      </c>
      <c r="I184" s="3">
        <v>201.02</v>
      </c>
      <c r="J184" s="3">
        <v>246.95</v>
      </c>
      <c r="K184" t="s">
        <v>115</v>
      </c>
      <c r="L184">
        <v>15</v>
      </c>
      <c r="M184">
        <v>2</v>
      </c>
      <c r="N184">
        <v>60</v>
      </c>
      <c r="O184" s="2">
        <v>45576</v>
      </c>
      <c r="P184">
        <v>1</v>
      </c>
      <c r="Q184">
        <v>85.93</v>
      </c>
      <c r="R184" t="s">
        <v>1774</v>
      </c>
    </row>
    <row r="185" spans="1:18" x14ac:dyDescent="0.3">
      <c r="A185" t="s">
        <v>2127</v>
      </c>
      <c r="B185" t="s">
        <v>2128</v>
      </c>
      <c r="C185" t="s">
        <v>2023</v>
      </c>
      <c r="D185" t="s">
        <v>2024</v>
      </c>
      <c r="E185" t="s">
        <v>2025</v>
      </c>
      <c r="F185">
        <v>250</v>
      </c>
      <c r="G185" t="s">
        <v>1882</v>
      </c>
      <c r="H185">
        <v>36</v>
      </c>
      <c r="I185" s="3">
        <v>79.760000000000005</v>
      </c>
      <c r="J185" s="3">
        <v>95.69</v>
      </c>
      <c r="K185" t="s">
        <v>176</v>
      </c>
      <c r="L185">
        <v>7</v>
      </c>
      <c r="M185">
        <v>6</v>
      </c>
      <c r="N185">
        <v>35</v>
      </c>
      <c r="O185" s="2">
        <v>45619</v>
      </c>
      <c r="P185">
        <v>1</v>
      </c>
      <c r="Q185">
        <v>29.09</v>
      </c>
      <c r="R185" t="s">
        <v>77</v>
      </c>
    </row>
    <row r="186" spans="1:18" x14ac:dyDescent="0.3">
      <c r="A186" t="s">
        <v>2129</v>
      </c>
      <c r="B186" t="s">
        <v>2130</v>
      </c>
      <c r="C186" t="s">
        <v>2034</v>
      </c>
      <c r="D186" t="s">
        <v>2024</v>
      </c>
      <c r="E186" t="s">
        <v>2040</v>
      </c>
      <c r="F186">
        <v>150</v>
      </c>
      <c r="G186" t="s">
        <v>1882</v>
      </c>
      <c r="H186">
        <v>36</v>
      </c>
      <c r="I186" s="3">
        <v>158.16999999999999</v>
      </c>
      <c r="J186" s="3">
        <v>188.69</v>
      </c>
      <c r="K186" t="s">
        <v>119</v>
      </c>
      <c r="L186">
        <v>12</v>
      </c>
      <c r="M186">
        <v>12</v>
      </c>
      <c r="N186">
        <v>17</v>
      </c>
      <c r="O186" s="2">
        <v>45699</v>
      </c>
      <c r="P186">
        <v>1</v>
      </c>
      <c r="Q186">
        <v>37.9</v>
      </c>
      <c r="R186" t="s">
        <v>77</v>
      </c>
    </row>
    <row r="187" spans="1:18" x14ac:dyDescent="0.3">
      <c r="A187" t="s">
        <v>2131</v>
      </c>
      <c r="B187" t="s">
        <v>2132</v>
      </c>
      <c r="C187" t="s">
        <v>2034</v>
      </c>
      <c r="D187" t="s">
        <v>2024</v>
      </c>
      <c r="E187" t="s">
        <v>2040</v>
      </c>
      <c r="F187">
        <v>150</v>
      </c>
      <c r="G187" t="s">
        <v>1882</v>
      </c>
      <c r="H187">
        <v>24</v>
      </c>
      <c r="I187" s="3">
        <v>91.95</v>
      </c>
      <c r="J187" s="3">
        <v>117.38</v>
      </c>
      <c r="K187" t="s">
        <v>158</v>
      </c>
      <c r="L187">
        <v>18</v>
      </c>
      <c r="M187">
        <v>6</v>
      </c>
      <c r="N187">
        <v>43</v>
      </c>
      <c r="O187" s="2">
        <v>45817</v>
      </c>
      <c r="P187">
        <v>1</v>
      </c>
      <c r="Q187">
        <v>6.61</v>
      </c>
      <c r="R187" t="s">
        <v>1750</v>
      </c>
    </row>
    <row r="188" spans="1:18" x14ac:dyDescent="0.3">
      <c r="A188" t="s">
        <v>2133</v>
      </c>
      <c r="B188" t="s">
        <v>2134</v>
      </c>
      <c r="C188" t="s">
        <v>1731</v>
      </c>
      <c r="D188" t="s">
        <v>2024</v>
      </c>
      <c r="E188" t="s">
        <v>2025</v>
      </c>
      <c r="F188">
        <v>250</v>
      </c>
      <c r="G188" t="s">
        <v>1882</v>
      </c>
      <c r="H188">
        <v>12</v>
      </c>
      <c r="I188" s="3">
        <v>123</v>
      </c>
      <c r="J188" s="3">
        <v>156.22999999999999</v>
      </c>
      <c r="K188" t="s">
        <v>158</v>
      </c>
      <c r="L188">
        <v>18</v>
      </c>
      <c r="M188">
        <v>24</v>
      </c>
      <c r="N188">
        <v>60</v>
      </c>
      <c r="O188" s="2">
        <v>45750</v>
      </c>
      <c r="P188">
        <v>1</v>
      </c>
      <c r="Q188">
        <v>27.12</v>
      </c>
      <c r="R188" t="s">
        <v>77</v>
      </c>
    </row>
    <row r="189" spans="1:18" x14ac:dyDescent="0.3">
      <c r="A189" t="s">
        <v>2135</v>
      </c>
      <c r="B189" t="s">
        <v>2136</v>
      </c>
      <c r="C189" t="s">
        <v>2028</v>
      </c>
      <c r="D189" t="s">
        <v>2024</v>
      </c>
      <c r="E189" t="s">
        <v>2037</v>
      </c>
      <c r="F189">
        <v>1500</v>
      </c>
      <c r="G189" t="s">
        <v>1882</v>
      </c>
      <c r="H189">
        <v>6</v>
      </c>
      <c r="I189" s="3">
        <v>95.27</v>
      </c>
      <c r="J189" s="3">
        <v>114.41</v>
      </c>
      <c r="K189" t="s">
        <v>142</v>
      </c>
      <c r="L189">
        <v>9</v>
      </c>
      <c r="M189">
        <v>24</v>
      </c>
      <c r="N189">
        <v>51</v>
      </c>
      <c r="O189" s="2">
        <v>45839</v>
      </c>
      <c r="P189">
        <v>1</v>
      </c>
      <c r="Q189">
        <v>12.26</v>
      </c>
      <c r="R189" t="s">
        <v>1750</v>
      </c>
    </row>
    <row r="190" spans="1:18" x14ac:dyDescent="0.3">
      <c r="A190" t="s">
        <v>2137</v>
      </c>
      <c r="B190" t="s">
        <v>2138</v>
      </c>
      <c r="C190" t="s">
        <v>1731</v>
      </c>
      <c r="D190" t="s">
        <v>2024</v>
      </c>
      <c r="E190" t="s">
        <v>2025</v>
      </c>
      <c r="F190">
        <v>200</v>
      </c>
      <c r="G190" t="s">
        <v>1882</v>
      </c>
      <c r="H190">
        <v>24</v>
      </c>
      <c r="I190" s="3">
        <v>72.31</v>
      </c>
      <c r="J190" s="3">
        <v>88.48</v>
      </c>
      <c r="K190" t="s">
        <v>162</v>
      </c>
      <c r="L190">
        <v>7</v>
      </c>
      <c r="M190">
        <v>6</v>
      </c>
      <c r="N190">
        <v>16</v>
      </c>
      <c r="O190" s="2">
        <v>45736</v>
      </c>
      <c r="P190">
        <v>1</v>
      </c>
      <c r="Q190">
        <v>36.159999999999997</v>
      </c>
      <c r="R190" t="s">
        <v>77</v>
      </c>
    </row>
    <row r="191" spans="1:18" x14ac:dyDescent="0.3">
      <c r="A191" t="s">
        <v>2139</v>
      </c>
      <c r="B191" t="s">
        <v>2140</v>
      </c>
      <c r="C191" t="s">
        <v>1731</v>
      </c>
      <c r="D191" t="s">
        <v>2024</v>
      </c>
      <c r="E191" t="s">
        <v>2029</v>
      </c>
      <c r="F191">
        <v>500</v>
      </c>
      <c r="G191" t="s">
        <v>1882</v>
      </c>
      <c r="H191">
        <v>24</v>
      </c>
      <c r="I191" s="3">
        <v>69.97</v>
      </c>
      <c r="J191" s="3">
        <v>82.79</v>
      </c>
      <c r="K191" t="s">
        <v>176</v>
      </c>
      <c r="L191">
        <v>7</v>
      </c>
      <c r="M191">
        <v>24</v>
      </c>
      <c r="N191">
        <v>43</v>
      </c>
      <c r="O191" s="2">
        <v>45714</v>
      </c>
      <c r="P191">
        <v>1</v>
      </c>
      <c r="Q191">
        <v>14.1</v>
      </c>
      <c r="R191" t="s">
        <v>1750</v>
      </c>
    </row>
    <row r="192" spans="1:18" x14ac:dyDescent="0.3">
      <c r="A192" t="s">
        <v>2141</v>
      </c>
      <c r="B192" t="s">
        <v>2142</v>
      </c>
      <c r="C192" t="s">
        <v>2023</v>
      </c>
      <c r="D192" t="s">
        <v>2024</v>
      </c>
      <c r="E192" t="s">
        <v>2040</v>
      </c>
      <c r="F192">
        <v>1000</v>
      </c>
      <c r="G192" t="s">
        <v>1882</v>
      </c>
      <c r="H192">
        <v>12</v>
      </c>
      <c r="I192" s="3">
        <v>234.5</v>
      </c>
      <c r="J192" s="3">
        <v>294.02999999999997</v>
      </c>
      <c r="K192" t="s">
        <v>168</v>
      </c>
      <c r="L192">
        <v>10</v>
      </c>
      <c r="M192">
        <v>2</v>
      </c>
      <c r="N192">
        <v>34</v>
      </c>
      <c r="O192" s="2">
        <v>45784</v>
      </c>
      <c r="P192">
        <v>1</v>
      </c>
      <c r="Q192">
        <v>18.38</v>
      </c>
      <c r="R192" t="s">
        <v>1750</v>
      </c>
    </row>
    <row r="193" spans="1:18" x14ac:dyDescent="0.3">
      <c r="A193" t="s">
        <v>2143</v>
      </c>
      <c r="B193" t="s">
        <v>2144</v>
      </c>
      <c r="C193" t="s">
        <v>2034</v>
      </c>
      <c r="D193" t="s">
        <v>2024</v>
      </c>
      <c r="E193" t="s">
        <v>2040</v>
      </c>
      <c r="F193">
        <v>150</v>
      </c>
      <c r="G193" t="s">
        <v>1882</v>
      </c>
      <c r="H193">
        <v>24</v>
      </c>
      <c r="I193" s="3">
        <v>145.33000000000001</v>
      </c>
      <c r="J193" s="3">
        <v>181.87</v>
      </c>
      <c r="K193" t="s">
        <v>146</v>
      </c>
      <c r="L193">
        <v>15</v>
      </c>
      <c r="M193">
        <v>48</v>
      </c>
      <c r="N193">
        <v>26</v>
      </c>
      <c r="O193" s="2">
        <v>45638</v>
      </c>
      <c r="P193">
        <v>1</v>
      </c>
      <c r="Q193">
        <v>12.7</v>
      </c>
      <c r="R193" t="s">
        <v>1750</v>
      </c>
    </row>
    <row r="194" spans="1:18" x14ac:dyDescent="0.3">
      <c r="A194" t="s">
        <v>2145</v>
      </c>
      <c r="B194" t="s">
        <v>2146</v>
      </c>
      <c r="C194" t="s">
        <v>2028</v>
      </c>
      <c r="D194" t="s">
        <v>2024</v>
      </c>
      <c r="E194" t="s">
        <v>2037</v>
      </c>
      <c r="F194">
        <v>250</v>
      </c>
      <c r="G194" t="s">
        <v>1882</v>
      </c>
      <c r="H194">
        <v>12</v>
      </c>
      <c r="I194" s="3">
        <v>231.07</v>
      </c>
      <c r="J194" s="3">
        <v>286.83</v>
      </c>
      <c r="K194" t="s">
        <v>133</v>
      </c>
      <c r="L194">
        <v>15</v>
      </c>
      <c r="M194">
        <v>2</v>
      </c>
      <c r="N194">
        <v>58</v>
      </c>
      <c r="O194" s="2">
        <v>45950</v>
      </c>
      <c r="P194">
        <v>1</v>
      </c>
      <c r="Q194">
        <v>33.35</v>
      </c>
      <c r="R194" t="s">
        <v>77</v>
      </c>
    </row>
    <row r="195" spans="1:18" x14ac:dyDescent="0.3">
      <c r="A195" t="s">
        <v>2147</v>
      </c>
      <c r="B195" t="s">
        <v>2148</v>
      </c>
      <c r="C195" t="s">
        <v>2034</v>
      </c>
      <c r="D195" t="s">
        <v>2024</v>
      </c>
      <c r="E195" t="s">
        <v>2040</v>
      </c>
      <c r="F195">
        <v>1000</v>
      </c>
      <c r="G195" t="s">
        <v>1882</v>
      </c>
      <c r="H195">
        <v>6</v>
      </c>
      <c r="I195" s="3">
        <v>222.94</v>
      </c>
      <c r="J195" s="3">
        <v>281.26</v>
      </c>
      <c r="K195" t="s">
        <v>150</v>
      </c>
      <c r="L195">
        <v>11</v>
      </c>
      <c r="M195">
        <v>48</v>
      </c>
      <c r="N195">
        <v>22</v>
      </c>
      <c r="O195" s="2">
        <v>45874</v>
      </c>
      <c r="P195">
        <v>1</v>
      </c>
      <c r="Q195">
        <v>7.63</v>
      </c>
      <c r="R195" t="s">
        <v>1750</v>
      </c>
    </row>
    <row r="196" spans="1:18" x14ac:dyDescent="0.3">
      <c r="A196" t="s">
        <v>2149</v>
      </c>
      <c r="B196" t="s">
        <v>2150</v>
      </c>
      <c r="C196" t="s">
        <v>2028</v>
      </c>
      <c r="D196" t="s">
        <v>2024</v>
      </c>
      <c r="E196" t="s">
        <v>2040</v>
      </c>
      <c r="F196">
        <v>100</v>
      </c>
      <c r="G196" t="s">
        <v>1882</v>
      </c>
      <c r="H196">
        <v>24</v>
      </c>
      <c r="I196" s="3">
        <v>152.52000000000001</v>
      </c>
      <c r="J196" s="3">
        <v>188.56</v>
      </c>
      <c r="K196" t="s">
        <v>160</v>
      </c>
      <c r="L196">
        <v>16</v>
      </c>
      <c r="M196">
        <v>24</v>
      </c>
      <c r="N196">
        <v>58</v>
      </c>
      <c r="O196" s="2">
        <v>45369</v>
      </c>
      <c r="P196">
        <v>1</v>
      </c>
      <c r="Q196">
        <v>18.47</v>
      </c>
      <c r="R196" t="s">
        <v>1750</v>
      </c>
    </row>
    <row r="197" spans="1:18" x14ac:dyDescent="0.3">
      <c r="A197" t="s">
        <v>2151</v>
      </c>
      <c r="B197" t="s">
        <v>2152</v>
      </c>
      <c r="C197" t="s">
        <v>2023</v>
      </c>
      <c r="D197" t="s">
        <v>2024</v>
      </c>
      <c r="E197" t="s">
        <v>2025</v>
      </c>
      <c r="F197">
        <v>500</v>
      </c>
      <c r="G197" t="s">
        <v>1882</v>
      </c>
      <c r="H197">
        <v>12</v>
      </c>
      <c r="I197" s="3">
        <v>242.38</v>
      </c>
      <c r="J197" s="3">
        <v>295.01</v>
      </c>
      <c r="K197" t="s">
        <v>133</v>
      </c>
      <c r="L197">
        <v>15</v>
      </c>
      <c r="M197">
        <v>100</v>
      </c>
      <c r="N197">
        <v>28</v>
      </c>
      <c r="O197" s="2">
        <v>45903</v>
      </c>
      <c r="P197">
        <v>1</v>
      </c>
      <c r="Q197">
        <v>9.08</v>
      </c>
      <c r="R197" t="s">
        <v>1750</v>
      </c>
    </row>
    <row r="198" spans="1:18" x14ac:dyDescent="0.3">
      <c r="A198" t="s">
        <v>2153</v>
      </c>
      <c r="B198" t="s">
        <v>2154</v>
      </c>
      <c r="C198" t="s">
        <v>2023</v>
      </c>
      <c r="D198" t="s">
        <v>2024</v>
      </c>
      <c r="E198" t="s">
        <v>2040</v>
      </c>
      <c r="F198">
        <v>150</v>
      </c>
      <c r="G198" t="s">
        <v>1882</v>
      </c>
      <c r="H198">
        <v>12</v>
      </c>
      <c r="I198" s="3">
        <v>155.55000000000001</v>
      </c>
      <c r="J198" s="3">
        <v>196.2</v>
      </c>
      <c r="K198" t="s">
        <v>108</v>
      </c>
      <c r="L198">
        <v>9</v>
      </c>
      <c r="M198">
        <v>1</v>
      </c>
      <c r="N198">
        <v>30</v>
      </c>
      <c r="O198" s="2">
        <v>45702</v>
      </c>
      <c r="P198">
        <v>1</v>
      </c>
      <c r="Q198">
        <v>33.07</v>
      </c>
      <c r="R198" t="s">
        <v>77</v>
      </c>
    </row>
    <row r="199" spans="1:18" x14ac:dyDescent="0.3">
      <c r="A199" t="s">
        <v>2155</v>
      </c>
      <c r="B199" t="s">
        <v>2156</v>
      </c>
      <c r="C199" t="s">
        <v>2023</v>
      </c>
      <c r="D199" t="s">
        <v>2024</v>
      </c>
      <c r="E199" t="s">
        <v>2040</v>
      </c>
      <c r="F199">
        <v>500</v>
      </c>
      <c r="G199" t="s">
        <v>1882</v>
      </c>
      <c r="H199">
        <v>24</v>
      </c>
      <c r="I199" s="3">
        <v>102.82</v>
      </c>
      <c r="J199" s="3">
        <v>121.01</v>
      </c>
      <c r="K199" t="s">
        <v>128</v>
      </c>
      <c r="L199">
        <v>13</v>
      </c>
      <c r="M199">
        <v>2</v>
      </c>
      <c r="N199">
        <v>27</v>
      </c>
      <c r="O199" s="2">
        <v>45911</v>
      </c>
      <c r="P199">
        <v>1</v>
      </c>
      <c r="Q199">
        <v>48.47</v>
      </c>
      <c r="R199" t="s">
        <v>1774</v>
      </c>
    </row>
    <row r="200" spans="1:18" x14ac:dyDescent="0.3">
      <c r="A200" t="s">
        <v>2157</v>
      </c>
      <c r="B200" t="s">
        <v>2158</v>
      </c>
      <c r="C200" t="s">
        <v>2028</v>
      </c>
      <c r="D200" t="s">
        <v>2024</v>
      </c>
      <c r="E200" t="s">
        <v>2029</v>
      </c>
      <c r="F200">
        <v>500</v>
      </c>
      <c r="G200" t="s">
        <v>1882</v>
      </c>
      <c r="H200">
        <v>12</v>
      </c>
      <c r="I200" s="3">
        <v>65.180000000000007</v>
      </c>
      <c r="J200" s="3">
        <v>78.63</v>
      </c>
      <c r="K200" t="s">
        <v>178</v>
      </c>
      <c r="L200">
        <v>12</v>
      </c>
      <c r="M200">
        <v>1</v>
      </c>
      <c r="N200">
        <v>58</v>
      </c>
      <c r="O200" s="2">
        <v>45954</v>
      </c>
      <c r="P200">
        <v>1</v>
      </c>
      <c r="Q200">
        <v>67.58</v>
      </c>
      <c r="R200" t="s">
        <v>1774</v>
      </c>
    </row>
    <row r="201" spans="1:18" x14ac:dyDescent="0.3">
      <c r="A201" t="s">
        <v>2159</v>
      </c>
      <c r="B201" t="s">
        <v>2160</v>
      </c>
      <c r="C201" t="s">
        <v>2034</v>
      </c>
      <c r="D201" t="s">
        <v>2024</v>
      </c>
      <c r="E201" t="s">
        <v>2029</v>
      </c>
      <c r="F201">
        <v>500</v>
      </c>
      <c r="G201" t="s">
        <v>1882</v>
      </c>
      <c r="H201">
        <v>24</v>
      </c>
      <c r="I201" s="3">
        <v>193.09</v>
      </c>
      <c r="J201" s="3">
        <v>236.13</v>
      </c>
      <c r="K201" t="s">
        <v>158</v>
      </c>
      <c r="L201">
        <v>18</v>
      </c>
      <c r="M201">
        <v>2</v>
      </c>
      <c r="N201">
        <v>27</v>
      </c>
      <c r="O201" s="2">
        <v>45882</v>
      </c>
      <c r="P201">
        <v>1</v>
      </c>
      <c r="Q201">
        <v>57.96</v>
      </c>
      <c r="R201" t="s">
        <v>1774</v>
      </c>
    </row>
    <row r="202" spans="1:18" x14ac:dyDescent="0.3">
      <c r="A202" t="s">
        <v>2161</v>
      </c>
      <c r="B202" t="s">
        <v>2162</v>
      </c>
      <c r="C202" t="s">
        <v>2023</v>
      </c>
      <c r="D202" t="s">
        <v>2024</v>
      </c>
      <c r="E202" t="s">
        <v>2040</v>
      </c>
      <c r="F202">
        <v>1000</v>
      </c>
      <c r="G202" t="s">
        <v>1882</v>
      </c>
      <c r="H202">
        <v>12</v>
      </c>
      <c r="I202" s="3">
        <v>251.24</v>
      </c>
      <c r="J202" s="3">
        <v>311.75</v>
      </c>
      <c r="K202" t="s">
        <v>196</v>
      </c>
      <c r="L202">
        <v>25</v>
      </c>
      <c r="M202">
        <v>1</v>
      </c>
      <c r="N202">
        <v>41</v>
      </c>
      <c r="O202" s="2">
        <v>45965</v>
      </c>
      <c r="P202">
        <v>1</v>
      </c>
      <c r="Q202">
        <v>5.64</v>
      </c>
      <c r="R202" t="s">
        <v>1750</v>
      </c>
    </row>
    <row r="203" spans="1:18" x14ac:dyDescent="0.3">
      <c r="A203" t="s">
        <v>2163</v>
      </c>
      <c r="B203" t="s">
        <v>2164</v>
      </c>
      <c r="C203" t="s">
        <v>1731</v>
      </c>
      <c r="D203" t="s">
        <v>2165</v>
      </c>
      <c r="E203" t="s">
        <v>2166</v>
      </c>
      <c r="F203">
        <v>500</v>
      </c>
      <c r="G203" t="s">
        <v>1882</v>
      </c>
      <c r="H203">
        <v>36</v>
      </c>
      <c r="I203" s="3">
        <v>149.05000000000001</v>
      </c>
      <c r="J203" s="3">
        <v>208.22</v>
      </c>
      <c r="K203" t="s">
        <v>135</v>
      </c>
      <c r="L203">
        <v>20</v>
      </c>
      <c r="M203">
        <v>24</v>
      </c>
      <c r="N203">
        <v>278</v>
      </c>
      <c r="O203" s="2">
        <v>45778</v>
      </c>
      <c r="P203">
        <v>1</v>
      </c>
      <c r="Q203">
        <v>20.32</v>
      </c>
      <c r="R203" t="s">
        <v>77</v>
      </c>
    </row>
    <row r="204" spans="1:18" x14ac:dyDescent="0.3">
      <c r="A204" t="s">
        <v>2167</v>
      </c>
      <c r="B204" t="s">
        <v>2168</v>
      </c>
      <c r="C204" t="s">
        <v>1731</v>
      </c>
      <c r="D204" t="s">
        <v>2165</v>
      </c>
      <c r="E204" t="s">
        <v>2166</v>
      </c>
      <c r="F204">
        <v>1000</v>
      </c>
      <c r="G204" t="s">
        <v>1882</v>
      </c>
      <c r="H204">
        <v>12</v>
      </c>
      <c r="I204" s="3">
        <v>129.76</v>
      </c>
      <c r="J204" s="3">
        <v>170.86</v>
      </c>
      <c r="K204" t="s">
        <v>128</v>
      </c>
      <c r="L204">
        <v>13</v>
      </c>
      <c r="M204">
        <v>6</v>
      </c>
      <c r="N204">
        <v>496</v>
      </c>
      <c r="O204" s="2">
        <v>45500</v>
      </c>
      <c r="P204">
        <v>1</v>
      </c>
      <c r="Q204">
        <v>10.86</v>
      </c>
      <c r="R204" t="s">
        <v>1750</v>
      </c>
    </row>
    <row r="205" spans="1:18" x14ac:dyDescent="0.3">
      <c r="A205" t="s">
        <v>2169</v>
      </c>
      <c r="B205" t="s">
        <v>2170</v>
      </c>
      <c r="C205" t="s">
        <v>1731</v>
      </c>
      <c r="D205" t="s">
        <v>2165</v>
      </c>
      <c r="E205" t="s">
        <v>2171</v>
      </c>
      <c r="F205">
        <v>1000</v>
      </c>
      <c r="G205" t="s">
        <v>1882</v>
      </c>
      <c r="H205">
        <v>12</v>
      </c>
      <c r="I205" s="3">
        <v>195.48</v>
      </c>
      <c r="J205" s="3">
        <v>275.85000000000002</v>
      </c>
      <c r="K205" t="s">
        <v>174</v>
      </c>
      <c r="L205">
        <v>10</v>
      </c>
      <c r="M205">
        <v>6</v>
      </c>
      <c r="N205">
        <v>405</v>
      </c>
      <c r="O205" s="2">
        <v>45733</v>
      </c>
      <c r="P205">
        <v>1</v>
      </c>
      <c r="Q205">
        <v>67.63</v>
      </c>
      <c r="R205" t="s">
        <v>1774</v>
      </c>
    </row>
    <row r="206" spans="1:18" x14ac:dyDescent="0.3">
      <c r="A206" t="s">
        <v>2172</v>
      </c>
      <c r="B206" t="s">
        <v>2173</v>
      </c>
      <c r="C206" t="s">
        <v>2174</v>
      </c>
      <c r="D206" t="s">
        <v>2165</v>
      </c>
      <c r="E206" t="s">
        <v>2175</v>
      </c>
      <c r="F206">
        <v>200</v>
      </c>
      <c r="G206" t="s">
        <v>1882</v>
      </c>
      <c r="H206">
        <v>12</v>
      </c>
      <c r="I206" s="3">
        <v>82.44</v>
      </c>
      <c r="J206" s="3">
        <v>110.87</v>
      </c>
      <c r="K206" t="s">
        <v>158</v>
      </c>
      <c r="L206">
        <v>18</v>
      </c>
      <c r="M206">
        <v>48</v>
      </c>
      <c r="N206">
        <v>344</v>
      </c>
      <c r="O206" s="2">
        <v>45550</v>
      </c>
      <c r="P206">
        <v>1</v>
      </c>
      <c r="Q206">
        <v>44.39</v>
      </c>
      <c r="R206" t="s">
        <v>77</v>
      </c>
    </row>
    <row r="207" spans="1:18" x14ac:dyDescent="0.3">
      <c r="A207" t="s">
        <v>2176</v>
      </c>
      <c r="B207" t="s">
        <v>2177</v>
      </c>
      <c r="C207" t="s">
        <v>1731</v>
      </c>
      <c r="D207" t="s">
        <v>2165</v>
      </c>
      <c r="E207" t="s">
        <v>2166</v>
      </c>
      <c r="F207">
        <v>1000</v>
      </c>
      <c r="G207" t="s">
        <v>1882</v>
      </c>
      <c r="H207">
        <v>6</v>
      </c>
      <c r="I207" s="3">
        <v>113.7</v>
      </c>
      <c r="J207" s="3">
        <v>158.15</v>
      </c>
      <c r="K207" t="s">
        <v>154</v>
      </c>
      <c r="L207">
        <v>11</v>
      </c>
      <c r="M207">
        <v>100</v>
      </c>
      <c r="N207">
        <v>530</v>
      </c>
      <c r="O207" s="2">
        <v>45820</v>
      </c>
      <c r="P207">
        <v>1</v>
      </c>
      <c r="Q207">
        <v>27.63</v>
      </c>
      <c r="R207" t="s">
        <v>77</v>
      </c>
    </row>
    <row r="208" spans="1:18" x14ac:dyDescent="0.3">
      <c r="A208" t="s">
        <v>2178</v>
      </c>
      <c r="B208" t="s">
        <v>2179</v>
      </c>
      <c r="C208" t="s">
        <v>1731</v>
      </c>
      <c r="D208" t="s">
        <v>2165</v>
      </c>
      <c r="E208" t="s">
        <v>2180</v>
      </c>
      <c r="F208">
        <v>500</v>
      </c>
      <c r="G208" t="s">
        <v>1882</v>
      </c>
      <c r="H208">
        <v>12</v>
      </c>
      <c r="I208" s="3">
        <v>154.27000000000001</v>
      </c>
      <c r="J208" s="3">
        <v>211.84</v>
      </c>
      <c r="K208" t="s">
        <v>140</v>
      </c>
      <c r="L208">
        <v>10</v>
      </c>
      <c r="M208">
        <v>1</v>
      </c>
      <c r="N208">
        <v>300</v>
      </c>
      <c r="O208" s="2">
        <v>45831</v>
      </c>
      <c r="P208">
        <v>1</v>
      </c>
      <c r="Q208">
        <v>60.63</v>
      </c>
      <c r="R208" t="s">
        <v>1774</v>
      </c>
    </row>
    <row r="209" spans="1:18" x14ac:dyDescent="0.3">
      <c r="A209" t="s">
        <v>2181</v>
      </c>
      <c r="B209" t="s">
        <v>2182</v>
      </c>
      <c r="C209" t="s">
        <v>2183</v>
      </c>
      <c r="D209" t="s">
        <v>2165</v>
      </c>
      <c r="E209" t="s">
        <v>2180</v>
      </c>
      <c r="F209">
        <v>1000</v>
      </c>
      <c r="G209" t="s">
        <v>1882</v>
      </c>
      <c r="H209">
        <v>6</v>
      </c>
      <c r="I209" s="3">
        <v>255.44</v>
      </c>
      <c r="J209" s="3">
        <v>353.05</v>
      </c>
      <c r="K209" t="s">
        <v>191</v>
      </c>
      <c r="L209">
        <v>8</v>
      </c>
      <c r="M209">
        <v>100</v>
      </c>
      <c r="N209">
        <v>408</v>
      </c>
      <c r="O209" s="2">
        <v>45358</v>
      </c>
      <c r="P209">
        <v>1</v>
      </c>
      <c r="Q209">
        <v>10.83</v>
      </c>
      <c r="R209" t="s">
        <v>1750</v>
      </c>
    </row>
    <row r="210" spans="1:18" x14ac:dyDescent="0.3">
      <c r="A210" t="s">
        <v>2184</v>
      </c>
      <c r="B210" t="s">
        <v>2185</v>
      </c>
      <c r="C210" t="s">
        <v>1731</v>
      </c>
      <c r="D210" t="s">
        <v>2165</v>
      </c>
      <c r="E210" t="s">
        <v>2166</v>
      </c>
      <c r="F210">
        <v>250</v>
      </c>
      <c r="G210" t="s">
        <v>1882</v>
      </c>
      <c r="H210">
        <v>24</v>
      </c>
      <c r="I210" s="3">
        <v>102.4</v>
      </c>
      <c r="J210" s="3">
        <v>137.30000000000001</v>
      </c>
      <c r="K210" t="s">
        <v>158</v>
      </c>
      <c r="L210">
        <v>18</v>
      </c>
      <c r="M210">
        <v>4</v>
      </c>
      <c r="N210">
        <v>330</v>
      </c>
      <c r="O210" s="2">
        <v>45670</v>
      </c>
      <c r="P210">
        <v>1</v>
      </c>
      <c r="Q210">
        <v>83.78</v>
      </c>
      <c r="R210" t="s">
        <v>1774</v>
      </c>
    </row>
    <row r="211" spans="1:18" x14ac:dyDescent="0.3">
      <c r="A211" t="s">
        <v>2186</v>
      </c>
      <c r="B211" t="s">
        <v>2187</v>
      </c>
      <c r="C211" t="s">
        <v>1731</v>
      </c>
      <c r="D211" t="s">
        <v>2165</v>
      </c>
      <c r="E211" t="s">
        <v>2166</v>
      </c>
      <c r="F211">
        <v>500</v>
      </c>
      <c r="G211" t="s">
        <v>1882</v>
      </c>
      <c r="H211">
        <v>12</v>
      </c>
      <c r="I211" s="3">
        <v>30.71</v>
      </c>
      <c r="J211" s="3">
        <v>40.31</v>
      </c>
      <c r="K211" t="s">
        <v>186</v>
      </c>
      <c r="L211">
        <v>16</v>
      </c>
      <c r="M211">
        <v>12</v>
      </c>
      <c r="N211">
        <v>335</v>
      </c>
      <c r="O211" s="2">
        <v>45917</v>
      </c>
      <c r="P211">
        <v>1</v>
      </c>
      <c r="Q211">
        <v>75.98</v>
      </c>
      <c r="R211" t="s">
        <v>1774</v>
      </c>
    </row>
    <row r="212" spans="1:18" x14ac:dyDescent="0.3">
      <c r="A212" t="s">
        <v>2188</v>
      </c>
      <c r="B212" t="s">
        <v>2189</v>
      </c>
      <c r="C212" t="s">
        <v>2174</v>
      </c>
      <c r="D212" t="s">
        <v>2165</v>
      </c>
      <c r="E212" t="s">
        <v>2180</v>
      </c>
      <c r="F212">
        <v>250</v>
      </c>
      <c r="G212" t="s">
        <v>1882</v>
      </c>
      <c r="H212">
        <v>36</v>
      </c>
      <c r="I212" s="3">
        <v>53.57</v>
      </c>
      <c r="J212" s="3">
        <v>74.77</v>
      </c>
      <c r="K212" t="s">
        <v>176</v>
      </c>
      <c r="L212">
        <v>7</v>
      </c>
      <c r="M212">
        <v>4</v>
      </c>
      <c r="N212">
        <v>428</v>
      </c>
      <c r="O212" s="2">
        <v>45634</v>
      </c>
      <c r="P212">
        <v>1</v>
      </c>
      <c r="Q212">
        <v>22.89</v>
      </c>
      <c r="R212" t="s">
        <v>1750</v>
      </c>
    </row>
    <row r="213" spans="1:18" x14ac:dyDescent="0.3">
      <c r="A213" t="s">
        <v>2190</v>
      </c>
      <c r="B213" t="s">
        <v>2191</v>
      </c>
      <c r="C213" t="s">
        <v>1731</v>
      </c>
      <c r="D213" t="s">
        <v>2165</v>
      </c>
      <c r="E213" t="s">
        <v>2180</v>
      </c>
      <c r="F213">
        <v>500</v>
      </c>
      <c r="G213" t="s">
        <v>1882</v>
      </c>
      <c r="H213">
        <v>24</v>
      </c>
      <c r="I213" s="3">
        <v>53.15</v>
      </c>
      <c r="J213" s="3">
        <v>74.14</v>
      </c>
      <c r="K213" t="s">
        <v>176</v>
      </c>
      <c r="L213">
        <v>7</v>
      </c>
      <c r="M213">
        <v>24</v>
      </c>
      <c r="N213">
        <v>436</v>
      </c>
      <c r="O213" s="2">
        <v>45592</v>
      </c>
      <c r="P213">
        <v>1</v>
      </c>
      <c r="Q213">
        <v>50.61</v>
      </c>
      <c r="R213" t="s">
        <v>77</v>
      </c>
    </row>
    <row r="214" spans="1:18" x14ac:dyDescent="0.3">
      <c r="A214" t="s">
        <v>2192</v>
      </c>
      <c r="B214" t="s">
        <v>2193</v>
      </c>
      <c r="C214" t="s">
        <v>2194</v>
      </c>
      <c r="D214" t="s">
        <v>2165</v>
      </c>
      <c r="E214" t="s">
        <v>2180</v>
      </c>
      <c r="F214">
        <v>1000</v>
      </c>
      <c r="G214" t="s">
        <v>1882</v>
      </c>
      <c r="H214">
        <v>12</v>
      </c>
      <c r="I214" s="3">
        <v>78.290000000000006</v>
      </c>
      <c r="J214" s="3">
        <v>103.13</v>
      </c>
      <c r="K214" t="s">
        <v>154</v>
      </c>
      <c r="L214">
        <v>11</v>
      </c>
      <c r="M214">
        <v>4</v>
      </c>
      <c r="N214">
        <v>358</v>
      </c>
      <c r="O214" s="2">
        <v>45343</v>
      </c>
      <c r="P214">
        <v>1</v>
      </c>
      <c r="Q214">
        <v>14.97</v>
      </c>
      <c r="R214" t="s">
        <v>1750</v>
      </c>
    </row>
    <row r="215" spans="1:18" x14ac:dyDescent="0.3">
      <c r="A215" t="s">
        <v>2195</v>
      </c>
      <c r="B215" t="s">
        <v>2196</v>
      </c>
      <c r="C215" t="s">
        <v>1731</v>
      </c>
      <c r="D215" t="s">
        <v>2165</v>
      </c>
      <c r="E215" t="s">
        <v>2197</v>
      </c>
      <c r="F215">
        <v>240</v>
      </c>
      <c r="G215" t="s">
        <v>1882</v>
      </c>
      <c r="H215">
        <v>12</v>
      </c>
      <c r="I215" s="3">
        <v>93.71</v>
      </c>
      <c r="J215" s="3">
        <v>121.32</v>
      </c>
      <c r="K215" t="s">
        <v>113</v>
      </c>
      <c r="L215">
        <v>17</v>
      </c>
      <c r="M215">
        <v>24</v>
      </c>
      <c r="N215">
        <v>299</v>
      </c>
      <c r="O215" s="2">
        <v>45305</v>
      </c>
      <c r="P215">
        <v>1</v>
      </c>
      <c r="Q215">
        <v>32.92</v>
      </c>
      <c r="R215" t="s">
        <v>77</v>
      </c>
    </row>
    <row r="216" spans="1:18" x14ac:dyDescent="0.3">
      <c r="A216" t="s">
        <v>2198</v>
      </c>
      <c r="B216" t="s">
        <v>2199</v>
      </c>
      <c r="C216" t="s">
        <v>1731</v>
      </c>
      <c r="D216" t="s">
        <v>2165</v>
      </c>
      <c r="E216" t="s">
        <v>2166</v>
      </c>
      <c r="F216">
        <v>500</v>
      </c>
      <c r="G216" t="s">
        <v>1882</v>
      </c>
      <c r="H216">
        <v>24</v>
      </c>
      <c r="I216" s="3">
        <v>218.02</v>
      </c>
      <c r="J216" s="3">
        <v>290.42</v>
      </c>
      <c r="K216" t="s">
        <v>174</v>
      </c>
      <c r="L216">
        <v>10</v>
      </c>
      <c r="M216">
        <v>48</v>
      </c>
      <c r="N216">
        <v>497</v>
      </c>
      <c r="O216" s="2">
        <v>45784</v>
      </c>
      <c r="P216">
        <v>1</v>
      </c>
      <c r="Q216">
        <v>11.41</v>
      </c>
      <c r="R216" t="s">
        <v>1750</v>
      </c>
    </row>
    <row r="217" spans="1:18" x14ac:dyDescent="0.3">
      <c r="A217" t="s">
        <v>2200</v>
      </c>
      <c r="B217" t="s">
        <v>2201</v>
      </c>
      <c r="C217" t="s">
        <v>2174</v>
      </c>
      <c r="D217" t="s">
        <v>2165</v>
      </c>
      <c r="E217" t="s">
        <v>2180</v>
      </c>
      <c r="F217">
        <v>1000</v>
      </c>
      <c r="G217" t="s">
        <v>1882</v>
      </c>
      <c r="H217">
        <v>6</v>
      </c>
      <c r="I217" s="3">
        <v>162.79</v>
      </c>
      <c r="J217" s="3">
        <v>215.74</v>
      </c>
      <c r="K217" t="s">
        <v>113</v>
      </c>
      <c r="L217">
        <v>17</v>
      </c>
      <c r="M217">
        <v>2</v>
      </c>
      <c r="N217">
        <v>292</v>
      </c>
      <c r="O217" s="2">
        <v>45724</v>
      </c>
      <c r="P217">
        <v>1</v>
      </c>
      <c r="Q217">
        <v>45.76</v>
      </c>
      <c r="R217" t="s">
        <v>77</v>
      </c>
    </row>
    <row r="218" spans="1:18" x14ac:dyDescent="0.3">
      <c r="A218" t="s">
        <v>2202</v>
      </c>
      <c r="B218" t="s">
        <v>2203</v>
      </c>
      <c r="C218" t="s">
        <v>2174</v>
      </c>
      <c r="D218" t="s">
        <v>2165</v>
      </c>
      <c r="E218" t="s">
        <v>2180</v>
      </c>
      <c r="F218">
        <v>250</v>
      </c>
      <c r="G218" t="s">
        <v>1882</v>
      </c>
      <c r="H218">
        <v>24</v>
      </c>
      <c r="I218" s="3">
        <v>190.92</v>
      </c>
      <c r="J218" s="3">
        <v>260.85000000000002</v>
      </c>
      <c r="K218" t="s">
        <v>176</v>
      </c>
      <c r="L218">
        <v>7</v>
      </c>
      <c r="M218">
        <v>24</v>
      </c>
      <c r="N218">
        <v>294</v>
      </c>
      <c r="O218" s="2">
        <v>45647</v>
      </c>
      <c r="P218">
        <v>1</v>
      </c>
      <c r="Q218">
        <v>50.83</v>
      </c>
      <c r="R218" t="s">
        <v>77</v>
      </c>
    </row>
    <row r="219" spans="1:18" x14ac:dyDescent="0.3">
      <c r="A219" t="s">
        <v>2204</v>
      </c>
      <c r="B219" t="s">
        <v>2205</v>
      </c>
      <c r="C219" t="s">
        <v>2194</v>
      </c>
      <c r="D219" t="s">
        <v>2165</v>
      </c>
      <c r="E219" t="s">
        <v>2175</v>
      </c>
      <c r="F219">
        <v>25</v>
      </c>
      <c r="G219" t="s">
        <v>1882</v>
      </c>
      <c r="H219">
        <v>48</v>
      </c>
      <c r="I219" s="3">
        <v>204.43</v>
      </c>
      <c r="J219" s="3">
        <v>275.08999999999997</v>
      </c>
      <c r="K219" t="s">
        <v>142</v>
      </c>
      <c r="L219">
        <v>9</v>
      </c>
      <c r="M219">
        <v>6</v>
      </c>
      <c r="N219">
        <v>344</v>
      </c>
      <c r="O219" s="2">
        <v>45830</v>
      </c>
      <c r="P219">
        <v>1</v>
      </c>
      <c r="Q219">
        <v>20.18</v>
      </c>
      <c r="R219" t="s">
        <v>77</v>
      </c>
    </row>
    <row r="220" spans="1:18" x14ac:dyDescent="0.3">
      <c r="A220" t="s">
        <v>2206</v>
      </c>
      <c r="B220" t="s">
        <v>2207</v>
      </c>
      <c r="C220" t="s">
        <v>2174</v>
      </c>
      <c r="D220" t="s">
        <v>2165</v>
      </c>
      <c r="E220" t="s">
        <v>2175</v>
      </c>
      <c r="F220">
        <v>50</v>
      </c>
      <c r="G220" t="s">
        <v>1882</v>
      </c>
      <c r="H220">
        <v>36</v>
      </c>
      <c r="I220" s="3">
        <v>167.42</v>
      </c>
      <c r="J220" s="3">
        <v>218.59</v>
      </c>
      <c r="K220" t="s">
        <v>121</v>
      </c>
      <c r="L220">
        <v>15</v>
      </c>
      <c r="M220">
        <v>100</v>
      </c>
      <c r="N220">
        <v>288</v>
      </c>
      <c r="O220" s="2">
        <v>45845</v>
      </c>
      <c r="P220">
        <v>1</v>
      </c>
      <c r="Q220">
        <v>35.340000000000003</v>
      </c>
      <c r="R220" t="s">
        <v>77</v>
      </c>
    </row>
    <row r="221" spans="1:18" x14ac:dyDescent="0.3">
      <c r="A221" t="s">
        <v>2208</v>
      </c>
      <c r="B221" t="s">
        <v>2209</v>
      </c>
      <c r="C221" t="s">
        <v>2183</v>
      </c>
      <c r="D221" t="s">
        <v>2165</v>
      </c>
      <c r="E221" t="s">
        <v>2171</v>
      </c>
      <c r="F221">
        <v>500</v>
      </c>
      <c r="G221" t="s">
        <v>1882</v>
      </c>
      <c r="H221">
        <v>36</v>
      </c>
      <c r="I221" s="3">
        <v>98.13</v>
      </c>
      <c r="J221" s="3">
        <v>127.35</v>
      </c>
      <c r="K221" t="s">
        <v>170</v>
      </c>
      <c r="L221">
        <v>13</v>
      </c>
      <c r="M221">
        <v>48</v>
      </c>
      <c r="N221">
        <v>385</v>
      </c>
      <c r="O221" s="2">
        <v>45323</v>
      </c>
      <c r="P221">
        <v>1</v>
      </c>
      <c r="Q221">
        <v>20.25</v>
      </c>
      <c r="R221" t="s">
        <v>1750</v>
      </c>
    </row>
    <row r="222" spans="1:18" x14ac:dyDescent="0.3">
      <c r="A222" t="s">
        <v>2210</v>
      </c>
      <c r="B222" t="s">
        <v>2211</v>
      </c>
      <c r="C222" t="s">
        <v>2194</v>
      </c>
      <c r="D222" t="s">
        <v>2165</v>
      </c>
      <c r="E222" t="s">
        <v>2180</v>
      </c>
      <c r="F222">
        <v>1000</v>
      </c>
      <c r="G222" t="s">
        <v>1882</v>
      </c>
      <c r="H222">
        <v>6</v>
      </c>
      <c r="I222" s="3">
        <v>128.13999999999999</v>
      </c>
      <c r="J222" s="3">
        <v>181.79</v>
      </c>
      <c r="K222" t="s">
        <v>158</v>
      </c>
      <c r="L222">
        <v>18</v>
      </c>
      <c r="M222">
        <v>100</v>
      </c>
      <c r="N222">
        <v>501</v>
      </c>
      <c r="O222" s="2">
        <v>45514</v>
      </c>
      <c r="P222">
        <v>1</v>
      </c>
      <c r="Q222">
        <v>59.33</v>
      </c>
      <c r="R222" t="s">
        <v>1774</v>
      </c>
    </row>
    <row r="223" spans="1:18" x14ac:dyDescent="0.3">
      <c r="A223" t="s">
        <v>2212</v>
      </c>
      <c r="B223" t="s">
        <v>2213</v>
      </c>
      <c r="C223" t="s">
        <v>2183</v>
      </c>
      <c r="D223" t="s">
        <v>2165</v>
      </c>
      <c r="E223" t="s">
        <v>2166</v>
      </c>
      <c r="F223">
        <v>1000</v>
      </c>
      <c r="G223" t="s">
        <v>1882</v>
      </c>
      <c r="H223">
        <v>6</v>
      </c>
      <c r="I223" s="3">
        <v>127.67</v>
      </c>
      <c r="J223" s="3">
        <v>173.25</v>
      </c>
      <c r="K223" t="s">
        <v>150</v>
      </c>
      <c r="L223">
        <v>11</v>
      </c>
      <c r="M223">
        <v>4</v>
      </c>
      <c r="N223">
        <v>184</v>
      </c>
      <c r="O223" s="2">
        <v>45535</v>
      </c>
      <c r="P223">
        <v>1</v>
      </c>
      <c r="Q223">
        <v>33.96</v>
      </c>
      <c r="R223" t="s">
        <v>77</v>
      </c>
    </row>
    <row r="224" spans="1:18" x14ac:dyDescent="0.3">
      <c r="A224" t="s">
        <v>2214</v>
      </c>
      <c r="B224" t="s">
        <v>2215</v>
      </c>
      <c r="C224" t="s">
        <v>2194</v>
      </c>
      <c r="D224" t="s">
        <v>2165</v>
      </c>
      <c r="E224" t="s">
        <v>2197</v>
      </c>
      <c r="F224">
        <v>480</v>
      </c>
      <c r="G224" t="s">
        <v>1882</v>
      </c>
      <c r="H224">
        <v>24</v>
      </c>
      <c r="I224" s="3">
        <v>225.73</v>
      </c>
      <c r="J224" s="3">
        <v>294.58999999999997</v>
      </c>
      <c r="K224" t="s">
        <v>144</v>
      </c>
      <c r="L224">
        <v>13</v>
      </c>
      <c r="M224">
        <v>24</v>
      </c>
      <c r="N224">
        <v>443</v>
      </c>
      <c r="O224" s="2">
        <v>45537</v>
      </c>
      <c r="P224">
        <v>1</v>
      </c>
      <c r="Q224">
        <v>9.68</v>
      </c>
      <c r="R224" t="s">
        <v>1750</v>
      </c>
    </row>
    <row r="225" spans="1:18" x14ac:dyDescent="0.3">
      <c r="A225" t="s">
        <v>2216</v>
      </c>
      <c r="B225" t="s">
        <v>2217</v>
      </c>
      <c r="C225" t="s">
        <v>2194</v>
      </c>
      <c r="D225" t="s">
        <v>2165</v>
      </c>
      <c r="E225" t="s">
        <v>2171</v>
      </c>
      <c r="F225">
        <v>250</v>
      </c>
      <c r="G225" t="s">
        <v>1882</v>
      </c>
      <c r="H225">
        <v>24</v>
      </c>
      <c r="I225" s="3">
        <v>95.83</v>
      </c>
      <c r="J225" s="3">
        <v>129.41999999999999</v>
      </c>
      <c r="K225" t="s">
        <v>178</v>
      </c>
      <c r="L225">
        <v>12</v>
      </c>
      <c r="M225">
        <v>24</v>
      </c>
      <c r="N225">
        <v>367</v>
      </c>
      <c r="O225" s="2">
        <v>45458</v>
      </c>
      <c r="P225">
        <v>1</v>
      </c>
      <c r="Q225">
        <v>50.22</v>
      </c>
      <c r="R225" t="s">
        <v>77</v>
      </c>
    </row>
    <row r="226" spans="1:18" x14ac:dyDescent="0.3">
      <c r="A226" t="s">
        <v>2218</v>
      </c>
      <c r="B226" t="s">
        <v>2219</v>
      </c>
      <c r="C226" t="s">
        <v>1731</v>
      </c>
      <c r="D226" t="s">
        <v>2165</v>
      </c>
      <c r="E226" t="s">
        <v>2175</v>
      </c>
      <c r="F226">
        <v>200</v>
      </c>
      <c r="G226" t="s">
        <v>1882</v>
      </c>
      <c r="H226">
        <v>12</v>
      </c>
      <c r="I226" s="3">
        <v>119.11</v>
      </c>
      <c r="J226" s="3">
        <v>167</v>
      </c>
      <c r="K226" t="s">
        <v>135</v>
      </c>
      <c r="L226">
        <v>20</v>
      </c>
      <c r="M226">
        <v>4</v>
      </c>
      <c r="N226">
        <v>282</v>
      </c>
      <c r="O226" s="2">
        <v>45386</v>
      </c>
      <c r="P226">
        <v>1</v>
      </c>
      <c r="Q226">
        <v>21.61</v>
      </c>
      <c r="R226" t="s">
        <v>77</v>
      </c>
    </row>
    <row r="227" spans="1:18" x14ac:dyDescent="0.3">
      <c r="A227" t="s">
        <v>2220</v>
      </c>
      <c r="B227" t="s">
        <v>2221</v>
      </c>
      <c r="C227" t="s">
        <v>1731</v>
      </c>
      <c r="D227" t="s">
        <v>2165</v>
      </c>
      <c r="E227" t="s">
        <v>2166</v>
      </c>
      <c r="F227">
        <v>1000</v>
      </c>
      <c r="G227" t="s">
        <v>1882</v>
      </c>
      <c r="H227">
        <v>12</v>
      </c>
      <c r="I227" s="3">
        <v>195.1</v>
      </c>
      <c r="J227" s="3">
        <v>268.14999999999998</v>
      </c>
      <c r="K227" t="s">
        <v>152</v>
      </c>
      <c r="L227">
        <v>17</v>
      </c>
      <c r="M227">
        <v>24</v>
      </c>
      <c r="N227">
        <v>260</v>
      </c>
      <c r="O227" s="2">
        <v>45581</v>
      </c>
      <c r="P227">
        <v>1</v>
      </c>
      <c r="Q227">
        <v>53.44</v>
      </c>
      <c r="R227" t="s">
        <v>1774</v>
      </c>
    </row>
    <row r="228" spans="1:18" x14ac:dyDescent="0.3">
      <c r="A228" t="s">
        <v>2222</v>
      </c>
      <c r="B228" t="s">
        <v>2223</v>
      </c>
      <c r="C228" t="s">
        <v>2174</v>
      </c>
      <c r="D228" t="s">
        <v>2165</v>
      </c>
      <c r="E228" t="s">
        <v>2166</v>
      </c>
      <c r="F228">
        <v>250</v>
      </c>
      <c r="G228" t="s">
        <v>1882</v>
      </c>
      <c r="H228">
        <v>12</v>
      </c>
      <c r="I228" s="3">
        <v>47.91</v>
      </c>
      <c r="J228" s="3">
        <v>63.41</v>
      </c>
      <c r="K228" t="s">
        <v>104</v>
      </c>
      <c r="L228">
        <v>8</v>
      </c>
      <c r="M228">
        <v>4</v>
      </c>
      <c r="N228">
        <v>491</v>
      </c>
      <c r="O228" s="2">
        <v>45837</v>
      </c>
      <c r="P228">
        <v>1</v>
      </c>
      <c r="Q228">
        <v>3.22</v>
      </c>
      <c r="R228" t="s">
        <v>1741</v>
      </c>
    </row>
    <row r="229" spans="1:18" x14ac:dyDescent="0.3">
      <c r="A229" t="s">
        <v>2224</v>
      </c>
      <c r="B229" t="s">
        <v>2225</v>
      </c>
      <c r="C229" t="s">
        <v>2174</v>
      </c>
      <c r="D229" t="s">
        <v>2165</v>
      </c>
      <c r="E229" t="s">
        <v>2180</v>
      </c>
      <c r="F229">
        <v>1000</v>
      </c>
      <c r="G229" t="s">
        <v>1882</v>
      </c>
      <c r="H229">
        <v>12</v>
      </c>
      <c r="I229" s="3">
        <v>182.8</v>
      </c>
      <c r="J229" s="3">
        <v>240.77</v>
      </c>
      <c r="K229" t="s">
        <v>148</v>
      </c>
      <c r="L229">
        <v>24</v>
      </c>
      <c r="M229">
        <v>2</v>
      </c>
      <c r="N229">
        <v>396</v>
      </c>
      <c r="O229" s="2">
        <v>45895</v>
      </c>
      <c r="P229">
        <v>1</v>
      </c>
      <c r="Q229">
        <v>2.77</v>
      </c>
      <c r="R229" t="s">
        <v>1741</v>
      </c>
    </row>
    <row r="230" spans="1:18" x14ac:dyDescent="0.3">
      <c r="A230" t="s">
        <v>2226</v>
      </c>
      <c r="B230" t="s">
        <v>2227</v>
      </c>
      <c r="C230" t="s">
        <v>2194</v>
      </c>
      <c r="D230" t="s">
        <v>2165</v>
      </c>
      <c r="E230" t="s">
        <v>2171</v>
      </c>
      <c r="F230">
        <v>1000</v>
      </c>
      <c r="G230" t="s">
        <v>1882</v>
      </c>
      <c r="H230">
        <v>6</v>
      </c>
      <c r="I230" s="3">
        <v>66.11</v>
      </c>
      <c r="J230" s="3">
        <v>85.96</v>
      </c>
      <c r="K230" t="s">
        <v>142</v>
      </c>
      <c r="L230">
        <v>9</v>
      </c>
      <c r="M230">
        <v>4</v>
      </c>
      <c r="N230">
        <v>414</v>
      </c>
      <c r="O230" s="2">
        <v>45864</v>
      </c>
      <c r="P230">
        <v>1</v>
      </c>
      <c r="Q230">
        <v>6.96</v>
      </c>
      <c r="R230" t="s">
        <v>1741</v>
      </c>
    </row>
    <row r="231" spans="1:18" x14ac:dyDescent="0.3">
      <c r="A231" t="s">
        <v>2228</v>
      </c>
      <c r="B231" t="s">
        <v>2229</v>
      </c>
      <c r="C231" t="s">
        <v>2174</v>
      </c>
      <c r="D231" t="s">
        <v>2165</v>
      </c>
      <c r="E231" t="s">
        <v>2166</v>
      </c>
      <c r="F231">
        <v>1000</v>
      </c>
      <c r="G231" t="s">
        <v>1882</v>
      </c>
      <c r="H231">
        <v>6</v>
      </c>
      <c r="I231" s="3">
        <v>248.61</v>
      </c>
      <c r="J231" s="3">
        <v>320.49</v>
      </c>
      <c r="K231" t="s">
        <v>184</v>
      </c>
      <c r="L231">
        <v>17</v>
      </c>
      <c r="M231">
        <v>1</v>
      </c>
      <c r="N231">
        <v>410</v>
      </c>
      <c r="O231" s="2">
        <v>45470</v>
      </c>
      <c r="P231">
        <v>1</v>
      </c>
      <c r="Q231">
        <v>21.61</v>
      </c>
      <c r="R231" t="s">
        <v>77</v>
      </c>
    </row>
    <row r="232" spans="1:18" x14ac:dyDescent="0.3">
      <c r="A232" t="s">
        <v>2230</v>
      </c>
      <c r="B232" t="s">
        <v>2231</v>
      </c>
      <c r="C232" t="s">
        <v>2174</v>
      </c>
      <c r="D232" t="s">
        <v>2165</v>
      </c>
      <c r="E232" t="s">
        <v>2175</v>
      </c>
      <c r="F232">
        <v>200</v>
      </c>
      <c r="G232" t="s">
        <v>1882</v>
      </c>
      <c r="H232">
        <v>24</v>
      </c>
      <c r="I232" s="3">
        <v>181.14</v>
      </c>
      <c r="J232" s="3">
        <v>233.14</v>
      </c>
      <c r="K232" t="s">
        <v>98</v>
      </c>
      <c r="L232">
        <v>11</v>
      </c>
      <c r="M232">
        <v>48</v>
      </c>
      <c r="N232">
        <v>181</v>
      </c>
      <c r="O232" s="2">
        <v>45605</v>
      </c>
      <c r="P232">
        <v>1</v>
      </c>
      <c r="Q232">
        <v>4.9400000000000004</v>
      </c>
      <c r="R232" t="s">
        <v>1741</v>
      </c>
    </row>
    <row r="233" spans="1:18" x14ac:dyDescent="0.3">
      <c r="A233" t="s">
        <v>2232</v>
      </c>
      <c r="B233" t="s">
        <v>2233</v>
      </c>
      <c r="C233" t="s">
        <v>1731</v>
      </c>
      <c r="D233" t="s">
        <v>2165</v>
      </c>
      <c r="E233" t="s">
        <v>2171</v>
      </c>
      <c r="F233">
        <v>1000</v>
      </c>
      <c r="G233" t="s">
        <v>1882</v>
      </c>
      <c r="H233">
        <v>12</v>
      </c>
      <c r="I233" s="3">
        <v>167.78</v>
      </c>
      <c r="J233" s="3">
        <v>217.43</v>
      </c>
      <c r="K233" t="s">
        <v>115</v>
      </c>
      <c r="L233">
        <v>15</v>
      </c>
      <c r="M233">
        <v>4</v>
      </c>
      <c r="N233">
        <v>292</v>
      </c>
      <c r="O233" s="2">
        <v>45533</v>
      </c>
      <c r="P233">
        <v>1</v>
      </c>
      <c r="Q233">
        <v>6.18</v>
      </c>
      <c r="R233" t="s">
        <v>1750</v>
      </c>
    </row>
    <row r="234" spans="1:18" x14ac:dyDescent="0.3">
      <c r="A234" t="s">
        <v>2234</v>
      </c>
      <c r="B234" t="s">
        <v>2235</v>
      </c>
      <c r="C234" t="s">
        <v>2183</v>
      </c>
      <c r="D234" t="s">
        <v>2165</v>
      </c>
      <c r="E234" t="s">
        <v>2166</v>
      </c>
      <c r="F234">
        <v>250</v>
      </c>
      <c r="G234" t="s">
        <v>1882</v>
      </c>
      <c r="H234">
        <v>36</v>
      </c>
      <c r="I234" s="3">
        <v>80.209999999999994</v>
      </c>
      <c r="J234" s="3">
        <v>106.25</v>
      </c>
      <c r="K234" t="s">
        <v>196</v>
      </c>
      <c r="L234">
        <v>25</v>
      </c>
      <c r="M234">
        <v>6</v>
      </c>
      <c r="N234">
        <v>294</v>
      </c>
      <c r="O234" s="2">
        <v>45895</v>
      </c>
      <c r="P234">
        <v>1</v>
      </c>
      <c r="Q234">
        <v>5.65</v>
      </c>
      <c r="R234" t="s">
        <v>1741</v>
      </c>
    </row>
    <row r="235" spans="1:18" x14ac:dyDescent="0.3">
      <c r="A235" t="s">
        <v>2236</v>
      </c>
      <c r="B235" t="s">
        <v>2237</v>
      </c>
      <c r="C235" t="s">
        <v>2183</v>
      </c>
      <c r="D235" t="s">
        <v>2165</v>
      </c>
      <c r="E235" t="s">
        <v>2197</v>
      </c>
      <c r="F235">
        <v>240</v>
      </c>
      <c r="G235" t="s">
        <v>1882</v>
      </c>
      <c r="H235">
        <v>12</v>
      </c>
      <c r="I235" s="3">
        <v>148.59</v>
      </c>
      <c r="J235" s="3">
        <v>207.29</v>
      </c>
      <c r="K235" t="s">
        <v>170</v>
      </c>
      <c r="L235">
        <v>13</v>
      </c>
      <c r="M235">
        <v>48</v>
      </c>
      <c r="N235">
        <v>283</v>
      </c>
      <c r="O235" s="2">
        <v>45736</v>
      </c>
      <c r="P235">
        <v>1</v>
      </c>
      <c r="Q235">
        <v>45.92</v>
      </c>
      <c r="R235" t="s">
        <v>1774</v>
      </c>
    </row>
    <row r="236" spans="1:18" x14ac:dyDescent="0.3">
      <c r="A236" t="s">
        <v>2238</v>
      </c>
      <c r="B236" t="s">
        <v>2239</v>
      </c>
      <c r="C236" t="s">
        <v>1731</v>
      </c>
      <c r="D236" t="s">
        <v>2165</v>
      </c>
      <c r="E236" t="s">
        <v>2180</v>
      </c>
      <c r="F236">
        <v>250</v>
      </c>
      <c r="G236" t="s">
        <v>1882</v>
      </c>
      <c r="H236">
        <v>36</v>
      </c>
      <c r="I236" s="3">
        <v>156.61000000000001</v>
      </c>
      <c r="J236" s="3">
        <v>205.19</v>
      </c>
      <c r="K236" t="s">
        <v>196</v>
      </c>
      <c r="L236">
        <v>25</v>
      </c>
      <c r="M236">
        <v>24</v>
      </c>
      <c r="N236">
        <v>278</v>
      </c>
      <c r="O236" s="2">
        <v>45851</v>
      </c>
      <c r="P236">
        <v>1</v>
      </c>
      <c r="Q236">
        <v>53.3</v>
      </c>
      <c r="R236" t="s">
        <v>1774</v>
      </c>
    </row>
    <row r="237" spans="1:18" x14ac:dyDescent="0.3">
      <c r="A237" t="s">
        <v>2240</v>
      </c>
      <c r="B237" t="s">
        <v>2241</v>
      </c>
      <c r="C237" t="s">
        <v>2174</v>
      </c>
      <c r="D237" t="s">
        <v>2165</v>
      </c>
      <c r="E237" t="s">
        <v>2180</v>
      </c>
      <c r="F237">
        <v>250</v>
      </c>
      <c r="G237" t="s">
        <v>1882</v>
      </c>
      <c r="H237">
        <v>12</v>
      </c>
      <c r="I237" s="3">
        <v>82.37</v>
      </c>
      <c r="J237" s="3">
        <v>109.64</v>
      </c>
      <c r="K237" t="s">
        <v>138</v>
      </c>
      <c r="L237">
        <v>14</v>
      </c>
      <c r="M237">
        <v>12</v>
      </c>
      <c r="N237">
        <v>288</v>
      </c>
      <c r="O237" s="2">
        <v>45631</v>
      </c>
      <c r="P237">
        <v>1</v>
      </c>
      <c r="Q237">
        <v>6.35</v>
      </c>
      <c r="R237" t="s">
        <v>1750</v>
      </c>
    </row>
    <row r="238" spans="1:18" x14ac:dyDescent="0.3">
      <c r="A238" t="s">
        <v>2242</v>
      </c>
      <c r="B238" t="s">
        <v>2243</v>
      </c>
      <c r="C238" t="s">
        <v>1731</v>
      </c>
      <c r="D238" t="s">
        <v>2165</v>
      </c>
      <c r="E238" t="s">
        <v>2175</v>
      </c>
      <c r="F238">
        <v>100</v>
      </c>
      <c r="G238" t="s">
        <v>1882</v>
      </c>
      <c r="H238">
        <v>48</v>
      </c>
      <c r="I238" s="3">
        <v>200.63</v>
      </c>
      <c r="J238" s="3">
        <v>278.10000000000002</v>
      </c>
      <c r="K238" t="s">
        <v>176</v>
      </c>
      <c r="L238">
        <v>7</v>
      </c>
      <c r="M238">
        <v>24</v>
      </c>
      <c r="N238">
        <v>499</v>
      </c>
      <c r="O238" s="2">
        <v>45803</v>
      </c>
      <c r="P238">
        <v>1</v>
      </c>
      <c r="Q238">
        <v>4.22</v>
      </c>
      <c r="R238" t="s">
        <v>1741</v>
      </c>
    </row>
    <row r="239" spans="1:18" x14ac:dyDescent="0.3">
      <c r="A239" t="s">
        <v>2244</v>
      </c>
      <c r="B239" t="s">
        <v>2245</v>
      </c>
      <c r="C239" t="s">
        <v>2174</v>
      </c>
      <c r="D239" t="s">
        <v>2165</v>
      </c>
      <c r="E239" t="s">
        <v>2166</v>
      </c>
      <c r="F239">
        <v>1000</v>
      </c>
      <c r="G239" t="s">
        <v>1882</v>
      </c>
      <c r="H239">
        <v>12</v>
      </c>
      <c r="I239" s="3">
        <v>210.68</v>
      </c>
      <c r="J239" s="3">
        <v>298.66000000000003</v>
      </c>
      <c r="K239" t="s">
        <v>182</v>
      </c>
      <c r="L239">
        <v>10</v>
      </c>
      <c r="M239">
        <v>100</v>
      </c>
      <c r="N239">
        <v>268</v>
      </c>
      <c r="O239" s="2">
        <v>45546</v>
      </c>
      <c r="P239">
        <v>1</v>
      </c>
      <c r="Q239">
        <v>49.39</v>
      </c>
      <c r="R239" t="s">
        <v>1774</v>
      </c>
    </row>
    <row r="240" spans="1:18" x14ac:dyDescent="0.3">
      <c r="A240" t="s">
        <v>2246</v>
      </c>
      <c r="B240" t="s">
        <v>2247</v>
      </c>
      <c r="C240" t="s">
        <v>2194</v>
      </c>
      <c r="D240" t="s">
        <v>2165</v>
      </c>
      <c r="E240" t="s">
        <v>2175</v>
      </c>
      <c r="F240">
        <v>100</v>
      </c>
      <c r="G240" t="s">
        <v>1882</v>
      </c>
      <c r="H240">
        <v>60</v>
      </c>
      <c r="I240" s="3">
        <v>213.63</v>
      </c>
      <c r="J240" s="3">
        <v>282.61</v>
      </c>
      <c r="K240" t="s">
        <v>104</v>
      </c>
      <c r="L240">
        <v>8</v>
      </c>
      <c r="M240">
        <v>6</v>
      </c>
      <c r="N240">
        <v>214</v>
      </c>
      <c r="O240" s="2">
        <v>45826</v>
      </c>
      <c r="P240">
        <v>1</v>
      </c>
      <c r="Q240">
        <v>13.43</v>
      </c>
      <c r="R240" t="s">
        <v>1750</v>
      </c>
    </row>
    <row r="241" spans="1:18" x14ac:dyDescent="0.3">
      <c r="A241" t="s">
        <v>2248</v>
      </c>
      <c r="B241" t="s">
        <v>2249</v>
      </c>
      <c r="C241" t="s">
        <v>2174</v>
      </c>
      <c r="D241" t="s">
        <v>2165</v>
      </c>
      <c r="E241" t="s">
        <v>2197</v>
      </c>
      <c r="F241">
        <v>240</v>
      </c>
      <c r="G241" t="s">
        <v>1882</v>
      </c>
      <c r="H241">
        <v>12</v>
      </c>
      <c r="I241" s="3">
        <v>46.63</v>
      </c>
      <c r="J241" s="3">
        <v>60.42</v>
      </c>
      <c r="K241" t="s">
        <v>108</v>
      </c>
      <c r="L241">
        <v>9</v>
      </c>
      <c r="M241">
        <v>1</v>
      </c>
      <c r="N241">
        <v>349</v>
      </c>
      <c r="O241" s="2">
        <v>45836</v>
      </c>
      <c r="P241">
        <v>1</v>
      </c>
      <c r="Q241">
        <v>47.48</v>
      </c>
      <c r="R241" t="s">
        <v>77</v>
      </c>
    </row>
    <row r="242" spans="1:18" x14ac:dyDescent="0.3">
      <c r="A242" t="s">
        <v>2250</v>
      </c>
      <c r="B242" t="s">
        <v>2251</v>
      </c>
      <c r="C242" t="s">
        <v>2174</v>
      </c>
      <c r="D242" t="s">
        <v>2165</v>
      </c>
      <c r="E242" t="s">
        <v>2166</v>
      </c>
      <c r="F242">
        <v>1000</v>
      </c>
      <c r="G242" t="s">
        <v>1882</v>
      </c>
      <c r="H242">
        <v>12</v>
      </c>
      <c r="I242" s="3">
        <v>122.97</v>
      </c>
      <c r="J242" s="3">
        <v>165.93</v>
      </c>
      <c r="K242" t="s">
        <v>133</v>
      </c>
      <c r="L242">
        <v>15</v>
      </c>
      <c r="M242">
        <v>48</v>
      </c>
      <c r="N242">
        <v>234</v>
      </c>
      <c r="O242" s="2">
        <v>45462</v>
      </c>
      <c r="P242">
        <v>1</v>
      </c>
      <c r="Q242">
        <v>23.95</v>
      </c>
      <c r="R242" t="s">
        <v>77</v>
      </c>
    </row>
    <row r="243" spans="1:18" x14ac:dyDescent="0.3">
      <c r="A243" t="s">
        <v>2252</v>
      </c>
      <c r="B243" t="s">
        <v>2253</v>
      </c>
      <c r="C243" t="s">
        <v>2194</v>
      </c>
      <c r="D243" t="s">
        <v>2165</v>
      </c>
      <c r="E243" t="s">
        <v>2180</v>
      </c>
      <c r="F243">
        <v>1000</v>
      </c>
      <c r="G243" t="s">
        <v>1882</v>
      </c>
      <c r="H243">
        <v>12</v>
      </c>
      <c r="I243" s="3">
        <v>236.36</v>
      </c>
      <c r="J243" s="3">
        <v>320.55</v>
      </c>
      <c r="K243" t="s">
        <v>186</v>
      </c>
      <c r="L243">
        <v>16</v>
      </c>
      <c r="M243">
        <v>24</v>
      </c>
      <c r="N243">
        <v>235</v>
      </c>
      <c r="O243" s="2">
        <v>45869</v>
      </c>
      <c r="P243">
        <v>1</v>
      </c>
      <c r="Q243">
        <v>7.98</v>
      </c>
      <c r="R243" t="s">
        <v>1750</v>
      </c>
    </row>
    <row r="244" spans="1:18" x14ac:dyDescent="0.3">
      <c r="A244" t="s">
        <v>2254</v>
      </c>
      <c r="B244" t="s">
        <v>2255</v>
      </c>
      <c r="C244" t="s">
        <v>2174</v>
      </c>
      <c r="D244" t="s">
        <v>2165</v>
      </c>
      <c r="E244" t="s">
        <v>2171</v>
      </c>
      <c r="F244">
        <v>500</v>
      </c>
      <c r="G244" t="s">
        <v>1882</v>
      </c>
      <c r="H244">
        <v>12</v>
      </c>
      <c r="I244" s="3">
        <v>227.32</v>
      </c>
      <c r="J244" s="3">
        <v>294.74</v>
      </c>
      <c r="K244" t="s">
        <v>135</v>
      </c>
      <c r="L244">
        <v>20</v>
      </c>
      <c r="M244">
        <v>4</v>
      </c>
      <c r="N244">
        <v>498</v>
      </c>
      <c r="O244" s="2">
        <v>45670</v>
      </c>
      <c r="P244">
        <v>1</v>
      </c>
      <c r="Q244">
        <v>5.99</v>
      </c>
      <c r="R244" t="s">
        <v>1750</v>
      </c>
    </row>
    <row r="245" spans="1:18" x14ac:dyDescent="0.3">
      <c r="A245" t="s">
        <v>2256</v>
      </c>
      <c r="B245" t="s">
        <v>2257</v>
      </c>
      <c r="C245" t="s">
        <v>2174</v>
      </c>
      <c r="D245" t="s">
        <v>2165</v>
      </c>
      <c r="E245" t="s">
        <v>2197</v>
      </c>
      <c r="F245">
        <v>60</v>
      </c>
      <c r="G245" t="s">
        <v>1882</v>
      </c>
      <c r="H245">
        <v>24</v>
      </c>
      <c r="I245" s="3">
        <v>151.12</v>
      </c>
      <c r="J245" s="3">
        <v>202.23</v>
      </c>
      <c r="K245" t="s">
        <v>194</v>
      </c>
      <c r="L245">
        <v>14</v>
      </c>
      <c r="M245">
        <v>1</v>
      </c>
      <c r="N245">
        <v>271</v>
      </c>
      <c r="O245" s="2">
        <v>45367</v>
      </c>
      <c r="P245">
        <v>1</v>
      </c>
      <c r="Q245">
        <v>2.31</v>
      </c>
      <c r="R245" t="s">
        <v>1741</v>
      </c>
    </row>
    <row r="246" spans="1:18" x14ac:dyDescent="0.3">
      <c r="A246" t="s">
        <v>2258</v>
      </c>
      <c r="B246" t="s">
        <v>2259</v>
      </c>
      <c r="C246" t="s">
        <v>1731</v>
      </c>
      <c r="D246" t="s">
        <v>2165</v>
      </c>
      <c r="E246" t="s">
        <v>2180</v>
      </c>
      <c r="F246">
        <v>250</v>
      </c>
      <c r="G246" t="s">
        <v>1882</v>
      </c>
      <c r="H246">
        <v>36</v>
      </c>
      <c r="I246" s="3">
        <v>121.75</v>
      </c>
      <c r="J246" s="3">
        <v>171.07</v>
      </c>
      <c r="K246" t="s">
        <v>194</v>
      </c>
      <c r="L246">
        <v>14</v>
      </c>
      <c r="M246">
        <v>48</v>
      </c>
      <c r="N246">
        <v>302</v>
      </c>
      <c r="O246" s="2">
        <v>45673</v>
      </c>
      <c r="P246">
        <v>1</v>
      </c>
      <c r="Q246">
        <v>46.02</v>
      </c>
      <c r="R246" t="s">
        <v>1774</v>
      </c>
    </row>
    <row r="247" spans="1:18" x14ac:dyDescent="0.3">
      <c r="A247" t="s">
        <v>2260</v>
      </c>
      <c r="B247" t="s">
        <v>2261</v>
      </c>
      <c r="C247" t="s">
        <v>2183</v>
      </c>
      <c r="D247" t="s">
        <v>2165</v>
      </c>
      <c r="E247" t="s">
        <v>2171</v>
      </c>
      <c r="F247">
        <v>1000</v>
      </c>
      <c r="G247" t="s">
        <v>1882</v>
      </c>
      <c r="H247">
        <v>12</v>
      </c>
      <c r="I247" s="3">
        <v>58.83</v>
      </c>
      <c r="J247" s="3">
        <v>82.53</v>
      </c>
      <c r="K247" t="s">
        <v>178</v>
      </c>
      <c r="L247">
        <v>12</v>
      </c>
      <c r="M247">
        <v>6</v>
      </c>
      <c r="N247">
        <v>396</v>
      </c>
      <c r="O247" s="2">
        <v>45944</v>
      </c>
      <c r="P247">
        <v>1</v>
      </c>
      <c r="Q247">
        <v>4.25</v>
      </c>
      <c r="R247" t="s">
        <v>1741</v>
      </c>
    </row>
    <row r="248" spans="1:18" x14ac:dyDescent="0.3">
      <c r="A248" t="s">
        <v>2262</v>
      </c>
      <c r="B248" t="s">
        <v>2263</v>
      </c>
      <c r="C248" t="s">
        <v>2183</v>
      </c>
      <c r="D248" t="s">
        <v>2165</v>
      </c>
      <c r="E248" t="s">
        <v>2166</v>
      </c>
      <c r="F248">
        <v>1000</v>
      </c>
      <c r="G248" t="s">
        <v>1882</v>
      </c>
      <c r="H248">
        <v>6</v>
      </c>
      <c r="I248" s="3">
        <v>250.24</v>
      </c>
      <c r="J248" s="3">
        <v>334.16</v>
      </c>
      <c r="K248" t="s">
        <v>140</v>
      </c>
      <c r="L248">
        <v>10</v>
      </c>
      <c r="M248">
        <v>48</v>
      </c>
      <c r="N248">
        <v>400</v>
      </c>
      <c r="O248" s="2">
        <v>45608</v>
      </c>
      <c r="P248">
        <v>1</v>
      </c>
      <c r="Q248">
        <v>78.319999999999993</v>
      </c>
      <c r="R248" t="s">
        <v>1774</v>
      </c>
    </row>
    <row r="249" spans="1:18" x14ac:dyDescent="0.3">
      <c r="A249" t="s">
        <v>2264</v>
      </c>
      <c r="B249" t="s">
        <v>2265</v>
      </c>
      <c r="C249" t="s">
        <v>2183</v>
      </c>
      <c r="D249" t="s">
        <v>2165</v>
      </c>
      <c r="E249" t="s">
        <v>2180</v>
      </c>
      <c r="F249">
        <v>250</v>
      </c>
      <c r="G249" t="s">
        <v>1882</v>
      </c>
      <c r="H249">
        <v>36</v>
      </c>
      <c r="I249" s="3">
        <v>62.34</v>
      </c>
      <c r="J249" s="3">
        <v>88.94</v>
      </c>
      <c r="K249" t="s">
        <v>144</v>
      </c>
      <c r="L249">
        <v>13</v>
      </c>
      <c r="M249">
        <v>100</v>
      </c>
      <c r="N249">
        <v>411</v>
      </c>
      <c r="O249" s="2">
        <v>45471</v>
      </c>
      <c r="P249">
        <v>1</v>
      </c>
      <c r="Q249">
        <v>19.59</v>
      </c>
      <c r="R249" t="s">
        <v>1750</v>
      </c>
    </row>
    <row r="250" spans="1:18" x14ac:dyDescent="0.3">
      <c r="A250" t="s">
        <v>2266</v>
      </c>
      <c r="B250" t="s">
        <v>2267</v>
      </c>
      <c r="C250" t="s">
        <v>1731</v>
      </c>
      <c r="D250" t="s">
        <v>2165</v>
      </c>
      <c r="E250" t="s">
        <v>2175</v>
      </c>
      <c r="F250">
        <v>100</v>
      </c>
      <c r="G250" t="s">
        <v>1882</v>
      </c>
      <c r="H250">
        <v>24</v>
      </c>
      <c r="I250" s="3">
        <v>192.01</v>
      </c>
      <c r="J250" s="3">
        <v>251.87</v>
      </c>
      <c r="K250" t="s">
        <v>138</v>
      </c>
      <c r="L250">
        <v>14</v>
      </c>
      <c r="M250">
        <v>48</v>
      </c>
      <c r="N250">
        <v>190</v>
      </c>
      <c r="O250" s="2">
        <v>45587</v>
      </c>
      <c r="P250">
        <v>1</v>
      </c>
      <c r="Q250">
        <v>6.39</v>
      </c>
      <c r="R250" t="s">
        <v>1741</v>
      </c>
    </row>
    <row r="251" spans="1:18" x14ac:dyDescent="0.3">
      <c r="A251" t="s">
        <v>2268</v>
      </c>
      <c r="B251" t="s">
        <v>2269</v>
      </c>
      <c r="C251" t="s">
        <v>2183</v>
      </c>
      <c r="D251" t="s">
        <v>2165</v>
      </c>
      <c r="E251" t="s">
        <v>2175</v>
      </c>
      <c r="F251">
        <v>25</v>
      </c>
      <c r="G251" t="s">
        <v>1882</v>
      </c>
      <c r="H251">
        <v>24</v>
      </c>
      <c r="I251" s="3">
        <v>111.75</v>
      </c>
      <c r="J251" s="3">
        <v>152.88999999999999</v>
      </c>
      <c r="K251" t="s">
        <v>158</v>
      </c>
      <c r="L251">
        <v>18</v>
      </c>
      <c r="M251">
        <v>100</v>
      </c>
      <c r="N251">
        <v>449</v>
      </c>
      <c r="O251" s="2">
        <v>45565</v>
      </c>
      <c r="P251">
        <v>1</v>
      </c>
      <c r="Q251">
        <v>14.81</v>
      </c>
      <c r="R251" t="s">
        <v>1750</v>
      </c>
    </row>
    <row r="252" spans="1:18" x14ac:dyDescent="0.3">
      <c r="A252" t="s">
        <v>2270</v>
      </c>
      <c r="B252" t="s">
        <v>2271</v>
      </c>
      <c r="C252" t="s">
        <v>2174</v>
      </c>
      <c r="D252" t="s">
        <v>2165</v>
      </c>
      <c r="E252" t="s">
        <v>2175</v>
      </c>
      <c r="F252">
        <v>25</v>
      </c>
      <c r="G252" t="s">
        <v>1882</v>
      </c>
      <c r="H252">
        <v>60</v>
      </c>
      <c r="I252" s="3">
        <v>212.87</v>
      </c>
      <c r="J252" s="3">
        <v>299.45999999999998</v>
      </c>
      <c r="K252" t="s">
        <v>138</v>
      </c>
      <c r="L252">
        <v>14</v>
      </c>
      <c r="M252">
        <v>4</v>
      </c>
      <c r="N252">
        <v>521</v>
      </c>
      <c r="O252" s="2">
        <v>45295</v>
      </c>
      <c r="P252">
        <v>1</v>
      </c>
      <c r="Q252">
        <v>15.86</v>
      </c>
      <c r="R252" t="s">
        <v>1750</v>
      </c>
    </row>
    <row r="253" spans="1:18" x14ac:dyDescent="0.3">
      <c r="A253" t="s">
        <v>2272</v>
      </c>
      <c r="B253" t="s">
        <v>2273</v>
      </c>
      <c r="C253" t="s">
        <v>2194</v>
      </c>
      <c r="D253" t="s">
        <v>2165</v>
      </c>
      <c r="E253" t="s">
        <v>2175</v>
      </c>
      <c r="F253">
        <v>25</v>
      </c>
      <c r="G253" t="s">
        <v>1882</v>
      </c>
      <c r="H253">
        <v>60</v>
      </c>
      <c r="I253" s="3">
        <v>185.04</v>
      </c>
      <c r="J253" s="3">
        <v>252.85</v>
      </c>
      <c r="K253" t="s">
        <v>160</v>
      </c>
      <c r="L253">
        <v>16</v>
      </c>
      <c r="M253">
        <v>6</v>
      </c>
      <c r="N253">
        <v>230</v>
      </c>
      <c r="O253" s="2">
        <v>45781</v>
      </c>
      <c r="P253">
        <v>1</v>
      </c>
      <c r="Q253">
        <v>20.420000000000002</v>
      </c>
      <c r="R253" t="s">
        <v>77</v>
      </c>
    </row>
    <row r="254" spans="1:18" x14ac:dyDescent="0.3">
      <c r="A254" t="s">
        <v>2274</v>
      </c>
      <c r="B254" t="s">
        <v>2275</v>
      </c>
      <c r="C254" t="s">
        <v>2174</v>
      </c>
      <c r="D254" t="s">
        <v>2165</v>
      </c>
      <c r="E254" t="s">
        <v>2171</v>
      </c>
      <c r="F254">
        <v>1000</v>
      </c>
      <c r="G254" t="s">
        <v>1882</v>
      </c>
      <c r="H254">
        <v>12</v>
      </c>
      <c r="I254" s="3">
        <v>164.96</v>
      </c>
      <c r="J254" s="3">
        <v>235.61</v>
      </c>
      <c r="K254" t="s">
        <v>104</v>
      </c>
      <c r="L254">
        <v>8</v>
      </c>
      <c r="M254">
        <v>4</v>
      </c>
      <c r="N254">
        <v>309</v>
      </c>
      <c r="O254" s="2">
        <v>45433</v>
      </c>
      <c r="P254">
        <v>1</v>
      </c>
      <c r="Q254">
        <v>5.45</v>
      </c>
      <c r="R254" t="s">
        <v>1741</v>
      </c>
    </row>
    <row r="255" spans="1:18" x14ac:dyDescent="0.3">
      <c r="A255" t="s">
        <v>2276</v>
      </c>
      <c r="B255" t="s">
        <v>2277</v>
      </c>
      <c r="C255" t="s">
        <v>1731</v>
      </c>
      <c r="D255" t="s">
        <v>2165</v>
      </c>
      <c r="E255" t="s">
        <v>2171</v>
      </c>
      <c r="F255">
        <v>1000</v>
      </c>
      <c r="G255" t="s">
        <v>1882</v>
      </c>
      <c r="H255">
        <v>12</v>
      </c>
      <c r="I255" s="3">
        <v>113.85</v>
      </c>
      <c r="J255" s="3">
        <v>151.63999999999999</v>
      </c>
      <c r="K255" t="s">
        <v>104</v>
      </c>
      <c r="L255">
        <v>8</v>
      </c>
      <c r="M255">
        <v>6</v>
      </c>
      <c r="N255">
        <v>189</v>
      </c>
      <c r="O255" s="2">
        <v>45917</v>
      </c>
      <c r="P255">
        <v>1</v>
      </c>
      <c r="Q255">
        <v>32.19</v>
      </c>
      <c r="R255" t="s">
        <v>77</v>
      </c>
    </row>
    <row r="256" spans="1:18" x14ac:dyDescent="0.3">
      <c r="A256" t="s">
        <v>2278</v>
      </c>
      <c r="B256" t="s">
        <v>2279</v>
      </c>
      <c r="C256" t="s">
        <v>2194</v>
      </c>
      <c r="D256" t="s">
        <v>2165</v>
      </c>
      <c r="E256" t="s">
        <v>2180</v>
      </c>
      <c r="F256">
        <v>250</v>
      </c>
      <c r="G256" t="s">
        <v>1882</v>
      </c>
      <c r="H256">
        <v>36</v>
      </c>
      <c r="I256" s="3">
        <v>100.8</v>
      </c>
      <c r="J256" s="3">
        <v>131.85</v>
      </c>
      <c r="K256" t="s">
        <v>162</v>
      </c>
      <c r="L256">
        <v>7</v>
      </c>
      <c r="M256">
        <v>2</v>
      </c>
      <c r="N256">
        <v>536</v>
      </c>
      <c r="O256" s="2">
        <v>45827</v>
      </c>
      <c r="P256">
        <v>1</v>
      </c>
      <c r="Q256">
        <v>56.71</v>
      </c>
      <c r="R256" t="s">
        <v>1774</v>
      </c>
    </row>
    <row r="257" spans="1:18" x14ac:dyDescent="0.3">
      <c r="A257" t="s">
        <v>2280</v>
      </c>
      <c r="B257" t="s">
        <v>2281</v>
      </c>
      <c r="C257" t="s">
        <v>1731</v>
      </c>
      <c r="D257" t="s">
        <v>2165</v>
      </c>
      <c r="E257" t="s">
        <v>2166</v>
      </c>
      <c r="F257">
        <v>500</v>
      </c>
      <c r="G257" t="s">
        <v>1882</v>
      </c>
      <c r="H257">
        <v>36</v>
      </c>
      <c r="I257" s="3">
        <v>65.67</v>
      </c>
      <c r="J257" s="3">
        <v>91.14</v>
      </c>
      <c r="K257" t="s">
        <v>160</v>
      </c>
      <c r="L257">
        <v>16</v>
      </c>
      <c r="M257">
        <v>6</v>
      </c>
      <c r="N257">
        <v>533</v>
      </c>
      <c r="O257" s="2">
        <v>45913</v>
      </c>
      <c r="P257">
        <v>1</v>
      </c>
      <c r="Q257">
        <v>85.38</v>
      </c>
      <c r="R257" t="s">
        <v>1774</v>
      </c>
    </row>
    <row r="258" spans="1:18" x14ac:dyDescent="0.3">
      <c r="A258" t="s">
        <v>2282</v>
      </c>
      <c r="B258" t="s">
        <v>2283</v>
      </c>
      <c r="C258" t="s">
        <v>2194</v>
      </c>
      <c r="D258" t="s">
        <v>2165</v>
      </c>
      <c r="E258" t="s">
        <v>2180</v>
      </c>
      <c r="F258">
        <v>250</v>
      </c>
      <c r="G258" t="s">
        <v>1882</v>
      </c>
      <c r="H258">
        <v>24</v>
      </c>
      <c r="I258" s="3">
        <v>185.43</v>
      </c>
      <c r="J258" s="3">
        <v>248.05</v>
      </c>
      <c r="K258" t="s">
        <v>160</v>
      </c>
      <c r="L258">
        <v>16</v>
      </c>
      <c r="M258">
        <v>24</v>
      </c>
      <c r="N258">
        <v>429</v>
      </c>
      <c r="O258" s="2">
        <v>45896</v>
      </c>
      <c r="P258">
        <v>1</v>
      </c>
      <c r="Q258">
        <v>51.7</v>
      </c>
      <c r="R258" t="s">
        <v>1774</v>
      </c>
    </row>
    <row r="259" spans="1:18" x14ac:dyDescent="0.3">
      <c r="A259" t="s">
        <v>2284</v>
      </c>
      <c r="B259" t="s">
        <v>2285</v>
      </c>
      <c r="C259" t="s">
        <v>2194</v>
      </c>
      <c r="D259" t="s">
        <v>2165</v>
      </c>
      <c r="E259" t="s">
        <v>2175</v>
      </c>
      <c r="F259">
        <v>50</v>
      </c>
      <c r="G259" t="s">
        <v>1882</v>
      </c>
      <c r="H259">
        <v>24</v>
      </c>
      <c r="I259" s="3">
        <v>99.97</v>
      </c>
      <c r="J259" s="3">
        <v>138</v>
      </c>
      <c r="K259" t="s">
        <v>146</v>
      </c>
      <c r="L259">
        <v>15</v>
      </c>
      <c r="M259">
        <v>12</v>
      </c>
      <c r="N259">
        <v>451</v>
      </c>
      <c r="O259" s="2">
        <v>45324</v>
      </c>
      <c r="P259">
        <v>1</v>
      </c>
      <c r="Q259">
        <v>13.28</v>
      </c>
      <c r="R259" t="s">
        <v>1750</v>
      </c>
    </row>
    <row r="260" spans="1:18" x14ac:dyDescent="0.3">
      <c r="A260" t="s">
        <v>2286</v>
      </c>
      <c r="B260" t="s">
        <v>2287</v>
      </c>
      <c r="C260" t="s">
        <v>2194</v>
      </c>
      <c r="D260" t="s">
        <v>2165</v>
      </c>
      <c r="E260" t="s">
        <v>2197</v>
      </c>
      <c r="F260">
        <v>60</v>
      </c>
      <c r="G260" t="s">
        <v>1882</v>
      </c>
      <c r="H260">
        <v>36</v>
      </c>
      <c r="I260" s="3">
        <v>153.83000000000001</v>
      </c>
      <c r="J260" s="3">
        <v>198.89</v>
      </c>
      <c r="K260" t="s">
        <v>162</v>
      </c>
      <c r="L260">
        <v>7</v>
      </c>
      <c r="M260">
        <v>100</v>
      </c>
      <c r="N260">
        <v>331</v>
      </c>
      <c r="O260" s="2">
        <v>45392</v>
      </c>
      <c r="P260">
        <v>1</v>
      </c>
      <c r="Q260">
        <v>2.04</v>
      </c>
      <c r="R260" t="s">
        <v>1741</v>
      </c>
    </row>
    <row r="261" spans="1:18" x14ac:dyDescent="0.3">
      <c r="A261" t="s">
        <v>2288</v>
      </c>
      <c r="B261" t="s">
        <v>2289</v>
      </c>
      <c r="C261" t="s">
        <v>2194</v>
      </c>
      <c r="D261" t="s">
        <v>2165</v>
      </c>
      <c r="E261" t="s">
        <v>2180</v>
      </c>
      <c r="F261">
        <v>500</v>
      </c>
      <c r="G261" t="s">
        <v>1882</v>
      </c>
      <c r="H261">
        <v>24</v>
      </c>
      <c r="I261" s="3">
        <v>134.83000000000001</v>
      </c>
      <c r="J261" s="3">
        <v>177.08</v>
      </c>
      <c r="K261" t="s">
        <v>191</v>
      </c>
      <c r="L261">
        <v>8</v>
      </c>
      <c r="M261">
        <v>24</v>
      </c>
      <c r="N261">
        <v>220</v>
      </c>
      <c r="O261" s="2">
        <v>45464</v>
      </c>
      <c r="P261">
        <v>1</v>
      </c>
      <c r="Q261">
        <v>56.95</v>
      </c>
      <c r="R261" t="s">
        <v>1774</v>
      </c>
    </row>
    <row r="262" spans="1:18" x14ac:dyDescent="0.3">
      <c r="A262" t="s">
        <v>2290</v>
      </c>
      <c r="B262" t="s">
        <v>2291</v>
      </c>
      <c r="C262" t="s">
        <v>2174</v>
      </c>
      <c r="D262" t="s">
        <v>2165</v>
      </c>
      <c r="E262" t="s">
        <v>2175</v>
      </c>
      <c r="F262">
        <v>25</v>
      </c>
      <c r="G262" t="s">
        <v>1882</v>
      </c>
      <c r="H262">
        <v>24</v>
      </c>
      <c r="I262" s="3">
        <v>45.71</v>
      </c>
      <c r="J262" s="3">
        <v>64.87</v>
      </c>
      <c r="K262" t="s">
        <v>182</v>
      </c>
      <c r="L262">
        <v>10</v>
      </c>
      <c r="M262">
        <v>48</v>
      </c>
      <c r="N262">
        <v>280</v>
      </c>
      <c r="O262" s="2">
        <v>45600</v>
      </c>
      <c r="P262">
        <v>1</v>
      </c>
      <c r="Q262">
        <v>22.22</v>
      </c>
      <c r="R262" t="s">
        <v>1750</v>
      </c>
    </row>
    <row r="263" spans="1:18" x14ac:dyDescent="0.3">
      <c r="A263" t="s">
        <v>2292</v>
      </c>
      <c r="B263" t="s">
        <v>2293</v>
      </c>
      <c r="C263" t="s">
        <v>2174</v>
      </c>
      <c r="D263" t="s">
        <v>2165</v>
      </c>
      <c r="E263" t="s">
        <v>2171</v>
      </c>
      <c r="F263">
        <v>250</v>
      </c>
      <c r="G263" t="s">
        <v>1882</v>
      </c>
      <c r="H263">
        <v>24</v>
      </c>
      <c r="I263" s="3">
        <v>65.5</v>
      </c>
      <c r="J263" s="3">
        <v>85.94</v>
      </c>
      <c r="K263" t="s">
        <v>164</v>
      </c>
      <c r="L263">
        <v>13</v>
      </c>
      <c r="M263">
        <v>6</v>
      </c>
      <c r="N263">
        <v>223</v>
      </c>
      <c r="O263" s="2">
        <v>45715</v>
      </c>
      <c r="P263">
        <v>1</v>
      </c>
      <c r="Q263">
        <v>5.33</v>
      </c>
      <c r="R263" t="s">
        <v>1741</v>
      </c>
    </row>
    <row r="264" spans="1:18" x14ac:dyDescent="0.3">
      <c r="A264" t="s">
        <v>2294</v>
      </c>
      <c r="B264" t="s">
        <v>2295</v>
      </c>
      <c r="C264" t="s">
        <v>2194</v>
      </c>
      <c r="D264" t="s">
        <v>2165</v>
      </c>
      <c r="E264" t="s">
        <v>2175</v>
      </c>
      <c r="F264">
        <v>100</v>
      </c>
      <c r="G264" t="s">
        <v>1882</v>
      </c>
      <c r="H264">
        <v>36</v>
      </c>
      <c r="I264" s="3">
        <v>147.1</v>
      </c>
      <c r="J264" s="3">
        <v>204.6</v>
      </c>
      <c r="K264" t="s">
        <v>176</v>
      </c>
      <c r="L264">
        <v>7</v>
      </c>
      <c r="M264">
        <v>100</v>
      </c>
      <c r="N264">
        <v>426</v>
      </c>
      <c r="O264" s="2">
        <v>45500</v>
      </c>
      <c r="P264">
        <v>1</v>
      </c>
      <c r="Q264">
        <v>19.170000000000002</v>
      </c>
      <c r="R264" t="s">
        <v>1750</v>
      </c>
    </row>
    <row r="265" spans="1:18" x14ac:dyDescent="0.3">
      <c r="A265" t="s">
        <v>2296</v>
      </c>
      <c r="B265" t="s">
        <v>2297</v>
      </c>
      <c r="C265" t="s">
        <v>2174</v>
      </c>
      <c r="D265" t="s">
        <v>2165</v>
      </c>
      <c r="E265" t="s">
        <v>2171</v>
      </c>
      <c r="F265">
        <v>500</v>
      </c>
      <c r="G265" t="s">
        <v>1882</v>
      </c>
      <c r="H265">
        <v>12</v>
      </c>
      <c r="I265" s="3">
        <v>214.59</v>
      </c>
      <c r="J265" s="3">
        <v>284.3</v>
      </c>
      <c r="K265" t="s">
        <v>196</v>
      </c>
      <c r="L265">
        <v>25</v>
      </c>
      <c r="M265">
        <v>100</v>
      </c>
      <c r="N265">
        <v>263</v>
      </c>
      <c r="O265" s="2">
        <v>45887</v>
      </c>
      <c r="P265">
        <v>1</v>
      </c>
      <c r="Q265">
        <v>46.7</v>
      </c>
      <c r="R265" t="s">
        <v>1774</v>
      </c>
    </row>
    <row r="266" spans="1:18" x14ac:dyDescent="0.3">
      <c r="A266" t="s">
        <v>2298</v>
      </c>
      <c r="B266" t="s">
        <v>2299</v>
      </c>
      <c r="C266" t="s">
        <v>2174</v>
      </c>
      <c r="D266" t="s">
        <v>2165</v>
      </c>
      <c r="E266" t="s">
        <v>2171</v>
      </c>
      <c r="F266">
        <v>250</v>
      </c>
      <c r="G266" t="s">
        <v>1882</v>
      </c>
      <c r="H266">
        <v>36</v>
      </c>
      <c r="I266" s="3">
        <v>47.7</v>
      </c>
      <c r="J266" s="3">
        <v>62.68</v>
      </c>
      <c r="K266" t="s">
        <v>162</v>
      </c>
      <c r="L266">
        <v>7</v>
      </c>
      <c r="M266">
        <v>4</v>
      </c>
      <c r="N266">
        <v>363</v>
      </c>
      <c r="O266" s="2">
        <v>45829</v>
      </c>
      <c r="P266">
        <v>1</v>
      </c>
      <c r="Q266">
        <v>8.18</v>
      </c>
      <c r="R266" t="s">
        <v>1750</v>
      </c>
    </row>
    <row r="267" spans="1:18" x14ac:dyDescent="0.3">
      <c r="A267" t="s">
        <v>2300</v>
      </c>
      <c r="B267" t="s">
        <v>2301</v>
      </c>
      <c r="C267" t="s">
        <v>1731</v>
      </c>
      <c r="D267" t="s">
        <v>2165</v>
      </c>
      <c r="E267" t="s">
        <v>2197</v>
      </c>
      <c r="F267">
        <v>480</v>
      </c>
      <c r="G267" t="s">
        <v>1882</v>
      </c>
      <c r="H267">
        <v>24</v>
      </c>
      <c r="I267" s="3">
        <v>136.56</v>
      </c>
      <c r="J267" s="3">
        <v>191.39</v>
      </c>
      <c r="K267" t="s">
        <v>140</v>
      </c>
      <c r="L267">
        <v>10</v>
      </c>
      <c r="M267">
        <v>12</v>
      </c>
      <c r="N267">
        <v>375</v>
      </c>
      <c r="O267" s="2">
        <v>45425</v>
      </c>
      <c r="P267">
        <v>1</v>
      </c>
      <c r="Q267">
        <v>6.55</v>
      </c>
      <c r="R267" t="s">
        <v>1741</v>
      </c>
    </row>
    <row r="268" spans="1:18" x14ac:dyDescent="0.3">
      <c r="A268" t="s">
        <v>2302</v>
      </c>
      <c r="B268" t="s">
        <v>2303</v>
      </c>
      <c r="C268" t="s">
        <v>2174</v>
      </c>
      <c r="D268" t="s">
        <v>2165</v>
      </c>
      <c r="E268" t="s">
        <v>2180</v>
      </c>
      <c r="F268">
        <v>250</v>
      </c>
      <c r="G268" t="s">
        <v>1882</v>
      </c>
      <c r="H268">
        <v>24</v>
      </c>
      <c r="I268" s="3">
        <v>151.16</v>
      </c>
      <c r="J268" s="3">
        <v>210.45</v>
      </c>
      <c r="K268" t="s">
        <v>104</v>
      </c>
      <c r="L268">
        <v>8</v>
      </c>
      <c r="M268">
        <v>2</v>
      </c>
      <c r="N268">
        <v>249</v>
      </c>
      <c r="O268" s="2">
        <v>45564</v>
      </c>
      <c r="P268">
        <v>1</v>
      </c>
      <c r="Q268">
        <v>1.07</v>
      </c>
      <c r="R268" t="s">
        <v>1741</v>
      </c>
    </row>
    <row r="269" spans="1:18" x14ac:dyDescent="0.3">
      <c r="A269" t="s">
        <v>2304</v>
      </c>
      <c r="B269" t="s">
        <v>2305</v>
      </c>
      <c r="C269" t="s">
        <v>2194</v>
      </c>
      <c r="D269" t="s">
        <v>2165</v>
      </c>
      <c r="E269" t="s">
        <v>2197</v>
      </c>
      <c r="F269">
        <v>480</v>
      </c>
      <c r="G269" t="s">
        <v>1882</v>
      </c>
      <c r="H269">
        <v>12</v>
      </c>
      <c r="I269" s="3">
        <v>89.06</v>
      </c>
      <c r="J269" s="3">
        <v>126.17</v>
      </c>
      <c r="K269" t="s">
        <v>125</v>
      </c>
      <c r="L269">
        <v>23</v>
      </c>
      <c r="M269">
        <v>12</v>
      </c>
      <c r="N269">
        <v>518</v>
      </c>
      <c r="O269" s="2">
        <v>45644</v>
      </c>
      <c r="P269">
        <v>1</v>
      </c>
      <c r="Q269">
        <v>7.21</v>
      </c>
      <c r="R269" t="s">
        <v>1741</v>
      </c>
    </row>
    <row r="270" spans="1:18" x14ac:dyDescent="0.3">
      <c r="A270" t="s">
        <v>2306</v>
      </c>
      <c r="B270" t="s">
        <v>2307</v>
      </c>
      <c r="C270" t="s">
        <v>1731</v>
      </c>
      <c r="D270" t="s">
        <v>2308</v>
      </c>
      <c r="E270" t="s">
        <v>2309</v>
      </c>
      <c r="F270">
        <v>200</v>
      </c>
      <c r="G270" t="s">
        <v>2310</v>
      </c>
      <c r="H270">
        <v>36</v>
      </c>
      <c r="I270" s="3">
        <v>292.27999999999997</v>
      </c>
      <c r="J270" s="3">
        <v>391.12</v>
      </c>
      <c r="K270" t="s">
        <v>191</v>
      </c>
      <c r="L270">
        <v>8</v>
      </c>
      <c r="M270">
        <v>4</v>
      </c>
      <c r="N270">
        <v>499</v>
      </c>
      <c r="O270" s="2">
        <v>45755</v>
      </c>
      <c r="P270">
        <v>1</v>
      </c>
      <c r="Q270">
        <v>37.909999999999997</v>
      </c>
      <c r="R270" t="s">
        <v>77</v>
      </c>
    </row>
    <row r="271" spans="1:18" x14ac:dyDescent="0.3">
      <c r="A271" t="s">
        <v>2311</v>
      </c>
      <c r="B271" t="s">
        <v>2312</v>
      </c>
      <c r="C271" t="s">
        <v>2313</v>
      </c>
      <c r="D271" t="s">
        <v>2308</v>
      </c>
      <c r="E271" t="s">
        <v>2309</v>
      </c>
      <c r="F271">
        <v>400</v>
      </c>
      <c r="G271" t="s">
        <v>2310</v>
      </c>
      <c r="H271">
        <v>24</v>
      </c>
      <c r="I271" s="3">
        <v>131.38999999999999</v>
      </c>
      <c r="J271" s="3">
        <v>179.73</v>
      </c>
      <c r="K271" t="s">
        <v>178</v>
      </c>
      <c r="L271">
        <v>12</v>
      </c>
      <c r="M271">
        <v>1</v>
      </c>
      <c r="N271">
        <v>1002</v>
      </c>
      <c r="O271" s="2">
        <v>45648</v>
      </c>
      <c r="P271">
        <v>1</v>
      </c>
      <c r="Q271">
        <v>10.94</v>
      </c>
      <c r="R271" t="s">
        <v>1750</v>
      </c>
    </row>
    <row r="272" spans="1:18" x14ac:dyDescent="0.3">
      <c r="A272" t="s">
        <v>2314</v>
      </c>
      <c r="B272" t="s">
        <v>2315</v>
      </c>
      <c r="C272" t="s">
        <v>2313</v>
      </c>
      <c r="D272" t="s">
        <v>2308</v>
      </c>
      <c r="E272" t="s">
        <v>2316</v>
      </c>
      <c r="F272">
        <v>200</v>
      </c>
      <c r="G272" t="s">
        <v>2310</v>
      </c>
      <c r="H272">
        <v>36</v>
      </c>
      <c r="I272" s="3">
        <v>237.13</v>
      </c>
      <c r="J272" s="3">
        <v>355.38</v>
      </c>
      <c r="K272" t="s">
        <v>178</v>
      </c>
      <c r="L272">
        <v>12</v>
      </c>
      <c r="M272">
        <v>4</v>
      </c>
      <c r="N272">
        <v>694</v>
      </c>
      <c r="O272" s="2">
        <v>45931</v>
      </c>
      <c r="P272">
        <v>1</v>
      </c>
      <c r="Q272">
        <v>4.95</v>
      </c>
      <c r="R272" t="s">
        <v>1741</v>
      </c>
    </row>
    <row r="273" spans="1:18" x14ac:dyDescent="0.3">
      <c r="A273" t="s">
        <v>2317</v>
      </c>
      <c r="B273" t="s">
        <v>2318</v>
      </c>
      <c r="C273" t="s">
        <v>2313</v>
      </c>
      <c r="D273" t="s">
        <v>2308</v>
      </c>
      <c r="E273" t="s">
        <v>2309</v>
      </c>
      <c r="F273">
        <v>50</v>
      </c>
      <c r="G273" t="s">
        <v>2310</v>
      </c>
      <c r="H273">
        <v>36</v>
      </c>
      <c r="I273" s="3">
        <v>404.69</v>
      </c>
      <c r="J273" s="3">
        <v>582.39</v>
      </c>
      <c r="K273" t="s">
        <v>142</v>
      </c>
      <c r="L273">
        <v>9</v>
      </c>
      <c r="M273">
        <v>12</v>
      </c>
      <c r="N273">
        <v>533</v>
      </c>
      <c r="O273" s="2">
        <v>45563</v>
      </c>
      <c r="P273">
        <v>1</v>
      </c>
      <c r="Q273">
        <v>1.45</v>
      </c>
      <c r="R273" t="s">
        <v>1741</v>
      </c>
    </row>
    <row r="274" spans="1:18" x14ac:dyDescent="0.3">
      <c r="A274" t="s">
        <v>2319</v>
      </c>
      <c r="B274" t="s">
        <v>2320</v>
      </c>
      <c r="C274" t="s">
        <v>1731</v>
      </c>
      <c r="D274" t="s">
        <v>2308</v>
      </c>
      <c r="E274" t="s">
        <v>2321</v>
      </c>
      <c r="F274">
        <v>150</v>
      </c>
      <c r="G274" t="s">
        <v>2310</v>
      </c>
      <c r="H274">
        <v>12</v>
      </c>
      <c r="I274" s="3">
        <v>338.12</v>
      </c>
      <c r="J274" s="3">
        <v>518.63</v>
      </c>
      <c r="K274" t="s">
        <v>164</v>
      </c>
      <c r="L274">
        <v>13</v>
      </c>
      <c r="M274">
        <v>48</v>
      </c>
      <c r="N274">
        <v>1082</v>
      </c>
      <c r="O274" s="2">
        <v>45789</v>
      </c>
      <c r="P274">
        <v>1</v>
      </c>
      <c r="Q274">
        <v>22.94</v>
      </c>
      <c r="R274" t="s">
        <v>77</v>
      </c>
    </row>
    <row r="275" spans="1:18" x14ac:dyDescent="0.3">
      <c r="A275" t="s">
        <v>2322</v>
      </c>
      <c r="B275" t="s">
        <v>2323</v>
      </c>
      <c r="C275" t="s">
        <v>2324</v>
      </c>
      <c r="D275" t="s">
        <v>2308</v>
      </c>
      <c r="E275" t="s">
        <v>2309</v>
      </c>
      <c r="F275">
        <v>100</v>
      </c>
      <c r="G275" t="s">
        <v>2310</v>
      </c>
      <c r="H275">
        <v>36</v>
      </c>
      <c r="I275" s="3">
        <v>285.76</v>
      </c>
      <c r="J275" s="3">
        <v>394.59</v>
      </c>
      <c r="K275" t="s">
        <v>119</v>
      </c>
      <c r="L275">
        <v>12</v>
      </c>
      <c r="M275">
        <v>1</v>
      </c>
      <c r="N275">
        <v>950</v>
      </c>
      <c r="O275" s="2">
        <v>45398</v>
      </c>
      <c r="P275">
        <v>1</v>
      </c>
      <c r="Q275">
        <v>3.87</v>
      </c>
      <c r="R275" t="s">
        <v>1741</v>
      </c>
    </row>
    <row r="276" spans="1:18" x14ac:dyDescent="0.3">
      <c r="A276" t="s">
        <v>2325</v>
      </c>
      <c r="B276" t="s">
        <v>2326</v>
      </c>
      <c r="C276" t="s">
        <v>2324</v>
      </c>
      <c r="D276" t="s">
        <v>2308</v>
      </c>
      <c r="E276" t="s">
        <v>2327</v>
      </c>
      <c r="F276">
        <v>125</v>
      </c>
      <c r="G276" t="s">
        <v>2310</v>
      </c>
      <c r="H276">
        <v>12</v>
      </c>
      <c r="I276" s="3">
        <v>203.07</v>
      </c>
      <c r="J276" s="3">
        <v>276.62</v>
      </c>
      <c r="K276" t="s">
        <v>142</v>
      </c>
      <c r="L276">
        <v>9</v>
      </c>
      <c r="M276">
        <v>12</v>
      </c>
      <c r="N276">
        <v>752</v>
      </c>
      <c r="O276" s="2">
        <v>45328</v>
      </c>
      <c r="P276">
        <v>1</v>
      </c>
      <c r="Q276">
        <v>1.23</v>
      </c>
      <c r="R276" t="s">
        <v>1741</v>
      </c>
    </row>
    <row r="277" spans="1:18" x14ac:dyDescent="0.3">
      <c r="A277" t="s">
        <v>2328</v>
      </c>
      <c r="B277" t="s">
        <v>2329</v>
      </c>
      <c r="C277" t="s">
        <v>2313</v>
      </c>
      <c r="D277" t="s">
        <v>2308</v>
      </c>
      <c r="E277" t="s">
        <v>2327</v>
      </c>
      <c r="F277">
        <v>100</v>
      </c>
      <c r="G277" t="s">
        <v>2310</v>
      </c>
      <c r="H277">
        <v>60</v>
      </c>
      <c r="I277" s="3">
        <v>252.15</v>
      </c>
      <c r="J277" s="3">
        <v>344.21</v>
      </c>
      <c r="K277" t="s">
        <v>113</v>
      </c>
      <c r="L277">
        <v>17</v>
      </c>
      <c r="M277">
        <v>6</v>
      </c>
      <c r="N277">
        <v>940</v>
      </c>
      <c r="O277" s="2">
        <v>45490</v>
      </c>
      <c r="P277">
        <v>1</v>
      </c>
      <c r="Q277">
        <v>5.65</v>
      </c>
      <c r="R277" t="s">
        <v>1750</v>
      </c>
    </row>
    <row r="278" spans="1:18" x14ac:dyDescent="0.3">
      <c r="A278" t="s">
        <v>2330</v>
      </c>
      <c r="B278" t="s">
        <v>2331</v>
      </c>
      <c r="C278" t="s">
        <v>2324</v>
      </c>
      <c r="D278" t="s">
        <v>2308</v>
      </c>
      <c r="E278" t="s">
        <v>2327</v>
      </c>
      <c r="F278">
        <v>150</v>
      </c>
      <c r="G278" t="s">
        <v>2310</v>
      </c>
      <c r="H278">
        <v>36</v>
      </c>
      <c r="I278" s="3">
        <v>356.22</v>
      </c>
      <c r="J278" s="3">
        <v>522.54</v>
      </c>
      <c r="K278" t="s">
        <v>160</v>
      </c>
      <c r="L278">
        <v>16</v>
      </c>
      <c r="M278">
        <v>12</v>
      </c>
      <c r="N278">
        <v>1095</v>
      </c>
      <c r="O278" s="2">
        <v>45619</v>
      </c>
      <c r="P278">
        <v>1</v>
      </c>
      <c r="Q278">
        <v>6.34</v>
      </c>
      <c r="R278" t="s">
        <v>1750</v>
      </c>
    </row>
    <row r="279" spans="1:18" x14ac:dyDescent="0.3">
      <c r="A279" t="s">
        <v>2332</v>
      </c>
      <c r="B279" t="s">
        <v>2333</v>
      </c>
      <c r="C279" t="s">
        <v>2313</v>
      </c>
      <c r="D279" t="s">
        <v>2308</v>
      </c>
      <c r="E279" t="s">
        <v>2316</v>
      </c>
      <c r="F279">
        <v>700</v>
      </c>
      <c r="G279" t="s">
        <v>2310</v>
      </c>
      <c r="H279">
        <v>6</v>
      </c>
      <c r="I279" s="3">
        <v>104.14</v>
      </c>
      <c r="J279" s="3">
        <v>141.22</v>
      </c>
      <c r="K279" t="s">
        <v>162</v>
      </c>
      <c r="L279">
        <v>7</v>
      </c>
      <c r="M279">
        <v>12</v>
      </c>
      <c r="N279">
        <v>1002</v>
      </c>
      <c r="O279" s="2">
        <v>45685</v>
      </c>
      <c r="P279">
        <v>1</v>
      </c>
      <c r="Q279">
        <v>25.87</v>
      </c>
      <c r="R279" t="s">
        <v>77</v>
      </c>
    </row>
    <row r="280" spans="1:18" x14ac:dyDescent="0.3">
      <c r="A280" t="s">
        <v>2334</v>
      </c>
      <c r="B280" t="s">
        <v>2335</v>
      </c>
      <c r="C280" t="s">
        <v>2336</v>
      </c>
      <c r="D280" t="s">
        <v>2308</v>
      </c>
      <c r="E280" t="s">
        <v>2327</v>
      </c>
      <c r="F280">
        <v>150</v>
      </c>
      <c r="G280" t="s">
        <v>2310</v>
      </c>
      <c r="H280">
        <v>36</v>
      </c>
      <c r="I280" s="3">
        <v>179.19</v>
      </c>
      <c r="J280" s="3">
        <v>260.39</v>
      </c>
      <c r="K280" t="s">
        <v>131</v>
      </c>
      <c r="L280">
        <v>11</v>
      </c>
      <c r="M280">
        <v>12</v>
      </c>
      <c r="N280">
        <v>783</v>
      </c>
      <c r="O280" s="2">
        <v>45394</v>
      </c>
      <c r="P280">
        <v>1</v>
      </c>
      <c r="Q280">
        <v>34.729999999999997</v>
      </c>
      <c r="R280" t="s">
        <v>77</v>
      </c>
    </row>
    <row r="281" spans="1:18" x14ac:dyDescent="0.3">
      <c r="A281" t="s">
        <v>2337</v>
      </c>
      <c r="B281" t="s">
        <v>2338</v>
      </c>
      <c r="C281" t="s">
        <v>2336</v>
      </c>
      <c r="D281" t="s">
        <v>2308</v>
      </c>
      <c r="E281" t="s">
        <v>2327</v>
      </c>
      <c r="F281">
        <v>100</v>
      </c>
      <c r="G281" t="s">
        <v>2310</v>
      </c>
      <c r="H281">
        <v>60</v>
      </c>
      <c r="I281" s="3">
        <v>379.47</v>
      </c>
      <c r="J281" s="3">
        <v>573.17999999999995</v>
      </c>
      <c r="K281" t="s">
        <v>121</v>
      </c>
      <c r="L281">
        <v>15</v>
      </c>
      <c r="M281">
        <v>48</v>
      </c>
      <c r="N281">
        <v>738</v>
      </c>
      <c r="O281" s="2">
        <v>45732</v>
      </c>
      <c r="P281">
        <v>1</v>
      </c>
      <c r="Q281">
        <v>22.56</v>
      </c>
      <c r="R281" t="s">
        <v>77</v>
      </c>
    </row>
    <row r="282" spans="1:18" x14ac:dyDescent="0.3">
      <c r="A282" t="s">
        <v>2339</v>
      </c>
      <c r="B282" t="s">
        <v>2340</v>
      </c>
      <c r="C282" t="s">
        <v>1731</v>
      </c>
      <c r="D282" t="s">
        <v>2308</v>
      </c>
      <c r="E282" t="s">
        <v>2327</v>
      </c>
      <c r="F282">
        <v>100</v>
      </c>
      <c r="G282" t="s">
        <v>2310</v>
      </c>
      <c r="H282">
        <v>24</v>
      </c>
      <c r="I282" s="3">
        <v>259.87</v>
      </c>
      <c r="J282" s="3">
        <v>376.95</v>
      </c>
      <c r="K282" t="s">
        <v>156</v>
      </c>
      <c r="L282">
        <v>8</v>
      </c>
      <c r="M282">
        <v>48</v>
      </c>
      <c r="N282">
        <v>575</v>
      </c>
      <c r="O282" s="2">
        <v>45459</v>
      </c>
      <c r="P282">
        <v>1</v>
      </c>
      <c r="Q282">
        <v>9.1</v>
      </c>
      <c r="R282" t="s">
        <v>1750</v>
      </c>
    </row>
    <row r="283" spans="1:18" x14ac:dyDescent="0.3">
      <c r="A283" t="s">
        <v>2341</v>
      </c>
      <c r="B283" t="s">
        <v>2342</v>
      </c>
      <c r="C283" t="s">
        <v>2324</v>
      </c>
      <c r="D283" t="s">
        <v>2308</v>
      </c>
      <c r="E283" t="s">
        <v>2309</v>
      </c>
      <c r="F283">
        <v>400</v>
      </c>
      <c r="G283" t="s">
        <v>2310</v>
      </c>
      <c r="H283">
        <v>24</v>
      </c>
      <c r="I283" s="3">
        <v>146.84</v>
      </c>
      <c r="J283" s="3">
        <v>225.09</v>
      </c>
      <c r="K283" t="s">
        <v>142</v>
      </c>
      <c r="L283">
        <v>9</v>
      </c>
      <c r="M283">
        <v>4</v>
      </c>
      <c r="N283">
        <v>484</v>
      </c>
      <c r="O283" s="2">
        <v>45327</v>
      </c>
      <c r="P283">
        <v>1</v>
      </c>
      <c r="Q283">
        <v>12.41</v>
      </c>
      <c r="R283" t="s">
        <v>1750</v>
      </c>
    </row>
    <row r="284" spans="1:18" x14ac:dyDescent="0.3">
      <c r="A284" t="s">
        <v>2343</v>
      </c>
      <c r="B284" t="s">
        <v>2344</v>
      </c>
      <c r="C284" t="s">
        <v>1731</v>
      </c>
      <c r="D284" t="s">
        <v>2308</v>
      </c>
      <c r="E284" t="s">
        <v>2316</v>
      </c>
      <c r="F284">
        <v>400</v>
      </c>
      <c r="G284" t="s">
        <v>2310</v>
      </c>
      <c r="H284">
        <v>36</v>
      </c>
      <c r="I284" s="3">
        <v>307.97000000000003</v>
      </c>
      <c r="J284" s="3">
        <v>453.77</v>
      </c>
      <c r="K284" t="s">
        <v>138</v>
      </c>
      <c r="L284">
        <v>14</v>
      </c>
      <c r="M284">
        <v>24</v>
      </c>
      <c r="N284">
        <v>596</v>
      </c>
      <c r="O284" s="2">
        <v>45621</v>
      </c>
      <c r="P284">
        <v>1</v>
      </c>
      <c r="Q284">
        <v>5.51</v>
      </c>
      <c r="R284" t="s">
        <v>1750</v>
      </c>
    </row>
    <row r="285" spans="1:18" x14ac:dyDescent="0.3">
      <c r="A285" t="s">
        <v>2345</v>
      </c>
      <c r="B285" t="s">
        <v>2346</v>
      </c>
      <c r="C285" t="s">
        <v>2336</v>
      </c>
      <c r="D285" t="s">
        <v>2308</v>
      </c>
      <c r="E285" t="s">
        <v>2309</v>
      </c>
      <c r="F285">
        <v>200</v>
      </c>
      <c r="G285" t="s">
        <v>2310</v>
      </c>
      <c r="H285">
        <v>36</v>
      </c>
      <c r="I285" s="3">
        <v>236.75</v>
      </c>
      <c r="J285" s="3">
        <v>343.35</v>
      </c>
      <c r="K285" t="s">
        <v>172</v>
      </c>
      <c r="L285">
        <v>12</v>
      </c>
      <c r="M285">
        <v>12</v>
      </c>
      <c r="N285">
        <v>675</v>
      </c>
      <c r="O285" s="2">
        <v>45955</v>
      </c>
      <c r="P285">
        <v>1</v>
      </c>
      <c r="Q285">
        <v>31.97</v>
      </c>
      <c r="R285" t="s">
        <v>77</v>
      </c>
    </row>
    <row r="286" spans="1:18" x14ac:dyDescent="0.3">
      <c r="A286" t="s">
        <v>2347</v>
      </c>
      <c r="B286" t="s">
        <v>2348</v>
      </c>
      <c r="C286" t="s">
        <v>1731</v>
      </c>
      <c r="D286" t="s">
        <v>2308</v>
      </c>
      <c r="E286" t="s">
        <v>2309</v>
      </c>
      <c r="F286">
        <v>50</v>
      </c>
      <c r="G286" t="s">
        <v>2310</v>
      </c>
      <c r="H286">
        <v>60</v>
      </c>
      <c r="I286" s="3">
        <v>182.03</v>
      </c>
      <c r="J286" s="3">
        <v>246.42</v>
      </c>
      <c r="K286" t="s">
        <v>115</v>
      </c>
      <c r="L286">
        <v>15</v>
      </c>
      <c r="M286">
        <v>1</v>
      </c>
      <c r="N286">
        <v>695</v>
      </c>
      <c r="O286" s="2">
        <v>45360</v>
      </c>
      <c r="P286">
        <v>1</v>
      </c>
      <c r="Q286">
        <v>3.68</v>
      </c>
      <c r="R286" t="s">
        <v>1741</v>
      </c>
    </row>
    <row r="287" spans="1:18" x14ac:dyDescent="0.3">
      <c r="A287" t="s">
        <v>2349</v>
      </c>
      <c r="B287" t="s">
        <v>2350</v>
      </c>
      <c r="C287" t="s">
        <v>2336</v>
      </c>
      <c r="D287" t="s">
        <v>2308</v>
      </c>
      <c r="E287" t="s">
        <v>2316</v>
      </c>
      <c r="F287">
        <v>400</v>
      </c>
      <c r="G287" t="s">
        <v>2310</v>
      </c>
      <c r="H287">
        <v>24</v>
      </c>
      <c r="I287" s="3">
        <v>286.04000000000002</v>
      </c>
      <c r="J287" s="3">
        <v>417.87</v>
      </c>
      <c r="K287" t="s">
        <v>138</v>
      </c>
      <c r="L287">
        <v>14</v>
      </c>
      <c r="M287">
        <v>48</v>
      </c>
      <c r="N287">
        <v>858</v>
      </c>
      <c r="O287" s="2">
        <v>45724</v>
      </c>
      <c r="P287">
        <v>1</v>
      </c>
      <c r="Q287">
        <v>15.32</v>
      </c>
      <c r="R287" t="s">
        <v>1750</v>
      </c>
    </row>
    <row r="288" spans="1:18" x14ac:dyDescent="0.3">
      <c r="A288" t="s">
        <v>2351</v>
      </c>
      <c r="B288" t="s">
        <v>2352</v>
      </c>
      <c r="C288" t="s">
        <v>2313</v>
      </c>
      <c r="D288" t="s">
        <v>2308</v>
      </c>
      <c r="E288" t="s">
        <v>2321</v>
      </c>
      <c r="F288">
        <v>50</v>
      </c>
      <c r="G288" t="s">
        <v>2310</v>
      </c>
      <c r="H288">
        <v>60</v>
      </c>
      <c r="I288" s="3">
        <v>168.95</v>
      </c>
      <c r="J288" s="3">
        <v>253.05</v>
      </c>
      <c r="K288" t="s">
        <v>119</v>
      </c>
      <c r="L288">
        <v>12</v>
      </c>
      <c r="M288">
        <v>100</v>
      </c>
      <c r="N288">
        <v>972</v>
      </c>
      <c r="O288" s="2">
        <v>45485</v>
      </c>
      <c r="P288">
        <v>1</v>
      </c>
      <c r="Q288">
        <v>26.6</v>
      </c>
      <c r="R288" t="s">
        <v>77</v>
      </c>
    </row>
    <row r="289" spans="1:18" x14ac:dyDescent="0.3">
      <c r="A289" t="s">
        <v>2353</v>
      </c>
      <c r="B289" t="s">
        <v>2354</v>
      </c>
      <c r="C289" t="s">
        <v>2324</v>
      </c>
      <c r="D289" t="s">
        <v>2308</v>
      </c>
      <c r="E289" t="s">
        <v>2327</v>
      </c>
      <c r="F289">
        <v>100</v>
      </c>
      <c r="G289" t="s">
        <v>2310</v>
      </c>
      <c r="H289">
        <v>24</v>
      </c>
      <c r="I289" s="3">
        <v>405.99</v>
      </c>
      <c r="J289" s="3">
        <v>593.35</v>
      </c>
      <c r="K289" t="s">
        <v>133</v>
      </c>
      <c r="L289">
        <v>15</v>
      </c>
      <c r="M289">
        <v>24</v>
      </c>
      <c r="N289">
        <v>698</v>
      </c>
      <c r="O289" s="2">
        <v>45581</v>
      </c>
      <c r="P289">
        <v>1</v>
      </c>
      <c r="Q289">
        <v>4.32</v>
      </c>
      <c r="R289" t="s">
        <v>1750</v>
      </c>
    </row>
    <row r="290" spans="1:18" x14ac:dyDescent="0.3">
      <c r="A290" t="s">
        <v>2355</v>
      </c>
      <c r="B290" t="s">
        <v>2356</v>
      </c>
      <c r="C290" t="s">
        <v>2336</v>
      </c>
      <c r="D290" t="s">
        <v>2308</v>
      </c>
      <c r="E290" t="s">
        <v>2316</v>
      </c>
      <c r="F290">
        <v>400</v>
      </c>
      <c r="G290" t="s">
        <v>2310</v>
      </c>
      <c r="H290">
        <v>36</v>
      </c>
      <c r="I290" s="3">
        <v>144.63999999999999</v>
      </c>
      <c r="J290" s="3">
        <v>205.47</v>
      </c>
      <c r="K290" t="s">
        <v>194</v>
      </c>
      <c r="L290">
        <v>14</v>
      </c>
      <c r="M290">
        <v>100</v>
      </c>
      <c r="N290">
        <v>1054</v>
      </c>
      <c r="O290" s="2">
        <v>45392</v>
      </c>
      <c r="P290">
        <v>1</v>
      </c>
      <c r="Q290">
        <v>22.87</v>
      </c>
      <c r="R290" t="s">
        <v>77</v>
      </c>
    </row>
    <row r="291" spans="1:18" x14ac:dyDescent="0.3">
      <c r="A291" t="s">
        <v>2357</v>
      </c>
      <c r="B291" t="s">
        <v>2358</v>
      </c>
      <c r="C291" t="s">
        <v>1731</v>
      </c>
      <c r="D291" t="s">
        <v>2308</v>
      </c>
      <c r="E291" t="s">
        <v>2316</v>
      </c>
      <c r="F291">
        <v>100</v>
      </c>
      <c r="G291" t="s">
        <v>2310</v>
      </c>
      <c r="H291">
        <v>36</v>
      </c>
      <c r="I291" s="3">
        <v>346.01</v>
      </c>
      <c r="J291" s="3">
        <v>530.61</v>
      </c>
      <c r="K291" t="s">
        <v>150</v>
      </c>
      <c r="L291">
        <v>11</v>
      </c>
      <c r="M291">
        <v>12</v>
      </c>
      <c r="N291">
        <v>936</v>
      </c>
      <c r="O291" s="2">
        <v>45878</v>
      </c>
      <c r="P291">
        <v>1</v>
      </c>
      <c r="Q291">
        <v>13.09</v>
      </c>
      <c r="R291" t="s">
        <v>77</v>
      </c>
    </row>
    <row r="292" spans="1:18" x14ac:dyDescent="0.3">
      <c r="A292" t="s">
        <v>2359</v>
      </c>
      <c r="B292" t="s">
        <v>2360</v>
      </c>
      <c r="C292" t="s">
        <v>2324</v>
      </c>
      <c r="D292" t="s">
        <v>2308</v>
      </c>
      <c r="E292" t="s">
        <v>2309</v>
      </c>
      <c r="F292">
        <v>50</v>
      </c>
      <c r="G292" t="s">
        <v>2310</v>
      </c>
      <c r="H292">
        <v>48</v>
      </c>
      <c r="I292" s="3">
        <v>335.74</v>
      </c>
      <c r="J292" s="3">
        <v>480.69</v>
      </c>
      <c r="K292" t="s">
        <v>176</v>
      </c>
      <c r="L292">
        <v>7</v>
      </c>
      <c r="M292">
        <v>6</v>
      </c>
      <c r="N292">
        <v>397</v>
      </c>
      <c r="O292" s="2">
        <v>45726</v>
      </c>
      <c r="P292">
        <v>1</v>
      </c>
      <c r="Q292">
        <v>38.26</v>
      </c>
      <c r="R292" t="s">
        <v>77</v>
      </c>
    </row>
    <row r="293" spans="1:18" x14ac:dyDescent="0.3">
      <c r="A293" t="s">
        <v>2361</v>
      </c>
      <c r="B293" t="s">
        <v>2362</v>
      </c>
      <c r="C293" t="s">
        <v>1731</v>
      </c>
      <c r="D293" t="s">
        <v>2308</v>
      </c>
      <c r="E293" t="s">
        <v>2316</v>
      </c>
      <c r="F293">
        <v>700</v>
      </c>
      <c r="G293" t="s">
        <v>2310</v>
      </c>
      <c r="H293">
        <v>6</v>
      </c>
      <c r="I293" s="3">
        <v>129.21</v>
      </c>
      <c r="J293" s="3">
        <v>195.39</v>
      </c>
      <c r="K293" t="s">
        <v>178</v>
      </c>
      <c r="L293">
        <v>12</v>
      </c>
      <c r="M293">
        <v>4</v>
      </c>
      <c r="N293">
        <v>1010</v>
      </c>
      <c r="O293" s="2">
        <v>45593</v>
      </c>
      <c r="P293">
        <v>1</v>
      </c>
      <c r="Q293">
        <v>21.35</v>
      </c>
      <c r="R293" t="s">
        <v>77</v>
      </c>
    </row>
    <row r="294" spans="1:18" x14ac:dyDescent="0.3">
      <c r="A294" t="s">
        <v>2363</v>
      </c>
      <c r="B294" t="s">
        <v>2364</v>
      </c>
      <c r="C294" t="s">
        <v>2313</v>
      </c>
      <c r="D294" t="s">
        <v>2308</v>
      </c>
      <c r="E294" t="s">
        <v>2309</v>
      </c>
      <c r="F294">
        <v>200</v>
      </c>
      <c r="G294" t="s">
        <v>2310</v>
      </c>
      <c r="H294">
        <v>24</v>
      </c>
      <c r="I294" s="3">
        <v>285.29000000000002</v>
      </c>
      <c r="J294" s="3">
        <v>390.57</v>
      </c>
      <c r="K294" t="s">
        <v>119</v>
      </c>
      <c r="L294">
        <v>12</v>
      </c>
      <c r="M294">
        <v>100</v>
      </c>
      <c r="N294">
        <v>374</v>
      </c>
      <c r="O294" s="2">
        <v>45970</v>
      </c>
      <c r="P294">
        <v>1</v>
      </c>
      <c r="Q294">
        <v>51.18</v>
      </c>
      <c r="R294" t="s">
        <v>1774</v>
      </c>
    </row>
    <row r="295" spans="1:18" x14ac:dyDescent="0.3">
      <c r="A295" t="s">
        <v>2365</v>
      </c>
      <c r="B295" t="s">
        <v>2366</v>
      </c>
      <c r="C295" t="s">
        <v>2313</v>
      </c>
      <c r="D295" t="s">
        <v>2308</v>
      </c>
      <c r="E295" t="s">
        <v>2309</v>
      </c>
      <c r="F295">
        <v>50</v>
      </c>
      <c r="G295" t="s">
        <v>2310</v>
      </c>
      <c r="H295">
        <v>36</v>
      </c>
      <c r="I295" s="3">
        <v>118.09</v>
      </c>
      <c r="J295" s="3">
        <v>165.87</v>
      </c>
      <c r="K295" t="s">
        <v>108</v>
      </c>
      <c r="L295">
        <v>9</v>
      </c>
      <c r="M295">
        <v>24</v>
      </c>
      <c r="N295">
        <v>569</v>
      </c>
      <c r="O295" s="2">
        <v>45913</v>
      </c>
      <c r="P295">
        <v>1</v>
      </c>
      <c r="Q295">
        <v>71.44</v>
      </c>
      <c r="R295" t="s">
        <v>1774</v>
      </c>
    </row>
    <row r="296" spans="1:18" x14ac:dyDescent="0.3">
      <c r="A296" t="s">
        <v>2367</v>
      </c>
      <c r="B296" t="s">
        <v>2368</v>
      </c>
      <c r="C296" t="s">
        <v>2313</v>
      </c>
      <c r="D296" t="s">
        <v>2308</v>
      </c>
      <c r="E296" t="s">
        <v>2327</v>
      </c>
      <c r="F296">
        <v>100</v>
      </c>
      <c r="G296" t="s">
        <v>2310</v>
      </c>
      <c r="H296">
        <v>24</v>
      </c>
      <c r="I296" s="3">
        <v>210.05</v>
      </c>
      <c r="J296" s="3">
        <v>285.33999999999997</v>
      </c>
      <c r="K296" t="s">
        <v>108</v>
      </c>
      <c r="L296">
        <v>9</v>
      </c>
      <c r="M296">
        <v>24</v>
      </c>
      <c r="N296">
        <v>1051</v>
      </c>
      <c r="O296" s="2">
        <v>45930</v>
      </c>
      <c r="P296">
        <v>1</v>
      </c>
      <c r="Q296">
        <v>8.07</v>
      </c>
      <c r="R296" t="s">
        <v>1750</v>
      </c>
    </row>
    <row r="297" spans="1:18" x14ac:dyDescent="0.3">
      <c r="A297" t="s">
        <v>2369</v>
      </c>
      <c r="B297" t="s">
        <v>2370</v>
      </c>
      <c r="C297" t="s">
        <v>2336</v>
      </c>
      <c r="D297" t="s">
        <v>2308</v>
      </c>
      <c r="E297" t="s">
        <v>2327</v>
      </c>
      <c r="F297">
        <v>150</v>
      </c>
      <c r="G297" t="s">
        <v>2310</v>
      </c>
      <c r="H297">
        <v>24</v>
      </c>
      <c r="I297" s="3">
        <v>315.77</v>
      </c>
      <c r="J297" s="3">
        <v>480.12</v>
      </c>
      <c r="K297" t="s">
        <v>113</v>
      </c>
      <c r="L297">
        <v>17</v>
      </c>
      <c r="M297">
        <v>4</v>
      </c>
      <c r="N297">
        <v>435</v>
      </c>
      <c r="O297" s="2">
        <v>45448</v>
      </c>
      <c r="P297">
        <v>1</v>
      </c>
      <c r="Q297">
        <v>10.029999999999999</v>
      </c>
      <c r="R297" t="s">
        <v>1750</v>
      </c>
    </row>
    <row r="298" spans="1:18" x14ac:dyDescent="0.3">
      <c r="A298" t="s">
        <v>2371</v>
      </c>
      <c r="B298" t="s">
        <v>2372</v>
      </c>
      <c r="C298" t="s">
        <v>2336</v>
      </c>
      <c r="D298" t="s">
        <v>2308</v>
      </c>
      <c r="E298" t="s">
        <v>2309</v>
      </c>
      <c r="F298">
        <v>50</v>
      </c>
      <c r="G298" t="s">
        <v>2310</v>
      </c>
      <c r="H298">
        <v>36</v>
      </c>
      <c r="I298" s="3">
        <v>351.02</v>
      </c>
      <c r="J298" s="3">
        <v>496.89</v>
      </c>
      <c r="K298" t="s">
        <v>164</v>
      </c>
      <c r="L298">
        <v>13</v>
      </c>
      <c r="M298">
        <v>100</v>
      </c>
      <c r="N298">
        <v>687</v>
      </c>
      <c r="O298" s="2">
        <v>45745</v>
      </c>
      <c r="P298">
        <v>1</v>
      </c>
      <c r="Q298">
        <v>20.9</v>
      </c>
      <c r="R298" t="s">
        <v>77</v>
      </c>
    </row>
    <row r="299" spans="1:18" x14ac:dyDescent="0.3">
      <c r="A299" t="s">
        <v>2373</v>
      </c>
      <c r="B299" t="s">
        <v>2374</v>
      </c>
      <c r="C299" t="s">
        <v>2336</v>
      </c>
      <c r="D299" t="s">
        <v>2308</v>
      </c>
      <c r="E299" t="s">
        <v>2321</v>
      </c>
      <c r="F299">
        <v>50</v>
      </c>
      <c r="G299" t="s">
        <v>2310</v>
      </c>
      <c r="H299">
        <v>24</v>
      </c>
      <c r="I299" s="3">
        <v>88</v>
      </c>
      <c r="J299" s="3">
        <v>129.94999999999999</v>
      </c>
      <c r="K299" t="s">
        <v>98</v>
      </c>
      <c r="L299">
        <v>11</v>
      </c>
      <c r="M299">
        <v>24</v>
      </c>
      <c r="N299">
        <v>450</v>
      </c>
      <c r="O299" s="2">
        <v>45853</v>
      </c>
      <c r="P299">
        <v>1</v>
      </c>
      <c r="Q299">
        <v>4.29</v>
      </c>
      <c r="R299" t="s">
        <v>1750</v>
      </c>
    </row>
    <row r="300" spans="1:18" x14ac:dyDescent="0.3">
      <c r="A300" t="s">
        <v>2375</v>
      </c>
      <c r="B300" t="s">
        <v>2376</v>
      </c>
      <c r="C300" t="s">
        <v>2336</v>
      </c>
      <c r="D300" t="s">
        <v>2308</v>
      </c>
      <c r="E300" t="s">
        <v>2321</v>
      </c>
      <c r="F300">
        <v>100</v>
      </c>
      <c r="G300" t="s">
        <v>2310</v>
      </c>
      <c r="H300">
        <v>48</v>
      </c>
      <c r="I300" s="3">
        <v>276.55</v>
      </c>
      <c r="J300" s="3">
        <v>413.75</v>
      </c>
      <c r="K300" t="s">
        <v>160</v>
      </c>
      <c r="L300">
        <v>16</v>
      </c>
      <c r="M300">
        <v>4</v>
      </c>
      <c r="N300">
        <v>912</v>
      </c>
      <c r="O300" s="2">
        <v>45378</v>
      </c>
      <c r="P300">
        <v>1</v>
      </c>
      <c r="Q300">
        <v>5.7</v>
      </c>
      <c r="R300" t="s">
        <v>1750</v>
      </c>
    </row>
    <row r="301" spans="1:18" x14ac:dyDescent="0.3">
      <c r="A301" t="s">
        <v>2377</v>
      </c>
      <c r="B301" t="s">
        <v>2378</v>
      </c>
      <c r="C301" t="s">
        <v>1731</v>
      </c>
      <c r="D301" t="s">
        <v>2308</v>
      </c>
      <c r="E301" t="s">
        <v>2321</v>
      </c>
      <c r="F301">
        <v>50</v>
      </c>
      <c r="G301" t="s">
        <v>2310</v>
      </c>
      <c r="H301">
        <v>48</v>
      </c>
      <c r="I301" s="3">
        <v>194.86</v>
      </c>
      <c r="J301" s="3">
        <v>266.61</v>
      </c>
      <c r="K301" t="s">
        <v>142</v>
      </c>
      <c r="L301">
        <v>9</v>
      </c>
      <c r="M301">
        <v>4</v>
      </c>
      <c r="N301">
        <v>658</v>
      </c>
      <c r="O301" s="2">
        <v>45958</v>
      </c>
      <c r="P301">
        <v>1</v>
      </c>
      <c r="Q301">
        <v>8.9700000000000006</v>
      </c>
      <c r="R301" t="s">
        <v>1750</v>
      </c>
    </row>
    <row r="302" spans="1:18" x14ac:dyDescent="0.3">
      <c r="A302" t="s">
        <v>2379</v>
      </c>
      <c r="B302" t="s">
        <v>2380</v>
      </c>
      <c r="C302" t="s">
        <v>1731</v>
      </c>
      <c r="D302" t="s">
        <v>2308</v>
      </c>
      <c r="E302" t="s">
        <v>2327</v>
      </c>
      <c r="F302">
        <v>100</v>
      </c>
      <c r="G302" t="s">
        <v>2310</v>
      </c>
      <c r="H302">
        <v>24</v>
      </c>
      <c r="I302" s="3">
        <v>99</v>
      </c>
      <c r="J302" s="3">
        <v>135.29</v>
      </c>
      <c r="K302" t="s">
        <v>154</v>
      </c>
      <c r="L302">
        <v>11</v>
      </c>
      <c r="M302">
        <v>4</v>
      </c>
      <c r="N302">
        <v>983</v>
      </c>
      <c r="O302" s="2">
        <v>45392</v>
      </c>
      <c r="P302">
        <v>1</v>
      </c>
      <c r="Q302">
        <v>35.9</v>
      </c>
      <c r="R302" t="s">
        <v>77</v>
      </c>
    </row>
    <row r="303" spans="1:18" x14ac:dyDescent="0.3">
      <c r="A303" t="s">
        <v>2381</v>
      </c>
      <c r="B303" t="s">
        <v>2382</v>
      </c>
      <c r="C303" t="s">
        <v>1731</v>
      </c>
      <c r="D303" t="s">
        <v>2308</v>
      </c>
      <c r="E303" t="s">
        <v>2316</v>
      </c>
      <c r="F303">
        <v>200</v>
      </c>
      <c r="G303" t="s">
        <v>2310</v>
      </c>
      <c r="H303">
        <v>12</v>
      </c>
      <c r="I303" s="3">
        <v>63.27</v>
      </c>
      <c r="J303" s="3">
        <v>91.68</v>
      </c>
      <c r="K303" t="s">
        <v>128</v>
      </c>
      <c r="L303">
        <v>13</v>
      </c>
      <c r="M303">
        <v>100</v>
      </c>
      <c r="N303">
        <v>399</v>
      </c>
      <c r="O303" s="2">
        <v>45444</v>
      </c>
      <c r="P303">
        <v>1</v>
      </c>
      <c r="Q303">
        <v>31.97</v>
      </c>
      <c r="R303" t="s">
        <v>1774</v>
      </c>
    </row>
    <row r="304" spans="1:18" x14ac:dyDescent="0.3">
      <c r="A304" t="s">
        <v>2383</v>
      </c>
      <c r="B304" t="s">
        <v>2384</v>
      </c>
      <c r="C304" t="s">
        <v>2336</v>
      </c>
      <c r="D304" t="s">
        <v>2308</v>
      </c>
      <c r="E304" t="s">
        <v>2327</v>
      </c>
      <c r="F304">
        <v>75</v>
      </c>
      <c r="G304" t="s">
        <v>2310</v>
      </c>
      <c r="H304">
        <v>24</v>
      </c>
      <c r="I304" s="3">
        <v>272.62</v>
      </c>
      <c r="J304" s="3">
        <v>399.02</v>
      </c>
      <c r="K304" t="s">
        <v>162</v>
      </c>
      <c r="L304">
        <v>7</v>
      </c>
      <c r="M304">
        <v>12</v>
      </c>
      <c r="N304">
        <v>951</v>
      </c>
      <c r="O304" s="2">
        <v>45823</v>
      </c>
      <c r="P304">
        <v>1</v>
      </c>
      <c r="Q304">
        <v>4.7699999999999996</v>
      </c>
      <c r="R304" t="s">
        <v>1741</v>
      </c>
    </row>
    <row r="305" spans="1:18" x14ac:dyDescent="0.3">
      <c r="A305" t="s">
        <v>2385</v>
      </c>
      <c r="B305" t="s">
        <v>2386</v>
      </c>
      <c r="C305" t="s">
        <v>2324</v>
      </c>
      <c r="D305" t="s">
        <v>2308</v>
      </c>
      <c r="E305" t="s">
        <v>2316</v>
      </c>
      <c r="F305">
        <v>400</v>
      </c>
      <c r="G305" t="s">
        <v>2310</v>
      </c>
      <c r="H305">
        <v>24</v>
      </c>
      <c r="I305" s="3">
        <v>411.95</v>
      </c>
      <c r="J305" s="3">
        <v>571.72</v>
      </c>
      <c r="K305" t="s">
        <v>196</v>
      </c>
      <c r="L305">
        <v>25</v>
      </c>
      <c r="M305">
        <v>4</v>
      </c>
      <c r="N305">
        <v>847</v>
      </c>
      <c r="O305" s="2">
        <v>45598</v>
      </c>
      <c r="P305">
        <v>1</v>
      </c>
      <c r="Q305">
        <v>4.66</v>
      </c>
      <c r="R305" t="s">
        <v>1750</v>
      </c>
    </row>
    <row r="306" spans="1:18" x14ac:dyDescent="0.3">
      <c r="A306" t="s">
        <v>2387</v>
      </c>
      <c r="B306" t="s">
        <v>2388</v>
      </c>
      <c r="C306" t="s">
        <v>1731</v>
      </c>
      <c r="D306" t="s">
        <v>2308</v>
      </c>
      <c r="E306" t="s">
        <v>2327</v>
      </c>
      <c r="F306">
        <v>125</v>
      </c>
      <c r="G306" t="s">
        <v>2310</v>
      </c>
      <c r="H306">
        <v>12</v>
      </c>
      <c r="I306" s="3">
        <v>330.21</v>
      </c>
      <c r="J306" s="3">
        <v>483.72</v>
      </c>
      <c r="K306" t="s">
        <v>186</v>
      </c>
      <c r="L306">
        <v>16</v>
      </c>
      <c r="M306">
        <v>2</v>
      </c>
      <c r="N306">
        <v>599</v>
      </c>
      <c r="O306" s="2">
        <v>45545</v>
      </c>
      <c r="P306">
        <v>1</v>
      </c>
      <c r="Q306">
        <v>64.94</v>
      </c>
      <c r="R306" t="s">
        <v>1774</v>
      </c>
    </row>
    <row r="307" spans="1:18" x14ac:dyDescent="0.3">
      <c r="A307" t="s">
        <v>2389</v>
      </c>
      <c r="B307" t="s">
        <v>2390</v>
      </c>
      <c r="C307" t="s">
        <v>1731</v>
      </c>
      <c r="D307" t="s">
        <v>2308</v>
      </c>
      <c r="E307" t="s">
        <v>2327</v>
      </c>
      <c r="F307">
        <v>150</v>
      </c>
      <c r="G307" t="s">
        <v>2310</v>
      </c>
      <c r="H307">
        <v>36</v>
      </c>
      <c r="I307" s="3">
        <v>244.98</v>
      </c>
      <c r="J307" s="3">
        <v>376.07</v>
      </c>
      <c r="K307" t="s">
        <v>164</v>
      </c>
      <c r="L307">
        <v>13</v>
      </c>
      <c r="M307">
        <v>1</v>
      </c>
      <c r="N307">
        <v>389</v>
      </c>
      <c r="O307" s="2">
        <v>45630</v>
      </c>
      <c r="P307">
        <v>1</v>
      </c>
      <c r="Q307">
        <v>34.33</v>
      </c>
      <c r="R307" t="s">
        <v>77</v>
      </c>
    </row>
    <row r="308" spans="1:18" x14ac:dyDescent="0.3">
      <c r="A308" t="s">
        <v>2391</v>
      </c>
      <c r="B308" t="s">
        <v>2392</v>
      </c>
      <c r="C308" t="s">
        <v>2313</v>
      </c>
      <c r="D308" t="s">
        <v>2308</v>
      </c>
      <c r="E308" t="s">
        <v>2309</v>
      </c>
      <c r="F308">
        <v>50</v>
      </c>
      <c r="G308" t="s">
        <v>2310</v>
      </c>
      <c r="H308">
        <v>60</v>
      </c>
      <c r="I308" s="3">
        <v>79.319999999999993</v>
      </c>
      <c r="J308" s="3">
        <v>111.81</v>
      </c>
      <c r="K308" t="s">
        <v>178</v>
      </c>
      <c r="L308">
        <v>12</v>
      </c>
      <c r="M308">
        <v>2</v>
      </c>
      <c r="N308">
        <v>403</v>
      </c>
      <c r="O308" s="2">
        <v>45687</v>
      </c>
      <c r="P308">
        <v>1</v>
      </c>
      <c r="Q308">
        <v>25.81</v>
      </c>
      <c r="R308" t="s">
        <v>77</v>
      </c>
    </row>
    <row r="309" spans="1:18" x14ac:dyDescent="0.3">
      <c r="A309" t="s">
        <v>2393</v>
      </c>
      <c r="B309" t="s">
        <v>2394</v>
      </c>
      <c r="C309" t="s">
        <v>1731</v>
      </c>
      <c r="D309" t="s">
        <v>2308</v>
      </c>
      <c r="E309" t="s">
        <v>2321</v>
      </c>
      <c r="F309">
        <v>50</v>
      </c>
      <c r="G309" t="s">
        <v>2310</v>
      </c>
      <c r="H309">
        <v>24</v>
      </c>
      <c r="I309" s="3">
        <v>241.24</v>
      </c>
      <c r="J309" s="3">
        <v>323.58</v>
      </c>
      <c r="K309" t="s">
        <v>138</v>
      </c>
      <c r="L309">
        <v>14</v>
      </c>
      <c r="M309">
        <v>48</v>
      </c>
      <c r="N309">
        <v>633</v>
      </c>
      <c r="O309" s="2">
        <v>45918</v>
      </c>
      <c r="P309">
        <v>1</v>
      </c>
      <c r="Q309">
        <v>37.15</v>
      </c>
      <c r="R309" t="s">
        <v>77</v>
      </c>
    </row>
    <row r="310" spans="1:18" x14ac:dyDescent="0.3">
      <c r="A310" t="s">
        <v>2395</v>
      </c>
      <c r="B310" t="s">
        <v>2396</v>
      </c>
      <c r="C310" t="s">
        <v>2313</v>
      </c>
      <c r="D310" t="s">
        <v>2308</v>
      </c>
      <c r="E310" t="s">
        <v>2327</v>
      </c>
      <c r="F310">
        <v>125</v>
      </c>
      <c r="G310" t="s">
        <v>2310</v>
      </c>
      <c r="H310">
        <v>36</v>
      </c>
      <c r="I310" s="3">
        <v>375.51</v>
      </c>
      <c r="J310" s="3">
        <v>554.1</v>
      </c>
      <c r="K310" t="s">
        <v>178</v>
      </c>
      <c r="L310">
        <v>12</v>
      </c>
      <c r="M310">
        <v>6</v>
      </c>
      <c r="N310">
        <v>722</v>
      </c>
      <c r="O310" s="2">
        <v>45634</v>
      </c>
      <c r="P310">
        <v>1</v>
      </c>
      <c r="Q310">
        <v>8.19</v>
      </c>
      <c r="R310" t="s">
        <v>1750</v>
      </c>
    </row>
    <row r="311" spans="1:18" x14ac:dyDescent="0.3">
      <c r="A311" t="s">
        <v>2397</v>
      </c>
      <c r="B311" t="s">
        <v>2398</v>
      </c>
      <c r="C311" t="s">
        <v>1731</v>
      </c>
      <c r="D311" t="s">
        <v>2308</v>
      </c>
      <c r="E311" t="s">
        <v>2327</v>
      </c>
      <c r="F311">
        <v>75</v>
      </c>
      <c r="G311" t="s">
        <v>2310</v>
      </c>
      <c r="H311">
        <v>24</v>
      </c>
      <c r="I311" s="3">
        <v>330.53</v>
      </c>
      <c r="J311" s="3">
        <v>454.09</v>
      </c>
      <c r="K311" t="s">
        <v>174</v>
      </c>
      <c r="L311">
        <v>10</v>
      </c>
      <c r="M311">
        <v>12</v>
      </c>
      <c r="N311">
        <v>612</v>
      </c>
      <c r="O311" s="2">
        <v>45668</v>
      </c>
      <c r="P311">
        <v>1</v>
      </c>
      <c r="Q311">
        <v>7.79</v>
      </c>
      <c r="R311" t="s">
        <v>1750</v>
      </c>
    </row>
    <row r="312" spans="1:18" x14ac:dyDescent="0.3">
      <c r="A312" t="s">
        <v>2399</v>
      </c>
      <c r="B312" t="s">
        <v>2400</v>
      </c>
      <c r="C312" t="s">
        <v>2336</v>
      </c>
      <c r="D312" t="s">
        <v>2308</v>
      </c>
      <c r="E312" t="s">
        <v>2321</v>
      </c>
      <c r="F312">
        <v>200</v>
      </c>
      <c r="G312" t="s">
        <v>2310</v>
      </c>
      <c r="H312">
        <v>12</v>
      </c>
      <c r="I312" s="3">
        <v>403.2</v>
      </c>
      <c r="J312" s="3">
        <v>560.89</v>
      </c>
      <c r="K312" t="s">
        <v>170</v>
      </c>
      <c r="L312">
        <v>13</v>
      </c>
      <c r="M312">
        <v>12</v>
      </c>
      <c r="N312">
        <v>664</v>
      </c>
      <c r="O312" s="2">
        <v>45452</v>
      </c>
      <c r="P312">
        <v>1</v>
      </c>
      <c r="Q312">
        <v>1.82</v>
      </c>
      <c r="R312" t="s">
        <v>1741</v>
      </c>
    </row>
    <row r="313" spans="1:18" x14ac:dyDescent="0.3">
      <c r="A313" t="s">
        <v>2401</v>
      </c>
      <c r="B313" t="s">
        <v>2402</v>
      </c>
      <c r="C313" t="s">
        <v>2336</v>
      </c>
      <c r="D313" t="s">
        <v>2308</v>
      </c>
      <c r="E313" t="s">
        <v>2321</v>
      </c>
      <c r="F313">
        <v>100</v>
      </c>
      <c r="G313" t="s">
        <v>2310</v>
      </c>
      <c r="H313">
        <v>60</v>
      </c>
      <c r="I313" s="3">
        <v>189.32</v>
      </c>
      <c r="J313" s="3">
        <v>273.67</v>
      </c>
      <c r="K313" t="s">
        <v>196</v>
      </c>
      <c r="L313">
        <v>25</v>
      </c>
      <c r="M313">
        <v>100</v>
      </c>
      <c r="N313">
        <v>985</v>
      </c>
      <c r="O313" s="2">
        <v>45402</v>
      </c>
      <c r="P313">
        <v>1</v>
      </c>
      <c r="Q313">
        <v>12.53</v>
      </c>
      <c r="R313" t="s">
        <v>1750</v>
      </c>
    </row>
    <row r="314" spans="1:18" x14ac:dyDescent="0.3">
      <c r="A314" t="s">
        <v>2403</v>
      </c>
      <c r="B314" t="s">
        <v>2404</v>
      </c>
      <c r="C314" t="s">
        <v>2336</v>
      </c>
      <c r="D314" t="s">
        <v>2308</v>
      </c>
      <c r="E314" t="s">
        <v>2321</v>
      </c>
      <c r="F314">
        <v>200</v>
      </c>
      <c r="G314" t="s">
        <v>2310</v>
      </c>
      <c r="H314">
        <v>36</v>
      </c>
      <c r="I314" s="3">
        <v>49.8</v>
      </c>
      <c r="J314" s="3">
        <v>72.209999999999994</v>
      </c>
      <c r="K314" t="s">
        <v>128</v>
      </c>
      <c r="L314">
        <v>13</v>
      </c>
      <c r="M314">
        <v>100</v>
      </c>
      <c r="N314">
        <v>847</v>
      </c>
      <c r="O314" s="2">
        <v>45957</v>
      </c>
      <c r="P314">
        <v>1</v>
      </c>
      <c r="Q314">
        <v>31.57</v>
      </c>
      <c r="R314" t="s">
        <v>77</v>
      </c>
    </row>
    <row r="315" spans="1:18" x14ac:dyDescent="0.3">
      <c r="A315" t="s">
        <v>2405</v>
      </c>
      <c r="B315" t="s">
        <v>2406</v>
      </c>
      <c r="C315" t="s">
        <v>1731</v>
      </c>
      <c r="D315" t="s">
        <v>2308</v>
      </c>
      <c r="E315" t="s">
        <v>2327</v>
      </c>
      <c r="F315">
        <v>125</v>
      </c>
      <c r="G315" t="s">
        <v>2310</v>
      </c>
      <c r="H315">
        <v>12</v>
      </c>
      <c r="I315" s="3">
        <v>115.36</v>
      </c>
      <c r="J315" s="3">
        <v>173.39</v>
      </c>
      <c r="K315" t="s">
        <v>108</v>
      </c>
      <c r="L315">
        <v>9</v>
      </c>
      <c r="M315">
        <v>1</v>
      </c>
      <c r="N315">
        <v>491</v>
      </c>
      <c r="O315" s="2">
        <v>45854</v>
      </c>
      <c r="P315">
        <v>1</v>
      </c>
      <c r="Q315">
        <v>7.18</v>
      </c>
      <c r="R315" t="s">
        <v>1750</v>
      </c>
    </row>
    <row r="316" spans="1:18" x14ac:dyDescent="0.3">
      <c r="A316" t="s">
        <v>2407</v>
      </c>
      <c r="B316" t="s">
        <v>2408</v>
      </c>
      <c r="C316" t="s">
        <v>2324</v>
      </c>
      <c r="D316" t="s">
        <v>2308</v>
      </c>
      <c r="E316" t="s">
        <v>2321</v>
      </c>
      <c r="F316">
        <v>100</v>
      </c>
      <c r="G316" t="s">
        <v>2310</v>
      </c>
      <c r="H316">
        <v>36</v>
      </c>
      <c r="I316" s="3">
        <v>262.02999999999997</v>
      </c>
      <c r="J316" s="3">
        <v>357.75</v>
      </c>
      <c r="K316" t="s">
        <v>150</v>
      </c>
      <c r="L316">
        <v>11</v>
      </c>
      <c r="M316">
        <v>48</v>
      </c>
      <c r="N316">
        <v>1080</v>
      </c>
      <c r="O316" s="2">
        <v>45408</v>
      </c>
      <c r="P316">
        <v>1</v>
      </c>
      <c r="Q316">
        <v>23.07</v>
      </c>
      <c r="R316" t="s">
        <v>77</v>
      </c>
    </row>
    <row r="317" spans="1:18" x14ac:dyDescent="0.3">
      <c r="A317" t="s">
        <v>2409</v>
      </c>
      <c r="B317" t="s">
        <v>2410</v>
      </c>
      <c r="C317" t="s">
        <v>2313</v>
      </c>
      <c r="D317" t="s">
        <v>2308</v>
      </c>
      <c r="E317" t="s">
        <v>2309</v>
      </c>
      <c r="F317">
        <v>400</v>
      </c>
      <c r="G317" t="s">
        <v>2310</v>
      </c>
      <c r="H317">
        <v>24</v>
      </c>
      <c r="I317" s="3">
        <v>187.87</v>
      </c>
      <c r="J317" s="3">
        <v>285.36</v>
      </c>
      <c r="K317" t="s">
        <v>194</v>
      </c>
      <c r="L317">
        <v>14</v>
      </c>
      <c r="M317">
        <v>1</v>
      </c>
      <c r="N317">
        <v>971</v>
      </c>
      <c r="O317" s="2">
        <v>45323</v>
      </c>
      <c r="P317">
        <v>1</v>
      </c>
      <c r="Q317">
        <v>21.09</v>
      </c>
      <c r="R317" t="s">
        <v>77</v>
      </c>
    </row>
    <row r="318" spans="1:18" x14ac:dyDescent="0.3">
      <c r="A318" t="s">
        <v>2411</v>
      </c>
      <c r="B318" t="s">
        <v>2412</v>
      </c>
      <c r="C318" t="s">
        <v>1731</v>
      </c>
      <c r="D318" t="s">
        <v>2308</v>
      </c>
      <c r="E318" t="s">
        <v>2316</v>
      </c>
      <c r="F318">
        <v>200</v>
      </c>
      <c r="G318" t="s">
        <v>2310</v>
      </c>
      <c r="H318">
        <v>12</v>
      </c>
      <c r="I318" s="3">
        <v>155.41999999999999</v>
      </c>
      <c r="J318" s="3">
        <v>235.57</v>
      </c>
      <c r="K318" t="s">
        <v>144</v>
      </c>
      <c r="L318">
        <v>13</v>
      </c>
      <c r="M318">
        <v>100</v>
      </c>
      <c r="N318">
        <v>1010</v>
      </c>
      <c r="O318" s="2">
        <v>45661</v>
      </c>
      <c r="P318">
        <v>1</v>
      </c>
      <c r="Q318">
        <v>37.770000000000003</v>
      </c>
      <c r="R318" t="s">
        <v>77</v>
      </c>
    </row>
    <row r="319" spans="1:18" x14ac:dyDescent="0.3">
      <c r="A319" t="s">
        <v>2413</v>
      </c>
      <c r="B319" t="s">
        <v>2414</v>
      </c>
      <c r="C319" t="s">
        <v>1731</v>
      </c>
      <c r="D319" t="s">
        <v>2308</v>
      </c>
      <c r="E319" t="s">
        <v>2309</v>
      </c>
      <c r="F319">
        <v>50</v>
      </c>
      <c r="G319" t="s">
        <v>2310</v>
      </c>
      <c r="H319">
        <v>36</v>
      </c>
      <c r="I319" s="3">
        <v>188.05</v>
      </c>
      <c r="J319" s="3">
        <v>280.64</v>
      </c>
      <c r="K319" t="s">
        <v>119</v>
      </c>
      <c r="L319">
        <v>12</v>
      </c>
      <c r="M319">
        <v>12</v>
      </c>
      <c r="N319">
        <v>764</v>
      </c>
      <c r="O319" s="2">
        <v>45667</v>
      </c>
      <c r="P319">
        <v>1</v>
      </c>
      <c r="Q319">
        <v>13.68</v>
      </c>
      <c r="R319" t="s">
        <v>1750</v>
      </c>
    </row>
    <row r="320" spans="1:18" x14ac:dyDescent="0.3">
      <c r="A320" t="s">
        <v>2415</v>
      </c>
      <c r="B320" t="s">
        <v>2416</v>
      </c>
      <c r="C320" t="s">
        <v>2324</v>
      </c>
      <c r="D320" t="s">
        <v>2308</v>
      </c>
      <c r="E320" t="s">
        <v>2316</v>
      </c>
      <c r="F320">
        <v>700</v>
      </c>
      <c r="G320" t="s">
        <v>2310</v>
      </c>
      <c r="H320">
        <v>12</v>
      </c>
      <c r="I320" s="3">
        <v>62.23</v>
      </c>
      <c r="J320" s="3">
        <v>88.97</v>
      </c>
      <c r="K320" t="s">
        <v>119</v>
      </c>
      <c r="L320">
        <v>12</v>
      </c>
      <c r="M320">
        <v>48</v>
      </c>
      <c r="N320">
        <v>456</v>
      </c>
      <c r="O320" s="2">
        <v>45900</v>
      </c>
      <c r="P320">
        <v>1</v>
      </c>
      <c r="Q320">
        <v>29.94</v>
      </c>
      <c r="R320" t="s">
        <v>77</v>
      </c>
    </row>
    <row r="321" spans="1:18" x14ac:dyDescent="0.3">
      <c r="A321" t="s">
        <v>2417</v>
      </c>
      <c r="B321" t="s">
        <v>2418</v>
      </c>
      <c r="C321" t="s">
        <v>2324</v>
      </c>
      <c r="D321" t="s">
        <v>2308</v>
      </c>
      <c r="E321" t="s">
        <v>2316</v>
      </c>
      <c r="F321">
        <v>200</v>
      </c>
      <c r="G321" t="s">
        <v>2310</v>
      </c>
      <c r="H321">
        <v>36</v>
      </c>
      <c r="I321" s="3">
        <v>118.77</v>
      </c>
      <c r="J321" s="3">
        <v>165.38</v>
      </c>
      <c r="K321" t="s">
        <v>178</v>
      </c>
      <c r="L321">
        <v>12</v>
      </c>
      <c r="M321">
        <v>12</v>
      </c>
      <c r="N321">
        <v>981</v>
      </c>
      <c r="O321" s="2">
        <v>45668</v>
      </c>
      <c r="P321">
        <v>1</v>
      </c>
      <c r="Q321">
        <v>37.35</v>
      </c>
      <c r="R321" t="s">
        <v>1774</v>
      </c>
    </row>
    <row r="322" spans="1:18" x14ac:dyDescent="0.3">
      <c r="A322" t="s">
        <v>2419</v>
      </c>
      <c r="B322" t="s">
        <v>2420</v>
      </c>
      <c r="C322" t="s">
        <v>2336</v>
      </c>
      <c r="D322" t="s">
        <v>2308</v>
      </c>
      <c r="E322" t="s">
        <v>2309</v>
      </c>
      <c r="F322">
        <v>400</v>
      </c>
      <c r="G322" t="s">
        <v>2310</v>
      </c>
      <c r="H322">
        <v>12</v>
      </c>
      <c r="I322" s="3">
        <v>53.61</v>
      </c>
      <c r="J322" s="3">
        <v>73.819999999999993</v>
      </c>
      <c r="K322" t="s">
        <v>160</v>
      </c>
      <c r="L322">
        <v>16</v>
      </c>
      <c r="M322">
        <v>2</v>
      </c>
      <c r="N322">
        <v>1053</v>
      </c>
      <c r="O322" s="2">
        <v>45886</v>
      </c>
      <c r="P322">
        <v>1</v>
      </c>
      <c r="Q322">
        <v>16.16</v>
      </c>
      <c r="R322" t="s">
        <v>1750</v>
      </c>
    </row>
    <row r="323" spans="1:18" x14ac:dyDescent="0.3">
      <c r="A323" t="s">
        <v>2421</v>
      </c>
      <c r="B323" t="s">
        <v>2422</v>
      </c>
      <c r="C323" t="s">
        <v>2313</v>
      </c>
      <c r="D323" t="s">
        <v>2308</v>
      </c>
      <c r="E323" t="s">
        <v>2309</v>
      </c>
      <c r="F323">
        <v>50</v>
      </c>
      <c r="G323" t="s">
        <v>2310</v>
      </c>
      <c r="H323">
        <v>48</v>
      </c>
      <c r="I323" s="3">
        <v>174.51</v>
      </c>
      <c r="J323" s="3">
        <v>247.4</v>
      </c>
      <c r="K323" t="s">
        <v>135</v>
      </c>
      <c r="L323">
        <v>20</v>
      </c>
      <c r="M323">
        <v>2</v>
      </c>
      <c r="N323">
        <v>940</v>
      </c>
      <c r="O323" s="2">
        <v>45799</v>
      </c>
      <c r="P323">
        <v>1</v>
      </c>
      <c r="Q323">
        <v>3.59</v>
      </c>
      <c r="R323" t="s">
        <v>1741</v>
      </c>
    </row>
    <row r="324" spans="1:18" x14ac:dyDescent="0.3">
      <c r="A324" t="s">
        <v>2423</v>
      </c>
      <c r="B324" t="s">
        <v>2424</v>
      </c>
      <c r="C324" t="s">
        <v>1731</v>
      </c>
      <c r="D324" t="s">
        <v>2308</v>
      </c>
      <c r="E324" t="s">
        <v>2316</v>
      </c>
      <c r="F324">
        <v>700</v>
      </c>
      <c r="G324" t="s">
        <v>2310</v>
      </c>
      <c r="H324">
        <v>12</v>
      </c>
      <c r="I324" s="3">
        <v>300.24</v>
      </c>
      <c r="J324" s="3">
        <v>438.66</v>
      </c>
      <c r="K324" t="s">
        <v>108</v>
      </c>
      <c r="L324">
        <v>9</v>
      </c>
      <c r="M324">
        <v>4</v>
      </c>
      <c r="N324">
        <v>665</v>
      </c>
      <c r="O324" s="2">
        <v>45990</v>
      </c>
      <c r="P324">
        <v>1</v>
      </c>
      <c r="Q324">
        <v>27.1</v>
      </c>
      <c r="R324" t="s">
        <v>77</v>
      </c>
    </row>
    <row r="325" spans="1:18" x14ac:dyDescent="0.3">
      <c r="A325" t="s">
        <v>2425</v>
      </c>
      <c r="B325" t="s">
        <v>2426</v>
      </c>
      <c r="C325" t="s">
        <v>1731</v>
      </c>
      <c r="D325" t="s">
        <v>2308</v>
      </c>
      <c r="E325" t="s">
        <v>2321</v>
      </c>
      <c r="F325">
        <v>200</v>
      </c>
      <c r="G325" t="s">
        <v>2310</v>
      </c>
      <c r="H325">
        <v>24</v>
      </c>
      <c r="I325" s="3">
        <v>102.31</v>
      </c>
      <c r="J325" s="3">
        <v>156.77000000000001</v>
      </c>
      <c r="K325" t="s">
        <v>176</v>
      </c>
      <c r="L325">
        <v>7</v>
      </c>
      <c r="M325">
        <v>1</v>
      </c>
      <c r="N325">
        <v>410</v>
      </c>
      <c r="O325" s="2">
        <v>45474</v>
      </c>
      <c r="P325">
        <v>1</v>
      </c>
      <c r="Q325">
        <v>16.97</v>
      </c>
      <c r="R325" t="s">
        <v>77</v>
      </c>
    </row>
    <row r="326" spans="1:18" x14ac:dyDescent="0.3">
      <c r="A326" t="s">
        <v>2427</v>
      </c>
      <c r="B326" t="s">
        <v>2428</v>
      </c>
      <c r="C326" t="s">
        <v>2324</v>
      </c>
      <c r="D326" t="s">
        <v>2308</v>
      </c>
      <c r="E326" t="s">
        <v>2321</v>
      </c>
      <c r="F326">
        <v>150</v>
      </c>
      <c r="G326" t="s">
        <v>2310</v>
      </c>
      <c r="H326">
        <v>24</v>
      </c>
      <c r="I326" s="3">
        <v>145.51</v>
      </c>
      <c r="J326" s="3">
        <v>199.82</v>
      </c>
      <c r="K326" t="s">
        <v>138</v>
      </c>
      <c r="L326">
        <v>14</v>
      </c>
      <c r="M326">
        <v>24</v>
      </c>
      <c r="N326">
        <v>458</v>
      </c>
      <c r="O326" s="2">
        <v>45941</v>
      </c>
      <c r="P326">
        <v>1</v>
      </c>
      <c r="Q326">
        <v>32.01</v>
      </c>
      <c r="R326" t="s">
        <v>77</v>
      </c>
    </row>
    <row r="327" spans="1:18" x14ac:dyDescent="0.3">
      <c r="A327" t="s">
        <v>2429</v>
      </c>
      <c r="B327" t="s">
        <v>2430</v>
      </c>
      <c r="C327" t="s">
        <v>2313</v>
      </c>
      <c r="D327" t="s">
        <v>2308</v>
      </c>
      <c r="E327" t="s">
        <v>2321</v>
      </c>
      <c r="F327">
        <v>150</v>
      </c>
      <c r="G327" t="s">
        <v>2310</v>
      </c>
      <c r="H327">
        <v>24</v>
      </c>
      <c r="I327" s="3">
        <v>161.57</v>
      </c>
      <c r="J327" s="3">
        <v>219.56</v>
      </c>
      <c r="K327" t="s">
        <v>178</v>
      </c>
      <c r="L327">
        <v>12</v>
      </c>
      <c r="M327">
        <v>24</v>
      </c>
      <c r="N327">
        <v>621</v>
      </c>
      <c r="O327" s="2">
        <v>45390</v>
      </c>
      <c r="P327">
        <v>1</v>
      </c>
      <c r="Q327">
        <v>3.74</v>
      </c>
      <c r="R327" t="s">
        <v>1741</v>
      </c>
    </row>
    <row r="328" spans="1:18" x14ac:dyDescent="0.3">
      <c r="A328" t="s">
        <v>2431</v>
      </c>
      <c r="B328" t="s">
        <v>2432</v>
      </c>
      <c r="C328" t="s">
        <v>1731</v>
      </c>
      <c r="D328" t="s">
        <v>2308</v>
      </c>
      <c r="E328" t="s">
        <v>2321</v>
      </c>
      <c r="F328">
        <v>200</v>
      </c>
      <c r="G328" t="s">
        <v>2310</v>
      </c>
      <c r="H328">
        <v>24</v>
      </c>
      <c r="I328" s="3">
        <v>227.06</v>
      </c>
      <c r="J328" s="3">
        <v>328.12</v>
      </c>
      <c r="K328" t="s">
        <v>184</v>
      </c>
      <c r="L328">
        <v>17</v>
      </c>
      <c r="M328">
        <v>100</v>
      </c>
      <c r="N328">
        <v>977</v>
      </c>
      <c r="O328" s="2">
        <v>45949</v>
      </c>
      <c r="P328">
        <v>1</v>
      </c>
      <c r="Q328">
        <v>13.99</v>
      </c>
      <c r="R328" t="s">
        <v>1750</v>
      </c>
    </row>
    <row r="329" spans="1:18" x14ac:dyDescent="0.3">
      <c r="A329" t="s">
        <v>2433</v>
      </c>
      <c r="B329" t="s">
        <v>2434</v>
      </c>
      <c r="C329" t="s">
        <v>1731</v>
      </c>
      <c r="D329" t="s">
        <v>2308</v>
      </c>
      <c r="E329" t="s">
        <v>2327</v>
      </c>
      <c r="F329">
        <v>100</v>
      </c>
      <c r="G329" t="s">
        <v>2310</v>
      </c>
      <c r="H329">
        <v>48</v>
      </c>
      <c r="I329" s="3">
        <v>173.47</v>
      </c>
      <c r="J329" s="3">
        <v>260.58999999999997</v>
      </c>
      <c r="K329" t="s">
        <v>154</v>
      </c>
      <c r="L329">
        <v>11</v>
      </c>
      <c r="M329">
        <v>24</v>
      </c>
      <c r="N329">
        <v>505</v>
      </c>
      <c r="O329" s="2">
        <v>45509</v>
      </c>
      <c r="P329">
        <v>1</v>
      </c>
      <c r="Q329">
        <v>8.1999999999999993</v>
      </c>
      <c r="R329" t="s">
        <v>1750</v>
      </c>
    </row>
    <row r="330" spans="1:18" x14ac:dyDescent="0.3">
      <c r="A330" t="s">
        <v>2435</v>
      </c>
      <c r="B330" t="s">
        <v>2436</v>
      </c>
      <c r="C330" t="s">
        <v>2336</v>
      </c>
      <c r="D330" t="s">
        <v>2308</v>
      </c>
      <c r="E330" t="s">
        <v>2321</v>
      </c>
      <c r="F330">
        <v>100</v>
      </c>
      <c r="G330" t="s">
        <v>2310</v>
      </c>
      <c r="H330">
        <v>36</v>
      </c>
      <c r="I330" s="3">
        <v>330.01</v>
      </c>
      <c r="J330" s="3">
        <v>444.76</v>
      </c>
      <c r="K330" t="s">
        <v>140</v>
      </c>
      <c r="L330">
        <v>10</v>
      </c>
      <c r="M330">
        <v>6</v>
      </c>
      <c r="N330">
        <v>491</v>
      </c>
      <c r="O330" s="2">
        <v>45892</v>
      </c>
      <c r="P330">
        <v>1</v>
      </c>
      <c r="Q330">
        <v>21.51</v>
      </c>
      <c r="R330" t="s">
        <v>77</v>
      </c>
    </row>
    <row r="331" spans="1:18" x14ac:dyDescent="0.3">
      <c r="A331" t="s">
        <v>2437</v>
      </c>
      <c r="B331" t="s">
        <v>2438</v>
      </c>
      <c r="C331" t="s">
        <v>2313</v>
      </c>
      <c r="D331" t="s">
        <v>2308</v>
      </c>
      <c r="E331" t="s">
        <v>2309</v>
      </c>
      <c r="F331">
        <v>100</v>
      </c>
      <c r="G331" t="s">
        <v>2310</v>
      </c>
      <c r="H331">
        <v>24</v>
      </c>
      <c r="I331" s="3">
        <v>163.36000000000001</v>
      </c>
      <c r="J331" s="3">
        <v>245.14</v>
      </c>
      <c r="K331" t="s">
        <v>174</v>
      </c>
      <c r="L331">
        <v>10</v>
      </c>
      <c r="M331">
        <v>48</v>
      </c>
      <c r="N331">
        <v>814</v>
      </c>
      <c r="O331" s="2">
        <v>45978</v>
      </c>
      <c r="P331">
        <v>1</v>
      </c>
      <c r="Q331">
        <v>7.47</v>
      </c>
      <c r="R331" t="s">
        <v>1750</v>
      </c>
    </row>
    <row r="332" spans="1:18" x14ac:dyDescent="0.3">
      <c r="A332" t="s">
        <v>2439</v>
      </c>
      <c r="B332" t="s">
        <v>2440</v>
      </c>
      <c r="C332" t="s">
        <v>2313</v>
      </c>
      <c r="D332" t="s">
        <v>2308</v>
      </c>
      <c r="E332" t="s">
        <v>2321</v>
      </c>
      <c r="F332">
        <v>100</v>
      </c>
      <c r="G332" t="s">
        <v>2310</v>
      </c>
      <c r="H332">
        <v>36</v>
      </c>
      <c r="I332" s="3">
        <v>260.18</v>
      </c>
      <c r="J332" s="3">
        <v>383.13</v>
      </c>
      <c r="K332" t="s">
        <v>184</v>
      </c>
      <c r="L332">
        <v>17</v>
      </c>
      <c r="M332">
        <v>12</v>
      </c>
      <c r="N332">
        <v>456</v>
      </c>
      <c r="O332" s="2">
        <v>45582</v>
      </c>
      <c r="P332">
        <v>1</v>
      </c>
      <c r="Q332">
        <v>59.23</v>
      </c>
      <c r="R332" t="s">
        <v>1774</v>
      </c>
    </row>
    <row r="333" spans="1:18" x14ac:dyDescent="0.3">
      <c r="A333" t="s">
        <v>2441</v>
      </c>
      <c r="B333" t="s">
        <v>2442</v>
      </c>
      <c r="C333" t="s">
        <v>1731</v>
      </c>
      <c r="D333" t="s">
        <v>2308</v>
      </c>
      <c r="E333" t="s">
        <v>2309</v>
      </c>
      <c r="F333">
        <v>200</v>
      </c>
      <c r="G333" t="s">
        <v>2310</v>
      </c>
      <c r="H333">
        <v>24</v>
      </c>
      <c r="I333" s="3">
        <v>145.02000000000001</v>
      </c>
      <c r="J333" s="3">
        <v>207.93</v>
      </c>
      <c r="K333" t="s">
        <v>131</v>
      </c>
      <c r="L333">
        <v>11</v>
      </c>
      <c r="M333">
        <v>24</v>
      </c>
      <c r="N333">
        <v>630</v>
      </c>
      <c r="O333" s="2">
        <v>45385</v>
      </c>
      <c r="P333">
        <v>1</v>
      </c>
      <c r="Q333">
        <v>15.74</v>
      </c>
      <c r="R333" t="s">
        <v>77</v>
      </c>
    </row>
    <row r="334" spans="1:18" x14ac:dyDescent="0.3">
      <c r="A334" t="s">
        <v>2443</v>
      </c>
      <c r="B334" t="s">
        <v>2444</v>
      </c>
      <c r="C334" t="s">
        <v>2324</v>
      </c>
      <c r="D334" t="s">
        <v>2308</v>
      </c>
      <c r="E334" t="s">
        <v>2321</v>
      </c>
      <c r="F334">
        <v>50</v>
      </c>
      <c r="G334" t="s">
        <v>2310</v>
      </c>
      <c r="H334">
        <v>60</v>
      </c>
      <c r="I334" s="3">
        <v>248.83</v>
      </c>
      <c r="J334" s="3">
        <v>380.84</v>
      </c>
      <c r="K334" t="s">
        <v>125</v>
      </c>
      <c r="L334">
        <v>23</v>
      </c>
      <c r="M334">
        <v>1</v>
      </c>
      <c r="N334">
        <v>589</v>
      </c>
      <c r="O334" s="2">
        <v>45832</v>
      </c>
      <c r="P334">
        <v>1</v>
      </c>
      <c r="Q334">
        <v>31.89</v>
      </c>
      <c r="R334" t="s">
        <v>77</v>
      </c>
    </row>
    <row r="335" spans="1:18" x14ac:dyDescent="0.3">
      <c r="A335" t="s">
        <v>2445</v>
      </c>
      <c r="B335" t="s">
        <v>2446</v>
      </c>
      <c r="C335" t="s">
        <v>1731</v>
      </c>
      <c r="D335" t="s">
        <v>2308</v>
      </c>
      <c r="E335" t="s">
        <v>2321</v>
      </c>
      <c r="F335">
        <v>150</v>
      </c>
      <c r="G335" t="s">
        <v>2310</v>
      </c>
      <c r="H335">
        <v>12</v>
      </c>
      <c r="I335" s="3">
        <v>64.739999999999995</v>
      </c>
      <c r="J335" s="3">
        <v>92.98</v>
      </c>
      <c r="K335" t="s">
        <v>154</v>
      </c>
      <c r="L335">
        <v>11</v>
      </c>
      <c r="M335">
        <v>24</v>
      </c>
      <c r="N335">
        <v>459</v>
      </c>
      <c r="O335" s="2">
        <v>45406</v>
      </c>
      <c r="P335">
        <v>1</v>
      </c>
      <c r="Q335">
        <v>9.0399999999999991</v>
      </c>
      <c r="R335" t="s">
        <v>1750</v>
      </c>
    </row>
    <row r="336" spans="1:18" x14ac:dyDescent="0.3">
      <c r="A336" t="s">
        <v>2447</v>
      </c>
      <c r="B336" t="s">
        <v>2448</v>
      </c>
      <c r="C336" t="s">
        <v>1731</v>
      </c>
      <c r="D336" t="s">
        <v>2449</v>
      </c>
      <c r="E336" t="s">
        <v>2450</v>
      </c>
      <c r="F336">
        <v>500</v>
      </c>
      <c r="G336" t="s">
        <v>2310</v>
      </c>
      <c r="H336">
        <v>12</v>
      </c>
      <c r="I336" s="3">
        <v>494.29</v>
      </c>
      <c r="J336" s="3">
        <v>659.89</v>
      </c>
      <c r="K336" t="s">
        <v>158</v>
      </c>
      <c r="L336">
        <v>18</v>
      </c>
      <c r="M336">
        <v>24</v>
      </c>
      <c r="N336">
        <v>785</v>
      </c>
      <c r="O336" s="2">
        <v>45960</v>
      </c>
      <c r="P336">
        <v>1</v>
      </c>
      <c r="Q336">
        <v>6.47</v>
      </c>
      <c r="R336" t="s">
        <v>1750</v>
      </c>
    </row>
    <row r="337" spans="1:18" x14ac:dyDescent="0.3">
      <c r="A337" t="s">
        <v>2451</v>
      </c>
      <c r="B337" t="s">
        <v>2452</v>
      </c>
      <c r="C337" t="s">
        <v>2453</v>
      </c>
      <c r="D337" t="s">
        <v>2449</v>
      </c>
      <c r="E337" t="s">
        <v>2454</v>
      </c>
      <c r="F337">
        <v>500</v>
      </c>
      <c r="G337" t="s">
        <v>2310</v>
      </c>
      <c r="H337">
        <v>24</v>
      </c>
      <c r="I337" s="3">
        <v>347.99</v>
      </c>
      <c r="J337" s="3">
        <v>488.25</v>
      </c>
      <c r="K337" t="s">
        <v>156</v>
      </c>
      <c r="L337">
        <v>8</v>
      </c>
      <c r="M337">
        <v>1</v>
      </c>
      <c r="N337">
        <v>491</v>
      </c>
      <c r="O337" s="2">
        <v>45845</v>
      </c>
      <c r="P337">
        <v>1</v>
      </c>
      <c r="Q337">
        <v>49.23</v>
      </c>
      <c r="R337" t="s">
        <v>1774</v>
      </c>
    </row>
    <row r="338" spans="1:18" x14ac:dyDescent="0.3">
      <c r="A338" t="s">
        <v>2455</v>
      </c>
      <c r="B338" t="s">
        <v>2456</v>
      </c>
      <c r="C338" t="s">
        <v>2457</v>
      </c>
      <c r="D338" t="s">
        <v>2449</v>
      </c>
      <c r="E338" t="s">
        <v>2450</v>
      </c>
      <c r="F338">
        <v>1000</v>
      </c>
      <c r="G338" t="s">
        <v>2310</v>
      </c>
      <c r="H338">
        <v>6</v>
      </c>
      <c r="I338" s="3">
        <v>311</v>
      </c>
      <c r="J338" s="3">
        <v>402.53</v>
      </c>
      <c r="K338" t="s">
        <v>174</v>
      </c>
      <c r="L338">
        <v>10</v>
      </c>
      <c r="M338">
        <v>1</v>
      </c>
      <c r="N338">
        <v>842</v>
      </c>
      <c r="O338" s="2">
        <v>45831</v>
      </c>
      <c r="P338">
        <v>1</v>
      </c>
      <c r="Q338">
        <v>1.49</v>
      </c>
      <c r="R338" t="s">
        <v>1741</v>
      </c>
    </row>
    <row r="339" spans="1:18" x14ac:dyDescent="0.3">
      <c r="A339" t="s">
        <v>2458</v>
      </c>
      <c r="B339" t="s">
        <v>2459</v>
      </c>
      <c r="C339" t="s">
        <v>2457</v>
      </c>
      <c r="D339" t="s">
        <v>2449</v>
      </c>
      <c r="E339" t="s">
        <v>2460</v>
      </c>
      <c r="F339">
        <v>2000</v>
      </c>
      <c r="G339" t="s">
        <v>2310</v>
      </c>
      <c r="H339">
        <v>1</v>
      </c>
      <c r="I339" s="3">
        <v>191.83</v>
      </c>
      <c r="J339" s="3">
        <v>261.31</v>
      </c>
      <c r="K339" t="s">
        <v>108</v>
      </c>
      <c r="L339">
        <v>9</v>
      </c>
      <c r="M339">
        <v>12</v>
      </c>
      <c r="N339">
        <v>770</v>
      </c>
      <c r="O339" s="2">
        <v>45974</v>
      </c>
      <c r="P339">
        <v>1</v>
      </c>
      <c r="Q339">
        <v>32.26</v>
      </c>
      <c r="R339" t="s">
        <v>77</v>
      </c>
    </row>
    <row r="340" spans="1:18" x14ac:dyDescent="0.3">
      <c r="A340" t="s">
        <v>2461</v>
      </c>
      <c r="B340" t="s">
        <v>2462</v>
      </c>
      <c r="C340" t="s">
        <v>2463</v>
      </c>
      <c r="D340" t="s">
        <v>2449</v>
      </c>
      <c r="E340" t="s">
        <v>2460</v>
      </c>
      <c r="F340">
        <v>2000</v>
      </c>
      <c r="G340" t="s">
        <v>2310</v>
      </c>
      <c r="H340">
        <v>4</v>
      </c>
      <c r="I340" s="3">
        <v>225.49</v>
      </c>
      <c r="J340" s="3">
        <v>290.58</v>
      </c>
      <c r="K340" t="s">
        <v>144</v>
      </c>
      <c r="L340">
        <v>13</v>
      </c>
      <c r="M340">
        <v>6</v>
      </c>
      <c r="N340">
        <v>978</v>
      </c>
      <c r="O340" s="2">
        <v>45680</v>
      </c>
      <c r="P340">
        <v>1</v>
      </c>
      <c r="Q340">
        <v>36.39</v>
      </c>
      <c r="R340" t="s">
        <v>1774</v>
      </c>
    </row>
    <row r="341" spans="1:18" x14ac:dyDescent="0.3">
      <c r="A341" t="s">
        <v>2464</v>
      </c>
      <c r="B341" t="s">
        <v>2465</v>
      </c>
      <c r="C341" t="s">
        <v>2457</v>
      </c>
      <c r="D341" t="s">
        <v>2449</v>
      </c>
      <c r="E341" t="s">
        <v>2460</v>
      </c>
      <c r="F341">
        <v>1000</v>
      </c>
      <c r="G341" t="s">
        <v>2310</v>
      </c>
      <c r="H341">
        <v>12</v>
      </c>
      <c r="I341" s="3">
        <v>141.91</v>
      </c>
      <c r="J341" s="3">
        <v>193.04</v>
      </c>
      <c r="K341" t="s">
        <v>182</v>
      </c>
      <c r="L341">
        <v>10</v>
      </c>
      <c r="M341">
        <v>48</v>
      </c>
      <c r="N341">
        <v>971</v>
      </c>
      <c r="O341" s="2">
        <v>45695</v>
      </c>
      <c r="P341">
        <v>1</v>
      </c>
      <c r="Q341">
        <v>7.54</v>
      </c>
      <c r="R341" t="s">
        <v>1750</v>
      </c>
    </row>
    <row r="342" spans="1:18" x14ac:dyDescent="0.3">
      <c r="A342" t="s">
        <v>2466</v>
      </c>
      <c r="B342" t="s">
        <v>2467</v>
      </c>
      <c r="C342" t="s">
        <v>2463</v>
      </c>
      <c r="D342" t="s">
        <v>2449</v>
      </c>
      <c r="E342" t="s">
        <v>2454</v>
      </c>
      <c r="F342">
        <v>500</v>
      </c>
      <c r="G342" t="s">
        <v>2310</v>
      </c>
      <c r="H342">
        <v>36</v>
      </c>
      <c r="I342" s="3">
        <v>136.22999999999999</v>
      </c>
      <c r="J342" s="3">
        <v>181.21</v>
      </c>
      <c r="K342" t="s">
        <v>176</v>
      </c>
      <c r="L342">
        <v>7</v>
      </c>
      <c r="M342">
        <v>6</v>
      </c>
      <c r="N342">
        <v>525</v>
      </c>
      <c r="O342" s="2">
        <v>45726</v>
      </c>
      <c r="P342">
        <v>1</v>
      </c>
      <c r="Q342">
        <v>11.9</v>
      </c>
      <c r="R342" t="s">
        <v>1750</v>
      </c>
    </row>
    <row r="343" spans="1:18" x14ac:dyDescent="0.3">
      <c r="A343" t="s">
        <v>2468</v>
      </c>
      <c r="B343" t="s">
        <v>2469</v>
      </c>
      <c r="C343" t="s">
        <v>1731</v>
      </c>
      <c r="D343" t="s">
        <v>2449</v>
      </c>
      <c r="E343" t="s">
        <v>2460</v>
      </c>
      <c r="F343">
        <v>1000</v>
      </c>
      <c r="G343" t="s">
        <v>2310</v>
      </c>
      <c r="H343">
        <v>6</v>
      </c>
      <c r="I343" s="3">
        <v>245.42</v>
      </c>
      <c r="J343" s="3">
        <v>349.21</v>
      </c>
      <c r="K343" t="s">
        <v>172</v>
      </c>
      <c r="L343">
        <v>12</v>
      </c>
      <c r="M343">
        <v>1</v>
      </c>
      <c r="N343">
        <v>677</v>
      </c>
      <c r="O343" s="2">
        <v>45941</v>
      </c>
      <c r="P343">
        <v>1</v>
      </c>
      <c r="Q343">
        <v>29.6</v>
      </c>
      <c r="R343" t="s">
        <v>77</v>
      </c>
    </row>
    <row r="344" spans="1:18" x14ac:dyDescent="0.3">
      <c r="A344" t="s">
        <v>2470</v>
      </c>
      <c r="B344" t="s">
        <v>2471</v>
      </c>
      <c r="C344" t="s">
        <v>2453</v>
      </c>
      <c r="D344" t="s">
        <v>2449</v>
      </c>
      <c r="E344" t="s">
        <v>2472</v>
      </c>
      <c r="F344">
        <v>100</v>
      </c>
      <c r="G344" t="s">
        <v>2310</v>
      </c>
      <c r="H344">
        <v>36</v>
      </c>
      <c r="I344" s="3">
        <v>190.32</v>
      </c>
      <c r="J344" s="3">
        <v>244.42</v>
      </c>
      <c r="K344" t="s">
        <v>186</v>
      </c>
      <c r="L344">
        <v>16</v>
      </c>
      <c r="M344">
        <v>100</v>
      </c>
      <c r="N344">
        <v>983</v>
      </c>
      <c r="O344" s="2">
        <v>45760</v>
      </c>
      <c r="P344">
        <v>1</v>
      </c>
      <c r="Q344">
        <v>6.26</v>
      </c>
      <c r="R344" t="s">
        <v>1750</v>
      </c>
    </row>
    <row r="345" spans="1:18" x14ac:dyDescent="0.3">
      <c r="A345" t="s">
        <v>2473</v>
      </c>
      <c r="B345" t="s">
        <v>2474</v>
      </c>
      <c r="C345" t="s">
        <v>1731</v>
      </c>
      <c r="D345" t="s">
        <v>2449</v>
      </c>
      <c r="E345" t="s">
        <v>2460</v>
      </c>
      <c r="F345">
        <v>500</v>
      </c>
      <c r="G345" t="s">
        <v>2310</v>
      </c>
      <c r="H345">
        <v>12</v>
      </c>
      <c r="I345" s="3">
        <v>435.55</v>
      </c>
      <c r="J345" s="3">
        <v>599.03</v>
      </c>
      <c r="K345" t="s">
        <v>156</v>
      </c>
      <c r="L345">
        <v>8</v>
      </c>
      <c r="M345">
        <v>2</v>
      </c>
      <c r="N345">
        <v>643</v>
      </c>
      <c r="O345" s="2">
        <v>45927</v>
      </c>
      <c r="P345">
        <v>1</v>
      </c>
      <c r="Q345">
        <v>14.65</v>
      </c>
      <c r="R345" t="s">
        <v>77</v>
      </c>
    </row>
    <row r="346" spans="1:18" x14ac:dyDescent="0.3">
      <c r="A346" t="s">
        <v>2475</v>
      </c>
      <c r="B346" t="s">
        <v>2476</v>
      </c>
      <c r="C346" t="s">
        <v>2453</v>
      </c>
      <c r="D346" t="s">
        <v>2449</v>
      </c>
      <c r="E346" t="s">
        <v>2450</v>
      </c>
      <c r="F346">
        <v>1000</v>
      </c>
      <c r="G346" t="s">
        <v>2310</v>
      </c>
      <c r="H346">
        <v>6</v>
      </c>
      <c r="I346" s="3">
        <v>223.61</v>
      </c>
      <c r="J346" s="3">
        <v>279.89999999999998</v>
      </c>
      <c r="K346" t="s">
        <v>196</v>
      </c>
      <c r="L346">
        <v>25</v>
      </c>
      <c r="M346">
        <v>24</v>
      </c>
      <c r="N346">
        <v>1067</v>
      </c>
      <c r="O346" s="2">
        <v>45487</v>
      </c>
      <c r="P346">
        <v>1</v>
      </c>
      <c r="Q346">
        <v>23.97</v>
      </c>
      <c r="R346" t="s">
        <v>77</v>
      </c>
    </row>
    <row r="347" spans="1:18" x14ac:dyDescent="0.3">
      <c r="A347" t="s">
        <v>2477</v>
      </c>
      <c r="B347" t="s">
        <v>2478</v>
      </c>
      <c r="C347" t="s">
        <v>2453</v>
      </c>
      <c r="D347" t="s">
        <v>2449</v>
      </c>
      <c r="E347" t="s">
        <v>2472</v>
      </c>
      <c r="F347">
        <v>300</v>
      </c>
      <c r="G347" t="s">
        <v>2310</v>
      </c>
      <c r="H347">
        <v>36</v>
      </c>
      <c r="I347" s="3">
        <v>58.11</v>
      </c>
      <c r="J347" s="3">
        <v>80.260000000000005</v>
      </c>
      <c r="K347" t="s">
        <v>144</v>
      </c>
      <c r="L347">
        <v>13</v>
      </c>
      <c r="M347">
        <v>2</v>
      </c>
      <c r="N347">
        <v>488</v>
      </c>
      <c r="O347" s="2">
        <v>45943</v>
      </c>
      <c r="P347">
        <v>1</v>
      </c>
      <c r="Q347">
        <v>4.0599999999999996</v>
      </c>
      <c r="R347" t="s">
        <v>1741</v>
      </c>
    </row>
    <row r="348" spans="1:18" x14ac:dyDescent="0.3">
      <c r="A348" t="s">
        <v>2479</v>
      </c>
      <c r="B348" t="s">
        <v>2480</v>
      </c>
      <c r="C348" t="s">
        <v>2463</v>
      </c>
      <c r="D348" t="s">
        <v>2449</v>
      </c>
      <c r="E348" t="s">
        <v>2460</v>
      </c>
      <c r="F348">
        <v>500</v>
      </c>
      <c r="G348" t="s">
        <v>2310</v>
      </c>
      <c r="H348">
        <v>12</v>
      </c>
      <c r="I348" s="3">
        <v>76.069999999999993</v>
      </c>
      <c r="J348" s="3">
        <v>107.7</v>
      </c>
      <c r="K348" t="s">
        <v>164</v>
      </c>
      <c r="L348">
        <v>13</v>
      </c>
      <c r="M348">
        <v>2</v>
      </c>
      <c r="N348">
        <v>418</v>
      </c>
      <c r="O348" s="2">
        <v>45376</v>
      </c>
      <c r="P348">
        <v>1</v>
      </c>
      <c r="Q348">
        <v>5.88</v>
      </c>
      <c r="R348" t="s">
        <v>1750</v>
      </c>
    </row>
    <row r="349" spans="1:18" x14ac:dyDescent="0.3">
      <c r="A349" t="s">
        <v>2481</v>
      </c>
      <c r="B349" t="s">
        <v>2482</v>
      </c>
      <c r="C349" t="s">
        <v>2453</v>
      </c>
      <c r="D349" t="s">
        <v>2449</v>
      </c>
      <c r="E349" t="s">
        <v>2460</v>
      </c>
      <c r="F349">
        <v>5000</v>
      </c>
      <c r="G349" t="s">
        <v>2310</v>
      </c>
      <c r="H349">
        <v>4</v>
      </c>
      <c r="I349" s="3">
        <v>345.31</v>
      </c>
      <c r="J349" s="3">
        <v>469.43</v>
      </c>
      <c r="K349" t="s">
        <v>172</v>
      </c>
      <c r="L349">
        <v>12</v>
      </c>
      <c r="M349">
        <v>48</v>
      </c>
      <c r="N349">
        <v>446</v>
      </c>
      <c r="O349" s="2">
        <v>45538</v>
      </c>
      <c r="P349">
        <v>1</v>
      </c>
      <c r="Q349">
        <v>18.809999999999999</v>
      </c>
      <c r="R349" t="s">
        <v>77</v>
      </c>
    </row>
    <row r="350" spans="1:18" x14ac:dyDescent="0.3">
      <c r="A350" t="s">
        <v>2483</v>
      </c>
      <c r="B350" t="s">
        <v>2484</v>
      </c>
      <c r="C350" t="s">
        <v>1731</v>
      </c>
      <c r="D350" t="s">
        <v>2449</v>
      </c>
      <c r="E350" t="s">
        <v>2450</v>
      </c>
      <c r="F350">
        <v>2000</v>
      </c>
      <c r="G350" t="s">
        <v>2310</v>
      </c>
      <c r="H350">
        <v>2</v>
      </c>
      <c r="I350" s="3">
        <v>555.16999999999996</v>
      </c>
      <c r="J350" s="3">
        <v>762.5</v>
      </c>
      <c r="K350" t="s">
        <v>160</v>
      </c>
      <c r="L350">
        <v>16</v>
      </c>
      <c r="M350">
        <v>24</v>
      </c>
      <c r="N350">
        <v>1008</v>
      </c>
      <c r="O350" s="2">
        <v>45543</v>
      </c>
      <c r="P350">
        <v>1</v>
      </c>
      <c r="Q350">
        <v>13.82</v>
      </c>
      <c r="R350" t="s">
        <v>77</v>
      </c>
    </row>
    <row r="351" spans="1:18" x14ac:dyDescent="0.3">
      <c r="A351" t="s">
        <v>2485</v>
      </c>
      <c r="B351" t="s">
        <v>2486</v>
      </c>
      <c r="C351" t="s">
        <v>2453</v>
      </c>
      <c r="D351" t="s">
        <v>2449</v>
      </c>
      <c r="E351" t="s">
        <v>2454</v>
      </c>
      <c r="F351">
        <v>500</v>
      </c>
      <c r="G351" t="s">
        <v>2310</v>
      </c>
      <c r="H351">
        <v>24</v>
      </c>
      <c r="I351" s="3">
        <v>50.28</v>
      </c>
      <c r="J351" s="3">
        <v>64.510000000000005</v>
      </c>
      <c r="K351" t="s">
        <v>128</v>
      </c>
      <c r="L351">
        <v>13</v>
      </c>
      <c r="M351">
        <v>6</v>
      </c>
      <c r="N351">
        <v>989</v>
      </c>
      <c r="O351" s="2">
        <v>45955</v>
      </c>
      <c r="P351">
        <v>1</v>
      </c>
      <c r="Q351">
        <v>59.95</v>
      </c>
      <c r="R351" t="s">
        <v>1774</v>
      </c>
    </row>
    <row r="352" spans="1:18" x14ac:dyDescent="0.3">
      <c r="A352" t="s">
        <v>2487</v>
      </c>
      <c r="B352" t="s">
        <v>2488</v>
      </c>
      <c r="C352" t="s">
        <v>2453</v>
      </c>
      <c r="D352" t="s">
        <v>2449</v>
      </c>
      <c r="E352" t="s">
        <v>2472</v>
      </c>
      <c r="F352">
        <v>200</v>
      </c>
      <c r="G352" t="s">
        <v>2310</v>
      </c>
      <c r="H352">
        <v>12</v>
      </c>
      <c r="I352" s="3">
        <v>83.72</v>
      </c>
      <c r="J352" s="3">
        <v>109.95</v>
      </c>
      <c r="K352" t="s">
        <v>148</v>
      </c>
      <c r="L352">
        <v>24</v>
      </c>
      <c r="M352">
        <v>48</v>
      </c>
      <c r="N352">
        <v>632</v>
      </c>
      <c r="O352" s="2">
        <v>45828</v>
      </c>
      <c r="P352">
        <v>1</v>
      </c>
      <c r="Q352">
        <v>1.72</v>
      </c>
      <c r="R352" t="s">
        <v>1741</v>
      </c>
    </row>
    <row r="353" spans="1:18" x14ac:dyDescent="0.3">
      <c r="A353" t="s">
        <v>2489</v>
      </c>
      <c r="B353" t="s">
        <v>2490</v>
      </c>
      <c r="C353" t="s">
        <v>2457</v>
      </c>
      <c r="D353" t="s">
        <v>2449</v>
      </c>
      <c r="E353" t="s">
        <v>2450</v>
      </c>
      <c r="F353">
        <v>500</v>
      </c>
      <c r="G353" t="s">
        <v>2310</v>
      </c>
      <c r="H353">
        <v>36</v>
      </c>
      <c r="I353" s="3">
        <v>254.55</v>
      </c>
      <c r="J353" s="3">
        <v>337.57</v>
      </c>
      <c r="K353" t="s">
        <v>191</v>
      </c>
      <c r="L353">
        <v>8</v>
      </c>
      <c r="M353">
        <v>4</v>
      </c>
      <c r="N353">
        <v>952</v>
      </c>
      <c r="O353" s="2">
        <v>45768</v>
      </c>
      <c r="P353">
        <v>1</v>
      </c>
      <c r="Q353">
        <v>27.43</v>
      </c>
      <c r="R353" t="s">
        <v>77</v>
      </c>
    </row>
    <row r="354" spans="1:18" x14ac:dyDescent="0.3">
      <c r="A354" t="s">
        <v>2491</v>
      </c>
      <c r="B354" t="s">
        <v>2492</v>
      </c>
      <c r="C354" t="s">
        <v>2463</v>
      </c>
      <c r="D354" t="s">
        <v>2449</v>
      </c>
      <c r="E354" t="s">
        <v>2460</v>
      </c>
      <c r="F354">
        <v>500</v>
      </c>
      <c r="G354" t="s">
        <v>2310</v>
      </c>
      <c r="H354">
        <v>24</v>
      </c>
      <c r="I354" s="3">
        <v>77.63</v>
      </c>
      <c r="J354" s="3">
        <v>104.41</v>
      </c>
      <c r="K354" t="s">
        <v>142</v>
      </c>
      <c r="L354">
        <v>9</v>
      </c>
      <c r="M354">
        <v>1</v>
      </c>
      <c r="N354">
        <v>1047</v>
      </c>
      <c r="O354" s="2">
        <v>45295</v>
      </c>
      <c r="P354">
        <v>1</v>
      </c>
      <c r="Q354">
        <v>7.5</v>
      </c>
      <c r="R354" t="s">
        <v>1750</v>
      </c>
    </row>
    <row r="355" spans="1:18" x14ac:dyDescent="0.3">
      <c r="A355" t="s">
        <v>2493</v>
      </c>
      <c r="B355" t="s">
        <v>2494</v>
      </c>
      <c r="C355" t="s">
        <v>2453</v>
      </c>
      <c r="D355" t="s">
        <v>2449</v>
      </c>
      <c r="E355" t="s">
        <v>2454</v>
      </c>
      <c r="F355">
        <v>250</v>
      </c>
      <c r="G355" t="s">
        <v>2310</v>
      </c>
      <c r="H355">
        <v>24</v>
      </c>
      <c r="I355" s="3">
        <v>79.3</v>
      </c>
      <c r="J355" s="3">
        <v>109.31</v>
      </c>
      <c r="K355" t="s">
        <v>158</v>
      </c>
      <c r="L355">
        <v>18</v>
      </c>
      <c r="M355">
        <v>48</v>
      </c>
      <c r="N355">
        <v>699</v>
      </c>
      <c r="O355" s="2">
        <v>45962</v>
      </c>
      <c r="P355">
        <v>1</v>
      </c>
      <c r="Q355">
        <v>11.15</v>
      </c>
      <c r="R355" t="s">
        <v>1750</v>
      </c>
    </row>
    <row r="356" spans="1:18" x14ac:dyDescent="0.3">
      <c r="A356" t="s">
        <v>2495</v>
      </c>
      <c r="B356" t="s">
        <v>2496</v>
      </c>
      <c r="C356" t="s">
        <v>2463</v>
      </c>
      <c r="D356" t="s">
        <v>2449</v>
      </c>
      <c r="E356" t="s">
        <v>2472</v>
      </c>
      <c r="F356">
        <v>200</v>
      </c>
      <c r="G356" t="s">
        <v>2310</v>
      </c>
      <c r="H356">
        <v>12</v>
      </c>
      <c r="I356" s="3">
        <v>402.19</v>
      </c>
      <c r="J356" s="3">
        <v>568.84</v>
      </c>
      <c r="K356" t="s">
        <v>156</v>
      </c>
      <c r="L356">
        <v>8</v>
      </c>
      <c r="M356">
        <v>6</v>
      </c>
      <c r="N356">
        <v>491</v>
      </c>
      <c r="O356" s="2">
        <v>45351</v>
      </c>
      <c r="P356">
        <v>1</v>
      </c>
      <c r="Q356">
        <v>6.37</v>
      </c>
      <c r="R356" t="s">
        <v>1750</v>
      </c>
    </row>
    <row r="357" spans="1:18" x14ac:dyDescent="0.3">
      <c r="A357" t="s">
        <v>2497</v>
      </c>
      <c r="B357" t="s">
        <v>2498</v>
      </c>
      <c r="C357" t="s">
        <v>2463</v>
      </c>
      <c r="D357" t="s">
        <v>2449</v>
      </c>
      <c r="E357" t="s">
        <v>2460</v>
      </c>
      <c r="F357">
        <v>5000</v>
      </c>
      <c r="G357" t="s">
        <v>2310</v>
      </c>
      <c r="H357">
        <v>1</v>
      </c>
      <c r="I357" s="3">
        <v>81.41</v>
      </c>
      <c r="J357" s="3">
        <v>114.5</v>
      </c>
      <c r="K357" t="s">
        <v>189</v>
      </c>
      <c r="L357">
        <v>13</v>
      </c>
      <c r="M357">
        <v>6</v>
      </c>
      <c r="N357">
        <v>524</v>
      </c>
      <c r="O357" s="2">
        <v>45607</v>
      </c>
      <c r="P357">
        <v>1</v>
      </c>
      <c r="Q357">
        <v>45.46</v>
      </c>
      <c r="R357" t="s">
        <v>1774</v>
      </c>
    </row>
    <row r="358" spans="1:18" x14ac:dyDescent="0.3">
      <c r="A358" t="s">
        <v>2499</v>
      </c>
      <c r="B358" t="s">
        <v>2500</v>
      </c>
      <c r="C358" t="s">
        <v>2457</v>
      </c>
      <c r="D358" t="s">
        <v>2449</v>
      </c>
      <c r="E358" t="s">
        <v>2472</v>
      </c>
      <c r="F358">
        <v>300</v>
      </c>
      <c r="G358" t="s">
        <v>2310</v>
      </c>
      <c r="H358">
        <v>24</v>
      </c>
      <c r="I358" s="3">
        <v>139.38</v>
      </c>
      <c r="J358" s="3">
        <v>178.81</v>
      </c>
      <c r="K358" t="s">
        <v>191</v>
      </c>
      <c r="L358">
        <v>8</v>
      </c>
      <c r="M358">
        <v>12</v>
      </c>
      <c r="N358">
        <v>442</v>
      </c>
      <c r="O358" s="2">
        <v>45758</v>
      </c>
      <c r="P358">
        <v>1</v>
      </c>
      <c r="Q358">
        <v>3.33</v>
      </c>
      <c r="R358" t="s">
        <v>1741</v>
      </c>
    </row>
    <row r="359" spans="1:18" x14ac:dyDescent="0.3">
      <c r="A359" t="s">
        <v>2501</v>
      </c>
      <c r="B359" t="s">
        <v>2502</v>
      </c>
      <c r="C359" t="s">
        <v>2463</v>
      </c>
      <c r="D359" t="s">
        <v>2449</v>
      </c>
      <c r="E359" t="s">
        <v>2472</v>
      </c>
      <c r="F359">
        <v>200</v>
      </c>
      <c r="G359" t="s">
        <v>2310</v>
      </c>
      <c r="H359">
        <v>12</v>
      </c>
      <c r="I359" s="3">
        <v>363.09</v>
      </c>
      <c r="J359" s="3">
        <v>456.31</v>
      </c>
      <c r="K359" t="s">
        <v>150</v>
      </c>
      <c r="L359">
        <v>11</v>
      </c>
      <c r="M359">
        <v>24</v>
      </c>
      <c r="N359">
        <v>458</v>
      </c>
      <c r="O359" s="2">
        <v>45336</v>
      </c>
      <c r="P359">
        <v>1</v>
      </c>
      <c r="Q359">
        <v>16.05</v>
      </c>
      <c r="R359" t="s">
        <v>77</v>
      </c>
    </row>
    <row r="360" spans="1:18" x14ac:dyDescent="0.3">
      <c r="A360" t="s">
        <v>2503</v>
      </c>
      <c r="B360" t="s">
        <v>2504</v>
      </c>
      <c r="C360" t="s">
        <v>2453</v>
      </c>
      <c r="D360" t="s">
        <v>2449</v>
      </c>
      <c r="E360" t="s">
        <v>2472</v>
      </c>
      <c r="F360">
        <v>200</v>
      </c>
      <c r="G360" t="s">
        <v>2310</v>
      </c>
      <c r="H360">
        <v>24</v>
      </c>
      <c r="I360" s="3">
        <v>428.67</v>
      </c>
      <c r="J360" s="3">
        <v>602.02</v>
      </c>
      <c r="K360" t="s">
        <v>186</v>
      </c>
      <c r="L360">
        <v>16</v>
      </c>
      <c r="M360">
        <v>2</v>
      </c>
      <c r="N360">
        <v>724</v>
      </c>
      <c r="O360" s="2">
        <v>45739</v>
      </c>
      <c r="P360">
        <v>1</v>
      </c>
      <c r="Q360">
        <v>2.52</v>
      </c>
      <c r="R360" t="s">
        <v>1750</v>
      </c>
    </row>
    <row r="361" spans="1:18" x14ac:dyDescent="0.3">
      <c r="A361" t="s">
        <v>2505</v>
      </c>
      <c r="B361" t="s">
        <v>2506</v>
      </c>
      <c r="C361" t="s">
        <v>2463</v>
      </c>
      <c r="D361" t="s">
        <v>2449</v>
      </c>
      <c r="E361" t="s">
        <v>2454</v>
      </c>
      <c r="F361">
        <v>500</v>
      </c>
      <c r="G361" t="s">
        <v>2310</v>
      </c>
      <c r="H361">
        <v>24</v>
      </c>
      <c r="I361" s="3">
        <v>314.95</v>
      </c>
      <c r="J361" s="3">
        <v>440.93</v>
      </c>
      <c r="K361" t="s">
        <v>176</v>
      </c>
      <c r="L361">
        <v>7</v>
      </c>
      <c r="M361">
        <v>4</v>
      </c>
      <c r="N361">
        <v>871</v>
      </c>
      <c r="O361" s="2">
        <v>45866</v>
      </c>
      <c r="P361">
        <v>1</v>
      </c>
      <c r="Q361">
        <v>13.74</v>
      </c>
      <c r="R361" t="s">
        <v>1750</v>
      </c>
    </row>
    <row r="362" spans="1:18" x14ac:dyDescent="0.3">
      <c r="A362" t="s">
        <v>2507</v>
      </c>
      <c r="B362" t="s">
        <v>2508</v>
      </c>
      <c r="C362" t="s">
        <v>1731</v>
      </c>
      <c r="D362" t="s">
        <v>2449</v>
      </c>
      <c r="E362" t="s">
        <v>2454</v>
      </c>
      <c r="F362">
        <v>500</v>
      </c>
      <c r="G362" t="s">
        <v>2310</v>
      </c>
      <c r="H362">
        <v>24</v>
      </c>
      <c r="I362" s="3">
        <v>267.23</v>
      </c>
      <c r="J362" s="3">
        <v>338.25</v>
      </c>
      <c r="K362" t="s">
        <v>160</v>
      </c>
      <c r="L362">
        <v>16</v>
      </c>
      <c r="M362">
        <v>4</v>
      </c>
      <c r="N362">
        <v>406</v>
      </c>
      <c r="O362" s="2">
        <v>45548</v>
      </c>
      <c r="P362">
        <v>1</v>
      </c>
      <c r="Q362">
        <v>9.1199999999999992</v>
      </c>
      <c r="R362" t="s">
        <v>1750</v>
      </c>
    </row>
    <row r="363" spans="1:18" x14ac:dyDescent="0.3">
      <c r="A363" t="s">
        <v>2509</v>
      </c>
      <c r="B363" t="s">
        <v>2510</v>
      </c>
      <c r="C363" t="s">
        <v>2463</v>
      </c>
      <c r="D363" t="s">
        <v>2449</v>
      </c>
      <c r="E363" t="s">
        <v>2460</v>
      </c>
      <c r="F363">
        <v>2000</v>
      </c>
      <c r="G363" t="s">
        <v>2310</v>
      </c>
      <c r="H363">
        <v>1</v>
      </c>
      <c r="I363" s="3">
        <v>60.12</v>
      </c>
      <c r="J363" s="3">
        <v>76.540000000000006</v>
      </c>
      <c r="K363" t="s">
        <v>115</v>
      </c>
      <c r="L363">
        <v>15</v>
      </c>
      <c r="M363">
        <v>100</v>
      </c>
      <c r="N363">
        <v>1057</v>
      </c>
      <c r="O363" s="2">
        <v>45635</v>
      </c>
      <c r="P363">
        <v>1</v>
      </c>
      <c r="Q363">
        <v>1.39</v>
      </c>
      <c r="R363" t="s">
        <v>1741</v>
      </c>
    </row>
    <row r="364" spans="1:18" x14ac:dyDescent="0.3">
      <c r="A364" t="s">
        <v>2511</v>
      </c>
      <c r="B364" t="s">
        <v>2512</v>
      </c>
      <c r="C364" t="s">
        <v>2457</v>
      </c>
      <c r="D364" t="s">
        <v>2449</v>
      </c>
      <c r="E364" t="s">
        <v>2450</v>
      </c>
      <c r="F364">
        <v>2000</v>
      </c>
      <c r="G364" t="s">
        <v>2310</v>
      </c>
      <c r="H364">
        <v>4</v>
      </c>
      <c r="I364" s="3">
        <v>563.69000000000005</v>
      </c>
      <c r="J364" s="3">
        <v>773.9</v>
      </c>
      <c r="K364" t="s">
        <v>146</v>
      </c>
      <c r="L364">
        <v>15</v>
      </c>
      <c r="M364">
        <v>4</v>
      </c>
      <c r="N364">
        <v>773</v>
      </c>
      <c r="O364" s="2">
        <v>45371</v>
      </c>
      <c r="P364">
        <v>1</v>
      </c>
      <c r="Q364">
        <v>3.31</v>
      </c>
      <c r="R364" t="s">
        <v>1750</v>
      </c>
    </row>
    <row r="365" spans="1:18" x14ac:dyDescent="0.3">
      <c r="A365" t="s">
        <v>2513</v>
      </c>
      <c r="B365" t="s">
        <v>2514</v>
      </c>
      <c r="C365" t="s">
        <v>2453</v>
      </c>
      <c r="D365" t="s">
        <v>2449</v>
      </c>
      <c r="E365" t="s">
        <v>2460</v>
      </c>
      <c r="F365">
        <v>1000</v>
      </c>
      <c r="G365" t="s">
        <v>2310</v>
      </c>
      <c r="H365">
        <v>12</v>
      </c>
      <c r="I365" s="3">
        <v>114.9</v>
      </c>
      <c r="J365" s="3">
        <v>150.53</v>
      </c>
      <c r="K365" t="s">
        <v>164</v>
      </c>
      <c r="L365">
        <v>13</v>
      </c>
      <c r="M365">
        <v>1</v>
      </c>
      <c r="N365">
        <v>767</v>
      </c>
      <c r="O365" s="2">
        <v>45887</v>
      </c>
      <c r="P365">
        <v>1</v>
      </c>
      <c r="Q365">
        <v>35.21</v>
      </c>
      <c r="R365" t="s">
        <v>77</v>
      </c>
    </row>
    <row r="366" spans="1:18" x14ac:dyDescent="0.3">
      <c r="A366" t="s">
        <v>2515</v>
      </c>
      <c r="B366" t="s">
        <v>2516</v>
      </c>
      <c r="C366" t="s">
        <v>2453</v>
      </c>
      <c r="D366" t="s">
        <v>2449</v>
      </c>
      <c r="E366" t="s">
        <v>2472</v>
      </c>
      <c r="F366">
        <v>300</v>
      </c>
      <c r="G366" t="s">
        <v>2310</v>
      </c>
      <c r="H366">
        <v>24</v>
      </c>
      <c r="I366" s="3">
        <v>120.72</v>
      </c>
      <c r="J366" s="3">
        <v>153.21</v>
      </c>
      <c r="K366" t="s">
        <v>121</v>
      </c>
      <c r="L366">
        <v>15</v>
      </c>
      <c r="M366">
        <v>100</v>
      </c>
      <c r="N366">
        <v>999</v>
      </c>
      <c r="O366" s="2">
        <v>45572</v>
      </c>
      <c r="P366">
        <v>1</v>
      </c>
      <c r="Q366">
        <v>34.74</v>
      </c>
      <c r="R366" t="s">
        <v>77</v>
      </c>
    </row>
    <row r="367" spans="1:18" x14ac:dyDescent="0.3">
      <c r="A367" t="s">
        <v>2517</v>
      </c>
      <c r="B367" t="s">
        <v>2518</v>
      </c>
      <c r="C367" t="s">
        <v>2453</v>
      </c>
      <c r="D367" t="s">
        <v>2449</v>
      </c>
      <c r="E367" t="s">
        <v>2450</v>
      </c>
      <c r="F367">
        <v>500</v>
      </c>
      <c r="G367" t="s">
        <v>2310</v>
      </c>
      <c r="H367">
        <v>24</v>
      </c>
      <c r="I367" s="3">
        <v>312.32</v>
      </c>
      <c r="J367" s="3">
        <v>407.99</v>
      </c>
      <c r="K367" t="s">
        <v>135</v>
      </c>
      <c r="L367">
        <v>20</v>
      </c>
      <c r="M367">
        <v>24</v>
      </c>
      <c r="N367">
        <v>863</v>
      </c>
      <c r="O367" s="2">
        <v>45896</v>
      </c>
      <c r="P367">
        <v>1</v>
      </c>
      <c r="Q367">
        <v>69.02</v>
      </c>
      <c r="R367" t="s">
        <v>1774</v>
      </c>
    </row>
    <row r="368" spans="1:18" x14ac:dyDescent="0.3">
      <c r="A368" t="s">
        <v>2519</v>
      </c>
      <c r="B368" t="s">
        <v>2520</v>
      </c>
      <c r="C368" t="s">
        <v>1731</v>
      </c>
      <c r="D368" t="s">
        <v>2449</v>
      </c>
      <c r="E368" t="s">
        <v>2472</v>
      </c>
      <c r="F368">
        <v>200</v>
      </c>
      <c r="G368" t="s">
        <v>2310</v>
      </c>
      <c r="H368">
        <v>24</v>
      </c>
      <c r="I368" s="3">
        <v>121.32</v>
      </c>
      <c r="J368" s="3">
        <v>171.54</v>
      </c>
      <c r="K368" t="s">
        <v>152</v>
      </c>
      <c r="L368">
        <v>17</v>
      </c>
      <c r="M368">
        <v>48</v>
      </c>
      <c r="N368">
        <v>1041</v>
      </c>
      <c r="O368" s="2">
        <v>45497</v>
      </c>
      <c r="P368">
        <v>1</v>
      </c>
      <c r="Q368">
        <v>19.45</v>
      </c>
      <c r="R368" t="s">
        <v>77</v>
      </c>
    </row>
    <row r="369" spans="1:18" x14ac:dyDescent="0.3">
      <c r="A369" t="s">
        <v>2521</v>
      </c>
      <c r="B369" t="s">
        <v>2522</v>
      </c>
      <c r="C369" t="s">
        <v>1731</v>
      </c>
      <c r="D369" t="s">
        <v>2449</v>
      </c>
      <c r="E369" t="s">
        <v>2454</v>
      </c>
      <c r="F369">
        <v>250</v>
      </c>
      <c r="G369" t="s">
        <v>2310</v>
      </c>
      <c r="H369">
        <v>36</v>
      </c>
      <c r="I369" s="3">
        <v>193.19</v>
      </c>
      <c r="J369" s="3">
        <v>266.85000000000002</v>
      </c>
      <c r="K369" t="s">
        <v>128</v>
      </c>
      <c r="L369">
        <v>13</v>
      </c>
      <c r="M369">
        <v>12</v>
      </c>
      <c r="N369">
        <v>788</v>
      </c>
      <c r="O369" s="2">
        <v>45304</v>
      </c>
      <c r="P369">
        <v>1</v>
      </c>
      <c r="Q369">
        <v>9.82</v>
      </c>
      <c r="R369" t="s">
        <v>1750</v>
      </c>
    </row>
    <row r="370" spans="1:18" x14ac:dyDescent="0.3">
      <c r="A370" t="s">
        <v>2523</v>
      </c>
      <c r="B370" t="s">
        <v>2524</v>
      </c>
      <c r="C370" t="s">
        <v>2453</v>
      </c>
      <c r="D370" t="s">
        <v>2449</v>
      </c>
      <c r="E370" t="s">
        <v>2450</v>
      </c>
      <c r="F370">
        <v>1000</v>
      </c>
      <c r="G370" t="s">
        <v>2310</v>
      </c>
      <c r="H370">
        <v>12</v>
      </c>
      <c r="I370" s="3">
        <v>68.73</v>
      </c>
      <c r="J370" s="3">
        <v>88.66</v>
      </c>
      <c r="K370" t="s">
        <v>115</v>
      </c>
      <c r="L370">
        <v>15</v>
      </c>
      <c r="M370">
        <v>1</v>
      </c>
      <c r="N370">
        <v>702</v>
      </c>
      <c r="O370" s="2">
        <v>45318</v>
      </c>
      <c r="P370">
        <v>1</v>
      </c>
      <c r="Q370">
        <v>32.44</v>
      </c>
      <c r="R370" t="s">
        <v>77</v>
      </c>
    </row>
    <row r="371" spans="1:18" x14ac:dyDescent="0.3">
      <c r="A371" t="s">
        <v>2525</v>
      </c>
      <c r="B371" t="s">
        <v>2526</v>
      </c>
      <c r="C371" t="s">
        <v>2453</v>
      </c>
      <c r="D371" t="s">
        <v>2449</v>
      </c>
      <c r="E371" t="s">
        <v>2454</v>
      </c>
      <c r="F371">
        <v>500</v>
      </c>
      <c r="G371" t="s">
        <v>2310</v>
      </c>
      <c r="H371">
        <v>36</v>
      </c>
      <c r="I371" s="3">
        <v>219.56</v>
      </c>
      <c r="J371" s="3">
        <v>311.48</v>
      </c>
      <c r="K371" t="s">
        <v>160</v>
      </c>
      <c r="L371">
        <v>16</v>
      </c>
      <c r="M371">
        <v>48</v>
      </c>
      <c r="N371">
        <v>890</v>
      </c>
      <c r="O371" s="2">
        <v>45812</v>
      </c>
      <c r="P371">
        <v>1</v>
      </c>
      <c r="Q371">
        <v>29.04</v>
      </c>
      <c r="R371" t="s">
        <v>77</v>
      </c>
    </row>
    <row r="372" spans="1:18" x14ac:dyDescent="0.3">
      <c r="A372" t="s">
        <v>2527</v>
      </c>
      <c r="B372" t="s">
        <v>2528</v>
      </c>
      <c r="C372" t="s">
        <v>2457</v>
      </c>
      <c r="D372" t="s">
        <v>2449</v>
      </c>
      <c r="E372" t="s">
        <v>2454</v>
      </c>
      <c r="F372">
        <v>250</v>
      </c>
      <c r="G372" t="s">
        <v>2310</v>
      </c>
      <c r="H372">
        <v>24</v>
      </c>
      <c r="I372" s="3">
        <v>327.52999999999997</v>
      </c>
      <c r="J372" s="3">
        <v>422.59</v>
      </c>
      <c r="K372" t="s">
        <v>148</v>
      </c>
      <c r="L372">
        <v>24</v>
      </c>
      <c r="M372">
        <v>4</v>
      </c>
      <c r="N372">
        <v>1047</v>
      </c>
      <c r="O372" s="2">
        <v>45597</v>
      </c>
      <c r="P372">
        <v>1</v>
      </c>
      <c r="Q372">
        <v>4.17</v>
      </c>
      <c r="R372" t="s">
        <v>1741</v>
      </c>
    </row>
    <row r="373" spans="1:18" x14ac:dyDescent="0.3">
      <c r="A373" t="s">
        <v>2529</v>
      </c>
      <c r="B373" t="s">
        <v>2530</v>
      </c>
      <c r="C373" t="s">
        <v>2457</v>
      </c>
      <c r="D373" t="s">
        <v>2449</v>
      </c>
      <c r="E373" t="s">
        <v>2472</v>
      </c>
      <c r="F373">
        <v>200</v>
      </c>
      <c r="G373" t="s">
        <v>2310</v>
      </c>
      <c r="H373">
        <v>24</v>
      </c>
      <c r="I373" s="3">
        <v>152.06</v>
      </c>
      <c r="J373" s="3">
        <v>210.63</v>
      </c>
      <c r="K373" t="s">
        <v>160</v>
      </c>
      <c r="L373">
        <v>16</v>
      </c>
      <c r="M373">
        <v>6</v>
      </c>
      <c r="N373">
        <v>890</v>
      </c>
      <c r="O373" s="2">
        <v>45469</v>
      </c>
      <c r="P373">
        <v>1</v>
      </c>
      <c r="Q373">
        <v>11.43</v>
      </c>
      <c r="R373" t="s">
        <v>1750</v>
      </c>
    </row>
    <row r="374" spans="1:18" x14ac:dyDescent="0.3">
      <c r="A374" t="s">
        <v>2531</v>
      </c>
      <c r="B374" t="s">
        <v>2532</v>
      </c>
      <c r="C374" t="s">
        <v>1731</v>
      </c>
      <c r="D374" t="s">
        <v>2449</v>
      </c>
      <c r="E374" t="s">
        <v>2472</v>
      </c>
      <c r="F374">
        <v>200</v>
      </c>
      <c r="G374" t="s">
        <v>2310</v>
      </c>
      <c r="H374">
        <v>12</v>
      </c>
      <c r="I374" s="3">
        <v>286.22000000000003</v>
      </c>
      <c r="J374" s="3">
        <v>391.24</v>
      </c>
      <c r="K374" t="s">
        <v>148</v>
      </c>
      <c r="L374">
        <v>24</v>
      </c>
      <c r="M374">
        <v>100</v>
      </c>
      <c r="N374">
        <v>465</v>
      </c>
      <c r="O374" s="2">
        <v>45975</v>
      </c>
      <c r="P374">
        <v>1</v>
      </c>
      <c r="Q374">
        <v>13.3</v>
      </c>
      <c r="R374" t="s">
        <v>77</v>
      </c>
    </row>
    <row r="375" spans="1:18" x14ac:dyDescent="0.3">
      <c r="A375" t="s">
        <v>2533</v>
      </c>
      <c r="B375" t="s">
        <v>2534</v>
      </c>
      <c r="C375" t="s">
        <v>2463</v>
      </c>
      <c r="D375" t="s">
        <v>2449</v>
      </c>
      <c r="E375" t="s">
        <v>2460</v>
      </c>
      <c r="F375">
        <v>5000</v>
      </c>
      <c r="G375" t="s">
        <v>2310</v>
      </c>
      <c r="H375">
        <v>4</v>
      </c>
      <c r="I375" s="3">
        <v>85.79</v>
      </c>
      <c r="J375" s="3">
        <v>113.78</v>
      </c>
      <c r="K375" t="s">
        <v>194</v>
      </c>
      <c r="L375">
        <v>14</v>
      </c>
      <c r="M375">
        <v>100</v>
      </c>
      <c r="N375">
        <v>843</v>
      </c>
      <c r="O375" s="2">
        <v>45401</v>
      </c>
      <c r="P375">
        <v>1</v>
      </c>
      <c r="Q375">
        <v>57.08</v>
      </c>
      <c r="R375" t="s">
        <v>1774</v>
      </c>
    </row>
    <row r="376" spans="1:18" x14ac:dyDescent="0.3">
      <c r="A376" t="s">
        <v>2535</v>
      </c>
      <c r="B376" t="s">
        <v>2536</v>
      </c>
      <c r="C376" t="s">
        <v>1731</v>
      </c>
      <c r="D376" t="s">
        <v>2449</v>
      </c>
      <c r="E376" t="s">
        <v>2454</v>
      </c>
      <c r="F376">
        <v>250</v>
      </c>
      <c r="G376" t="s">
        <v>2310</v>
      </c>
      <c r="H376">
        <v>12</v>
      </c>
      <c r="I376" s="3">
        <v>365.32</v>
      </c>
      <c r="J376" s="3">
        <v>495.71</v>
      </c>
      <c r="K376" t="s">
        <v>172</v>
      </c>
      <c r="L376">
        <v>12</v>
      </c>
      <c r="M376">
        <v>4</v>
      </c>
      <c r="N376">
        <v>432</v>
      </c>
      <c r="O376" s="2">
        <v>45921</v>
      </c>
      <c r="P376">
        <v>1</v>
      </c>
      <c r="Q376">
        <v>1.88</v>
      </c>
      <c r="R376" t="s">
        <v>1741</v>
      </c>
    </row>
    <row r="377" spans="1:18" x14ac:dyDescent="0.3">
      <c r="A377" t="s">
        <v>2537</v>
      </c>
      <c r="B377" t="s">
        <v>2538</v>
      </c>
      <c r="C377" t="s">
        <v>2453</v>
      </c>
      <c r="D377" t="s">
        <v>2449</v>
      </c>
      <c r="E377" t="s">
        <v>2460</v>
      </c>
      <c r="F377">
        <v>5000</v>
      </c>
      <c r="G377" t="s">
        <v>2310</v>
      </c>
      <c r="H377">
        <v>1</v>
      </c>
      <c r="I377" s="3">
        <v>315.13</v>
      </c>
      <c r="J377" s="3">
        <v>398.9</v>
      </c>
      <c r="K377" t="s">
        <v>156</v>
      </c>
      <c r="L377">
        <v>8</v>
      </c>
      <c r="M377">
        <v>24</v>
      </c>
      <c r="N377">
        <v>674</v>
      </c>
      <c r="O377" s="2">
        <v>45656</v>
      </c>
      <c r="P377">
        <v>1</v>
      </c>
      <c r="Q377">
        <v>13.83</v>
      </c>
      <c r="R377" t="s">
        <v>77</v>
      </c>
    </row>
    <row r="378" spans="1:18" x14ac:dyDescent="0.3">
      <c r="A378" t="s">
        <v>2539</v>
      </c>
      <c r="B378" t="s">
        <v>2540</v>
      </c>
      <c r="C378" t="s">
        <v>2457</v>
      </c>
      <c r="D378" t="s">
        <v>2449</v>
      </c>
      <c r="E378" t="s">
        <v>2472</v>
      </c>
      <c r="F378">
        <v>500</v>
      </c>
      <c r="G378" t="s">
        <v>2310</v>
      </c>
      <c r="H378">
        <v>12</v>
      </c>
      <c r="I378" s="3">
        <v>313.07</v>
      </c>
      <c r="J378" s="3">
        <v>443.1</v>
      </c>
      <c r="K378" t="s">
        <v>98</v>
      </c>
      <c r="L378">
        <v>11</v>
      </c>
      <c r="M378">
        <v>12</v>
      </c>
      <c r="N378">
        <v>970</v>
      </c>
      <c r="O378" s="2">
        <v>45300</v>
      </c>
      <c r="P378">
        <v>1</v>
      </c>
      <c r="Q378">
        <v>3.51</v>
      </c>
      <c r="R378" t="s">
        <v>1741</v>
      </c>
    </row>
    <row r="379" spans="1:18" x14ac:dyDescent="0.3">
      <c r="A379" t="s">
        <v>2541</v>
      </c>
      <c r="B379" t="s">
        <v>2542</v>
      </c>
      <c r="C379" t="s">
        <v>2463</v>
      </c>
      <c r="D379" t="s">
        <v>2449</v>
      </c>
      <c r="E379" t="s">
        <v>2454</v>
      </c>
      <c r="F379">
        <v>1000</v>
      </c>
      <c r="G379" t="s">
        <v>2310</v>
      </c>
      <c r="H379">
        <v>6</v>
      </c>
      <c r="I379" s="3">
        <v>360.47</v>
      </c>
      <c r="J379" s="3">
        <v>491.69</v>
      </c>
      <c r="K379" t="s">
        <v>170</v>
      </c>
      <c r="L379">
        <v>13</v>
      </c>
      <c r="M379">
        <v>2</v>
      </c>
      <c r="N379">
        <v>853</v>
      </c>
      <c r="O379" s="2">
        <v>45943</v>
      </c>
      <c r="P379">
        <v>1</v>
      </c>
      <c r="Q379">
        <v>21.09</v>
      </c>
      <c r="R379" t="s">
        <v>77</v>
      </c>
    </row>
    <row r="380" spans="1:18" x14ac:dyDescent="0.3">
      <c r="A380" t="s">
        <v>2543</v>
      </c>
      <c r="B380" t="s">
        <v>2544</v>
      </c>
      <c r="C380" t="s">
        <v>1731</v>
      </c>
      <c r="D380" t="s">
        <v>2449</v>
      </c>
      <c r="E380" t="s">
        <v>2450</v>
      </c>
      <c r="F380">
        <v>250</v>
      </c>
      <c r="G380" t="s">
        <v>2310</v>
      </c>
      <c r="H380">
        <v>12</v>
      </c>
      <c r="I380" s="3">
        <v>385.05</v>
      </c>
      <c r="J380" s="3">
        <v>545.4</v>
      </c>
      <c r="K380" t="s">
        <v>115</v>
      </c>
      <c r="L380">
        <v>15</v>
      </c>
      <c r="M380">
        <v>2</v>
      </c>
      <c r="N380">
        <v>949</v>
      </c>
      <c r="O380" s="2">
        <v>45387</v>
      </c>
      <c r="P380">
        <v>1</v>
      </c>
      <c r="Q380">
        <v>7.49</v>
      </c>
      <c r="R380" t="s">
        <v>1750</v>
      </c>
    </row>
    <row r="381" spans="1:18" x14ac:dyDescent="0.3">
      <c r="A381" t="s">
        <v>2545</v>
      </c>
      <c r="B381" t="s">
        <v>2546</v>
      </c>
      <c r="C381" t="s">
        <v>1731</v>
      </c>
      <c r="D381" t="s">
        <v>2449</v>
      </c>
      <c r="E381" t="s">
        <v>2454</v>
      </c>
      <c r="F381">
        <v>250</v>
      </c>
      <c r="G381" t="s">
        <v>2310</v>
      </c>
      <c r="H381">
        <v>24</v>
      </c>
      <c r="I381" s="3">
        <v>217.24</v>
      </c>
      <c r="J381" s="3">
        <v>274.67</v>
      </c>
      <c r="K381" t="s">
        <v>138</v>
      </c>
      <c r="L381">
        <v>14</v>
      </c>
      <c r="M381">
        <v>1</v>
      </c>
      <c r="N381">
        <v>881</v>
      </c>
      <c r="O381" s="2">
        <v>45606</v>
      </c>
      <c r="P381">
        <v>1</v>
      </c>
      <c r="Q381">
        <v>11.79</v>
      </c>
      <c r="R381" t="s">
        <v>1750</v>
      </c>
    </row>
    <row r="382" spans="1:18" x14ac:dyDescent="0.3">
      <c r="A382" t="s">
        <v>2547</v>
      </c>
      <c r="B382" t="s">
        <v>2548</v>
      </c>
      <c r="C382" t="s">
        <v>2457</v>
      </c>
      <c r="D382" t="s">
        <v>2449</v>
      </c>
      <c r="E382" t="s">
        <v>2460</v>
      </c>
      <c r="F382">
        <v>1000</v>
      </c>
      <c r="G382" t="s">
        <v>2310</v>
      </c>
      <c r="H382">
        <v>6</v>
      </c>
      <c r="I382" s="3">
        <v>489.2</v>
      </c>
      <c r="J382" s="3">
        <v>697.11</v>
      </c>
      <c r="K382" t="s">
        <v>146</v>
      </c>
      <c r="L382">
        <v>15</v>
      </c>
      <c r="M382">
        <v>1</v>
      </c>
      <c r="N382">
        <v>505</v>
      </c>
      <c r="O382" s="2">
        <v>45566</v>
      </c>
      <c r="P382">
        <v>1</v>
      </c>
      <c r="Q382">
        <v>1.29</v>
      </c>
      <c r="R382" t="s">
        <v>1741</v>
      </c>
    </row>
    <row r="383" spans="1:18" x14ac:dyDescent="0.3">
      <c r="A383" t="s">
        <v>2549</v>
      </c>
      <c r="B383" t="s">
        <v>2550</v>
      </c>
      <c r="C383" t="s">
        <v>2463</v>
      </c>
      <c r="D383" t="s">
        <v>2449</v>
      </c>
      <c r="E383" t="s">
        <v>2472</v>
      </c>
      <c r="F383">
        <v>300</v>
      </c>
      <c r="G383" t="s">
        <v>2310</v>
      </c>
      <c r="H383">
        <v>36</v>
      </c>
      <c r="I383" s="3">
        <v>277.07</v>
      </c>
      <c r="J383" s="3">
        <v>352.84</v>
      </c>
      <c r="K383" t="s">
        <v>135</v>
      </c>
      <c r="L383">
        <v>20</v>
      </c>
      <c r="M383">
        <v>48</v>
      </c>
      <c r="N383">
        <v>406</v>
      </c>
      <c r="O383" s="2">
        <v>45878</v>
      </c>
      <c r="P383">
        <v>1</v>
      </c>
      <c r="Q383">
        <v>3.31</v>
      </c>
      <c r="R383" t="s">
        <v>1741</v>
      </c>
    </row>
    <row r="384" spans="1:18" x14ac:dyDescent="0.3">
      <c r="A384" t="s">
        <v>2551</v>
      </c>
      <c r="B384" t="s">
        <v>2552</v>
      </c>
      <c r="C384" t="s">
        <v>2463</v>
      </c>
      <c r="D384" t="s">
        <v>2449</v>
      </c>
      <c r="E384" t="s">
        <v>2454</v>
      </c>
      <c r="F384">
        <v>250</v>
      </c>
      <c r="G384" t="s">
        <v>2310</v>
      </c>
      <c r="H384">
        <v>12</v>
      </c>
      <c r="I384" s="3">
        <v>143.97</v>
      </c>
      <c r="J384" s="3">
        <v>184.14</v>
      </c>
      <c r="K384" t="s">
        <v>156</v>
      </c>
      <c r="L384">
        <v>8</v>
      </c>
      <c r="M384">
        <v>6</v>
      </c>
      <c r="N384">
        <v>980</v>
      </c>
      <c r="O384" s="2">
        <v>45736</v>
      </c>
      <c r="P384">
        <v>1</v>
      </c>
      <c r="Q384">
        <v>3.68</v>
      </c>
      <c r="R384" t="s">
        <v>1741</v>
      </c>
    </row>
    <row r="385" spans="1:18" x14ac:dyDescent="0.3">
      <c r="A385" t="s">
        <v>2553</v>
      </c>
      <c r="B385" t="s">
        <v>2554</v>
      </c>
      <c r="C385" t="s">
        <v>1731</v>
      </c>
      <c r="D385" t="s">
        <v>2449</v>
      </c>
      <c r="E385" t="s">
        <v>2472</v>
      </c>
      <c r="F385">
        <v>100</v>
      </c>
      <c r="G385" t="s">
        <v>2310</v>
      </c>
      <c r="H385">
        <v>24</v>
      </c>
      <c r="I385" s="3">
        <v>54.41</v>
      </c>
      <c r="J385" s="3">
        <v>72.099999999999994</v>
      </c>
      <c r="K385" t="s">
        <v>170</v>
      </c>
      <c r="L385">
        <v>13</v>
      </c>
      <c r="M385">
        <v>2</v>
      </c>
      <c r="N385">
        <v>861</v>
      </c>
      <c r="O385" s="2">
        <v>45625</v>
      </c>
      <c r="P385">
        <v>1</v>
      </c>
      <c r="Q385">
        <v>43.61</v>
      </c>
      <c r="R385" t="s">
        <v>1774</v>
      </c>
    </row>
    <row r="386" spans="1:18" x14ac:dyDescent="0.3">
      <c r="A386" t="s">
        <v>2555</v>
      </c>
      <c r="B386" t="s">
        <v>2556</v>
      </c>
      <c r="C386" t="s">
        <v>2453</v>
      </c>
      <c r="D386" t="s">
        <v>2449</v>
      </c>
      <c r="E386" t="s">
        <v>2472</v>
      </c>
      <c r="F386">
        <v>200</v>
      </c>
      <c r="G386" t="s">
        <v>2310</v>
      </c>
      <c r="H386">
        <v>36</v>
      </c>
      <c r="I386" s="3">
        <v>122.88</v>
      </c>
      <c r="J386" s="3">
        <v>167.4</v>
      </c>
      <c r="K386" t="s">
        <v>172</v>
      </c>
      <c r="L386">
        <v>12</v>
      </c>
      <c r="M386">
        <v>2</v>
      </c>
      <c r="N386">
        <v>720</v>
      </c>
      <c r="O386" s="2">
        <v>45464</v>
      </c>
      <c r="P386">
        <v>1</v>
      </c>
      <c r="Q386">
        <v>11.53</v>
      </c>
      <c r="R386" t="s">
        <v>1750</v>
      </c>
    </row>
    <row r="387" spans="1:18" x14ac:dyDescent="0.3">
      <c r="A387" t="s">
        <v>2557</v>
      </c>
      <c r="B387" t="s">
        <v>2558</v>
      </c>
      <c r="C387" t="s">
        <v>2457</v>
      </c>
      <c r="D387" t="s">
        <v>2449</v>
      </c>
      <c r="E387" t="s">
        <v>2460</v>
      </c>
      <c r="F387">
        <v>500</v>
      </c>
      <c r="G387" t="s">
        <v>2310</v>
      </c>
      <c r="H387">
        <v>24</v>
      </c>
      <c r="I387" s="3">
        <v>348.86</v>
      </c>
      <c r="J387" s="3">
        <v>482.07</v>
      </c>
      <c r="K387" t="s">
        <v>131</v>
      </c>
      <c r="L387">
        <v>11</v>
      </c>
      <c r="M387">
        <v>48</v>
      </c>
      <c r="N387">
        <v>665</v>
      </c>
      <c r="O387" s="2">
        <v>45966</v>
      </c>
      <c r="P387">
        <v>1</v>
      </c>
      <c r="Q387">
        <v>3.1</v>
      </c>
      <c r="R387" t="s">
        <v>1741</v>
      </c>
    </row>
    <row r="388" spans="1:18" x14ac:dyDescent="0.3">
      <c r="A388" t="s">
        <v>2559</v>
      </c>
      <c r="B388" t="s">
        <v>2560</v>
      </c>
      <c r="C388" t="s">
        <v>2463</v>
      </c>
      <c r="D388" t="s">
        <v>2449</v>
      </c>
      <c r="E388" t="s">
        <v>2454</v>
      </c>
      <c r="F388">
        <v>500</v>
      </c>
      <c r="G388" t="s">
        <v>2310</v>
      </c>
      <c r="H388">
        <v>12</v>
      </c>
      <c r="I388" s="3">
        <v>146.44</v>
      </c>
      <c r="J388" s="3">
        <v>204.09</v>
      </c>
      <c r="K388" t="s">
        <v>182</v>
      </c>
      <c r="L388">
        <v>10</v>
      </c>
      <c r="M388">
        <v>100</v>
      </c>
      <c r="N388">
        <v>963</v>
      </c>
      <c r="O388" s="2">
        <v>45892</v>
      </c>
      <c r="P388">
        <v>1</v>
      </c>
      <c r="Q388">
        <v>21.19</v>
      </c>
      <c r="R388" t="s">
        <v>77</v>
      </c>
    </row>
    <row r="389" spans="1:18" x14ac:dyDescent="0.3">
      <c r="A389" t="s">
        <v>2561</v>
      </c>
      <c r="B389" t="s">
        <v>2562</v>
      </c>
      <c r="C389" t="s">
        <v>2457</v>
      </c>
      <c r="D389" t="s">
        <v>2449</v>
      </c>
      <c r="E389" t="s">
        <v>2454</v>
      </c>
      <c r="F389">
        <v>250</v>
      </c>
      <c r="G389" t="s">
        <v>2310</v>
      </c>
      <c r="H389">
        <v>12</v>
      </c>
      <c r="I389" s="3">
        <v>201.67</v>
      </c>
      <c r="J389" s="3">
        <v>256.14999999999998</v>
      </c>
      <c r="K389" t="s">
        <v>144</v>
      </c>
      <c r="L389">
        <v>13</v>
      </c>
      <c r="M389">
        <v>1</v>
      </c>
      <c r="N389">
        <v>767</v>
      </c>
      <c r="O389" s="2">
        <v>45696</v>
      </c>
      <c r="P389">
        <v>1</v>
      </c>
      <c r="Q389">
        <v>55.89</v>
      </c>
      <c r="R389" t="s">
        <v>1774</v>
      </c>
    </row>
    <row r="390" spans="1:18" x14ac:dyDescent="0.3">
      <c r="A390" t="s">
        <v>2563</v>
      </c>
      <c r="B390" t="s">
        <v>2564</v>
      </c>
      <c r="C390" t="s">
        <v>2457</v>
      </c>
      <c r="D390" t="s">
        <v>2449</v>
      </c>
      <c r="E390" t="s">
        <v>2472</v>
      </c>
      <c r="F390">
        <v>200</v>
      </c>
      <c r="G390" t="s">
        <v>2310</v>
      </c>
      <c r="H390">
        <v>36</v>
      </c>
      <c r="I390" s="3">
        <v>95.68</v>
      </c>
      <c r="J390" s="3">
        <v>134.91999999999999</v>
      </c>
      <c r="K390" t="s">
        <v>128</v>
      </c>
      <c r="L390">
        <v>13</v>
      </c>
      <c r="M390">
        <v>6</v>
      </c>
      <c r="N390">
        <v>841</v>
      </c>
      <c r="O390" s="2">
        <v>45885</v>
      </c>
      <c r="P390">
        <v>1</v>
      </c>
      <c r="Q390">
        <v>49.37</v>
      </c>
      <c r="R390" t="s">
        <v>1774</v>
      </c>
    </row>
    <row r="391" spans="1:18" x14ac:dyDescent="0.3">
      <c r="A391" t="s">
        <v>2565</v>
      </c>
      <c r="B391" t="s">
        <v>2566</v>
      </c>
      <c r="C391" t="s">
        <v>2463</v>
      </c>
      <c r="D391" t="s">
        <v>2449</v>
      </c>
      <c r="E391" t="s">
        <v>2450</v>
      </c>
      <c r="F391">
        <v>250</v>
      </c>
      <c r="G391" t="s">
        <v>2310</v>
      </c>
      <c r="H391">
        <v>24</v>
      </c>
      <c r="I391" s="3">
        <v>323.26</v>
      </c>
      <c r="J391" s="3">
        <v>417.14</v>
      </c>
      <c r="K391" t="s">
        <v>119</v>
      </c>
      <c r="L391">
        <v>12</v>
      </c>
      <c r="M391">
        <v>1</v>
      </c>
      <c r="N391">
        <v>839</v>
      </c>
      <c r="O391" s="2">
        <v>45507</v>
      </c>
      <c r="P391">
        <v>1</v>
      </c>
      <c r="Q391">
        <v>1.55</v>
      </c>
      <c r="R391" t="s">
        <v>1741</v>
      </c>
    </row>
    <row r="392" spans="1:18" x14ac:dyDescent="0.3">
      <c r="A392" t="s">
        <v>2567</v>
      </c>
      <c r="B392" t="s">
        <v>2568</v>
      </c>
      <c r="C392" t="s">
        <v>2463</v>
      </c>
      <c r="D392" t="s">
        <v>2449</v>
      </c>
      <c r="E392" t="s">
        <v>2450</v>
      </c>
      <c r="F392">
        <v>500</v>
      </c>
      <c r="G392" t="s">
        <v>2310</v>
      </c>
      <c r="H392">
        <v>36</v>
      </c>
      <c r="I392" s="3">
        <v>486.87</v>
      </c>
      <c r="J392" s="3">
        <v>629.78</v>
      </c>
      <c r="K392" t="s">
        <v>142</v>
      </c>
      <c r="L392">
        <v>9</v>
      </c>
      <c r="M392">
        <v>24</v>
      </c>
      <c r="N392">
        <v>1031</v>
      </c>
      <c r="O392" s="2">
        <v>45577</v>
      </c>
      <c r="P392">
        <v>1</v>
      </c>
      <c r="Q392">
        <v>7.93</v>
      </c>
      <c r="R392" t="s">
        <v>1750</v>
      </c>
    </row>
    <row r="393" spans="1:18" x14ac:dyDescent="0.3">
      <c r="A393" t="s">
        <v>2569</v>
      </c>
      <c r="B393" t="s">
        <v>2570</v>
      </c>
      <c r="C393" t="s">
        <v>1731</v>
      </c>
      <c r="D393" t="s">
        <v>2449</v>
      </c>
      <c r="E393" t="s">
        <v>2472</v>
      </c>
      <c r="F393">
        <v>100</v>
      </c>
      <c r="G393" t="s">
        <v>2310</v>
      </c>
      <c r="H393">
        <v>48</v>
      </c>
      <c r="I393" s="3">
        <v>45.77</v>
      </c>
      <c r="J393" s="3">
        <v>57.33</v>
      </c>
      <c r="K393" t="s">
        <v>176</v>
      </c>
      <c r="L393">
        <v>7</v>
      </c>
      <c r="M393">
        <v>2</v>
      </c>
      <c r="N393">
        <v>716</v>
      </c>
      <c r="O393" s="2">
        <v>45429</v>
      </c>
      <c r="P393">
        <v>1</v>
      </c>
      <c r="Q393">
        <v>18.95</v>
      </c>
      <c r="R393" t="s">
        <v>77</v>
      </c>
    </row>
    <row r="394" spans="1:18" x14ac:dyDescent="0.3">
      <c r="A394" t="s">
        <v>2571</v>
      </c>
      <c r="B394" t="s">
        <v>2572</v>
      </c>
      <c r="C394" t="s">
        <v>1731</v>
      </c>
      <c r="D394" t="s">
        <v>2449</v>
      </c>
      <c r="E394" t="s">
        <v>2460</v>
      </c>
      <c r="F394">
        <v>500</v>
      </c>
      <c r="G394" t="s">
        <v>2310</v>
      </c>
      <c r="H394">
        <v>12</v>
      </c>
      <c r="I394" s="3">
        <v>414.13</v>
      </c>
      <c r="J394" s="3">
        <v>584.09</v>
      </c>
      <c r="K394" t="s">
        <v>182</v>
      </c>
      <c r="L394">
        <v>10</v>
      </c>
      <c r="M394">
        <v>12</v>
      </c>
      <c r="N394">
        <v>694</v>
      </c>
      <c r="O394" s="2">
        <v>45797</v>
      </c>
      <c r="P394">
        <v>1</v>
      </c>
      <c r="Q394">
        <v>4.53</v>
      </c>
      <c r="R394" t="s">
        <v>1750</v>
      </c>
    </row>
    <row r="395" spans="1:18" x14ac:dyDescent="0.3">
      <c r="A395" t="s">
        <v>2573</v>
      </c>
      <c r="B395" t="s">
        <v>2574</v>
      </c>
      <c r="C395" t="s">
        <v>1731</v>
      </c>
      <c r="D395" t="s">
        <v>2449</v>
      </c>
      <c r="E395" t="s">
        <v>2454</v>
      </c>
      <c r="F395">
        <v>1000</v>
      </c>
      <c r="G395" t="s">
        <v>2310</v>
      </c>
      <c r="H395">
        <v>12</v>
      </c>
      <c r="I395" s="3">
        <v>522.97</v>
      </c>
      <c r="J395" s="3">
        <v>655.54</v>
      </c>
      <c r="K395" t="s">
        <v>115</v>
      </c>
      <c r="L395">
        <v>15</v>
      </c>
      <c r="M395">
        <v>4</v>
      </c>
      <c r="N395">
        <v>886</v>
      </c>
      <c r="O395" s="2">
        <v>45987</v>
      </c>
      <c r="P395">
        <v>1</v>
      </c>
      <c r="Q395">
        <v>24.01</v>
      </c>
      <c r="R395" t="s">
        <v>77</v>
      </c>
    </row>
    <row r="396" spans="1:18" x14ac:dyDescent="0.3">
      <c r="A396" t="s">
        <v>2575</v>
      </c>
      <c r="B396" t="s">
        <v>2576</v>
      </c>
      <c r="C396" t="s">
        <v>2463</v>
      </c>
      <c r="D396" t="s">
        <v>2449</v>
      </c>
      <c r="E396" t="s">
        <v>2472</v>
      </c>
      <c r="F396">
        <v>200</v>
      </c>
      <c r="G396" t="s">
        <v>2310</v>
      </c>
      <c r="H396">
        <v>24</v>
      </c>
      <c r="I396" s="3">
        <v>233.64</v>
      </c>
      <c r="J396" s="3">
        <v>305.58</v>
      </c>
      <c r="K396" t="s">
        <v>158</v>
      </c>
      <c r="L396">
        <v>18</v>
      </c>
      <c r="M396">
        <v>24</v>
      </c>
      <c r="N396">
        <v>638</v>
      </c>
      <c r="O396" s="2">
        <v>45769</v>
      </c>
      <c r="P396">
        <v>1</v>
      </c>
      <c r="Q396">
        <v>32.65</v>
      </c>
      <c r="R396" t="s">
        <v>77</v>
      </c>
    </row>
    <row r="397" spans="1:18" x14ac:dyDescent="0.3">
      <c r="A397" t="s">
        <v>2577</v>
      </c>
      <c r="B397" t="s">
        <v>2578</v>
      </c>
      <c r="C397" t="s">
        <v>2463</v>
      </c>
      <c r="D397" t="s">
        <v>2449</v>
      </c>
      <c r="E397" t="s">
        <v>2472</v>
      </c>
      <c r="F397">
        <v>100</v>
      </c>
      <c r="G397" t="s">
        <v>2310</v>
      </c>
      <c r="H397">
        <v>24</v>
      </c>
      <c r="I397" s="3">
        <v>305.64</v>
      </c>
      <c r="J397" s="3">
        <v>434.87</v>
      </c>
      <c r="K397" t="s">
        <v>104</v>
      </c>
      <c r="L397">
        <v>8</v>
      </c>
      <c r="M397">
        <v>24</v>
      </c>
      <c r="N397">
        <v>572</v>
      </c>
      <c r="O397" s="2">
        <v>45583</v>
      </c>
      <c r="P397">
        <v>1</v>
      </c>
      <c r="Q397">
        <v>5.18</v>
      </c>
      <c r="R397" t="s">
        <v>1750</v>
      </c>
    </row>
    <row r="398" spans="1:18" x14ac:dyDescent="0.3">
      <c r="A398" t="s">
        <v>2579</v>
      </c>
      <c r="B398" t="s">
        <v>2580</v>
      </c>
      <c r="C398" t="s">
        <v>2457</v>
      </c>
      <c r="D398" t="s">
        <v>2449</v>
      </c>
      <c r="E398" t="s">
        <v>2472</v>
      </c>
      <c r="F398">
        <v>100</v>
      </c>
      <c r="G398" t="s">
        <v>2310</v>
      </c>
      <c r="H398">
        <v>24</v>
      </c>
      <c r="I398" s="3">
        <v>428.99</v>
      </c>
      <c r="J398" s="3">
        <v>604.08000000000004</v>
      </c>
      <c r="K398" t="s">
        <v>154</v>
      </c>
      <c r="L398">
        <v>11</v>
      </c>
      <c r="M398">
        <v>48</v>
      </c>
      <c r="N398">
        <v>591</v>
      </c>
      <c r="O398" s="2">
        <v>45876</v>
      </c>
      <c r="P398">
        <v>1</v>
      </c>
      <c r="Q398">
        <v>19.850000000000001</v>
      </c>
      <c r="R398" t="s">
        <v>77</v>
      </c>
    </row>
    <row r="399" spans="1:18" x14ac:dyDescent="0.3">
      <c r="A399" t="s">
        <v>2581</v>
      </c>
      <c r="B399" t="s">
        <v>2582</v>
      </c>
      <c r="C399" t="s">
        <v>1731</v>
      </c>
      <c r="D399" t="s">
        <v>2449</v>
      </c>
      <c r="E399" t="s">
        <v>2460</v>
      </c>
      <c r="F399">
        <v>5000</v>
      </c>
      <c r="G399" t="s">
        <v>2310</v>
      </c>
      <c r="H399">
        <v>2</v>
      </c>
      <c r="I399" s="3">
        <v>154.54</v>
      </c>
      <c r="J399" s="3">
        <v>211.54</v>
      </c>
      <c r="K399" t="s">
        <v>142</v>
      </c>
      <c r="L399">
        <v>9</v>
      </c>
      <c r="M399">
        <v>48</v>
      </c>
      <c r="N399">
        <v>392</v>
      </c>
      <c r="O399" s="2">
        <v>45597</v>
      </c>
      <c r="P399">
        <v>1</v>
      </c>
      <c r="Q399">
        <v>6.5</v>
      </c>
      <c r="R399" t="s">
        <v>1750</v>
      </c>
    </row>
    <row r="400" spans="1:18" x14ac:dyDescent="0.3">
      <c r="A400" t="s">
        <v>2583</v>
      </c>
      <c r="B400" t="s">
        <v>2584</v>
      </c>
      <c r="C400" t="s">
        <v>2457</v>
      </c>
      <c r="D400" t="s">
        <v>2449</v>
      </c>
      <c r="E400" t="s">
        <v>2472</v>
      </c>
      <c r="F400">
        <v>300</v>
      </c>
      <c r="G400" t="s">
        <v>2310</v>
      </c>
      <c r="H400">
        <v>36</v>
      </c>
      <c r="I400" s="3">
        <v>157.59</v>
      </c>
      <c r="J400" s="3">
        <v>222.36</v>
      </c>
      <c r="K400" t="s">
        <v>104</v>
      </c>
      <c r="L400">
        <v>8</v>
      </c>
      <c r="M400">
        <v>12</v>
      </c>
      <c r="N400">
        <v>602</v>
      </c>
      <c r="O400" s="2">
        <v>45887</v>
      </c>
      <c r="P400">
        <v>1</v>
      </c>
      <c r="Q400">
        <v>8.92</v>
      </c>
      <c r="R400" t="s">
        <v>1750</v>
      </c>
    </row>
    <row r="401" spans="1:18" x14ac:dyDescent="0.3">
      <c r="A401" t="s">
        <v>2585</v>
      </c>
      <c r="B401" t="s">
        <v>2586</v>
      </c>
      <c r="C401" t="s">
        <v>1731</v>
      </c>
      <c r="D401" t="s">
        <v>2449</v>
      </c>
      <c r="E401" t="s">
        <v>2450</v>
      </c>
      <c r="F401">
        <v>250</v>
      </c>
      <c r="G401" t="s">
        <v>2310</v>
      </c>
      <c r="H401">
        <v>36</v>
      </c>
      <c r="I401" s="3">
        <v>101.42</v>
      </c>
      <c r="J401" s="3">
        <v>134.99</v>
      </c>
      <c r="K401" t="s">
        <v>142</v>
      </c>
      <c r="L401">
        <v>9</v>
      </c>
      <c r="M401">
        <v>1</v>
      </c>
      <c r="N401">
        <v>1018</v>
      </c>
      <c r="O401" s="2">
        <v>45787</v>
      </c>
      <c r="P401">
        <v>1</v>
      </c>
      <c r="Q401">
        <v>29.61</v>
      </c>
      <c r="R401" t="s">
        <v>77</v>
      </c>
    </row>
  </sheetData>
  <autoFilter ref="A1:R401" xr:uid="{00000000-0009-0000-0000-000006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3" width="38" customWidth="1"/>
  </cols>
  <sheetData>
    <row r="1" spans="1:3" x14ac:dyDescent="0.3">
      <c r="A1" s="1" t="s">
        <v>2587</v>
      </c>
      <c r="B1" s="1" t="s">
        <v>2588</v>
      </c>
      <c r="C1" s="1" t="s">
        <v>2589</v>
      </c>
    </row>
    <row r="2" spans="1:3" x14ac:dyDescent="0.3">
      <c r="A2" t="s">
        <v>2590</v>
      </c>
      <c r="B2" t="s">
        <v>2591</v>
      </c>
      <c r="C2" t="s">
        <v>2592</v>
      </c>
    </row>
    <row r="3" spans="1:3" x14ac:dyDescent="0.3">
      <c r="A3" t="s">
        <v>2593</v>
      </c>
      <c r="B3" t="s">
        <v>2594</v>
      </c>
      <c r="C3" t="s">
        <v>2595</v>
      </c>
    </row>
    <row r="4" spans="1:3" x14ac:dyDescent="0.3">
      <c r="A4" t="s">
        <v>5</v>
      </c>
      <c r="B4" t="s">
        <v>6</v>
      </c>
      <c r="C4" t="s">
        <v>2596</v>
      </c>
    </row>
    <row r="5" spans="1:3" x14ac:dyDescent="0.3">
      <c r="A5" t="s">
        <v>2597</v>
      </c>
      <c r="B5">
        <v>400</v>
      </c>
      <c r="C5" t="s">
        <v>2598</v>
      </c>
    </row>
    <row r="6" spans="1:3" x14ac:dyDescent="0.3">
      <c r="A6" t="s">
        <v>2599</v>
      </c>
      <c r="B6">
        <v>40</v>
      </c>
      <c r="C6" t="s">
        <v>2600</v>
      </c>
    </row>
    <row r="7" spans="1:3" x14ac:dyDescent="0.3">
      <c r="A7" t="s">
        <v>2601</v>
      </c>
      <c r="B7">
        <v>750</v>
      </c>
      <c r="C7" t="s">
        <v>2602</v>
      </c>
    </row>
    <row r="8" spans="1:3" x14ac:dyDescent="0.3">
      <c r="A8" t="s">
        <v>2603</v>
      </c>
      <c r="B8">
        <v>4</v>
      </c>
      <c r="C8" t="s">
        <v>2604</v>
      </c>
    </row>
    <row r="9" spans="1:3" x14ac:dyDescent="0.3">
      <c r="A9" t="s">
        <v>2605</v>
      </c>
      <c r="B9">
        <v>4</v>
      </c>
      <c r="C9" t="s">
        <v>2606</v>
      </c>
    </row>
    <row r="10" spans="1:3" x14ac:dyDescent="0.3">
      <c r="A10" t="s">
        <v>2607</v>
      </c>
      <c r="B10" t="s">
        <v>2608</v>
      </c>
      <c r="C10" t="s">
        <v>2609</v>
      </c>
    </row>
    <row r="11" spans="1:3" x14ac:dyDescent="0.3">
      <c r="A11" t="s">
        <v>2610</v>
      </c>
      <c r="B11" t="s">
        <v>2611</v>
      </c>
      <c r="C11" t="s">
        <v>2612</v>
      </c>
    </row>
    <row r="12" spans="1:3" x14ac:dyDescent="0.3">
      <c r="A12" t="s">
        <v>2613</v>
      </c>
      <c r="B12" t="s">
        <v>2611</v>
      </c>
      <c r="C12" t="s">
        <v>2614</v>
      </c>
    </row>
    <row r="13" spans="1:3" x14ac:dyDescent="0.3">
      <c r="A13" t="s">
        <v>2615</v>
      </c>
      <c r="B13" t="s">
        <v>2608</v>
      </c>
      <c r="C13" t="s">
        <v>2616</v>
      </c>
    </row>
    <row r="14" spans="1:3" x14ac:dyDescent="0.3">
      <c r="A14" t="s">
        <v>2617</v>
      </c>
      <c r="B14" t="s">
        <v>2618</v>
      </c>
      <c r="C14" t="s">
        <v>2619</v>
      </c>
    </row>
    <row r="15" spans="1:3" x14ac:dyDescent="0.3">
      <c r="A15" t="s">
        <v>2620</v>
      </c>
      <c r="B15" t="s">
        <v>2621</v>
      </c>
      <c r="C15" t="s">
        <v>2622</v>
      </c>
    </row>
    <row r="16" spans="1:3" x14ac:dyDescent="0.3">
      <c r="A16" t="s">
        <v>2623</v>
      </c>
      <c r="B16" t="s">
        <v>2624</v>
      </c>
      <c r="C16" t="s">
        <v>2625</v>
      </c>
    </row>
    <row r="17" spans="1:3" x14ac:dyDescent="0.3">
      <c r="A17" t="s">
        <v>2626</v>
      </c>
      <c r="B17" t="s">
        <v>2627</v>
      </c>
      <c r="C17" t="s">
        <v>2628</v>
      </c>
    </row>
    <row r="18" spans="1:3" x14ac:dyDescent="0.3">
      <c r="A18" t="s">
        <v>2629</v>
      </c>
      <c r="B18" t="s">
        <v>2630</v>
      </c>
      <c r="C18" t="s">
        <v>2631</v>
      </c>
    </row>
    <row r="19" spans="1:3" x14ac:dyDescent="0.3">
      <c r="A19" t="s">
        <v>2632</v>
      </c>
      <c r="B19" t="s">
        <v>2633</v>
      </c>
      <c r="C19" t="s">
        <v>2634</v>
      </c>
    </row>
    <row r="20" spans="1:3" x14ac:dyDescent="0.3">
      <c r="A20" t="s">
        <v>2635</v>
      </c>
      <c r="B20" t="s">
        <v>2636</v>
      </c>
      <c r="C20" t="s">
        <v>2637</v>
      </c>
    </row>
    <row r="21" spans="1:3" x14ac:dyDescent="0.3">
      <c r="A21" t="s">
        <v>2638</v>
      </c>
      <c r="B21" t="s">
        <v>2639</v>
      </c>
      <c r="C21" t="s">
        <v>2640</v>
      </c>
    </row>
    <row r="22" spans="1:3" x14ac:dyDescent="0.3">
      <c r="A22" t="s">
        <v>2641</v>
      </c>
      <c r="B22" t="s">
        <v>2642</v>
      </c>
      <c r="C22" t="s">
        <v>2643</v>
      </c>
    </row>
    <row r="23" spans="1:3" x14ac:dyDescent="0.3">
      <c r="A23" t="s">
        <v>2644</v>
      </c>
      <c r="B23" t="s">
        <v>2645</v>
      </c>
      <c r="C23" t="s">
        <v>2646</v>
      </c>
    </row>
    <row r="24" spans="1:3" x14ac:dyDescent="0.3">
      <c r="A24" t="s">
        <v>2647</v>
      </c>
      <c r="B24" t="s">
        <v>2648</v>
      </c>
      <c r="C24" t="s">
        <v>2649</v>
      </c>
    </row>
    <row r="25" spans="1:3" x14ac:dyDescent="0.3">
      <c r="A25" t="s">
        <v>2650</v>
      </c>
      <c r="B25" t="s">
        <v>2651</v>
      </c>
      <c r="C25" t="s">
        <v>2652</v>
      </c>
    </row>
    <row r="26" spans="1:3" x14ac:dyDescent="0.3">
      <c r="A26" t="s">
        <v>2653</v>
      </c>
      <c r="B26" t="s">
        <v>2654</v>
      </c>
      <c r="C26" t="s">
        <v>2655</v>
      </c>
    </row>
    <row r="27" spans="1:3" x14ac:dyDescent="0.3">
      <c r="A27" t="s">
        <v>2656</v>
      </c>
      <c r="B27" t="s">
        <v>2657</v>
      </c>
      <c r="C27" t="s">
        <v>2658</v>
      </c>
    </row>
    <row r="28" spans="1:3" x14ac:dyDescent="0.3">
      <c r="A28" t="s">
        <v>2659</v>
      </c>
      <c r="B28" t="s">
        <v>2660</v>
      </c>
      <c r="C28" t="s">
        <v>2661</v>
      </c>
    </row>
  </sheetData>
  <autoFilter ref="A1:C28" xr:uid="{00000000-0009-0000-0000-000007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3" width="12" customWidth="1"/>
  </cols>
  <sheetData>
    <row r="1" spans="1:3" x14ac:dyDescent="0.3">
      <c r="A1" s="1" t="s">
        <v>2662</v>
      </c>
      <c r="B1" s="1" t="s">
        <v>2663</v>
      </c>
      <c r="C1" s="1" t="s">
        <v>2664</v>
      </c>
    </row>
    <row r="2" spans="1:3" x14ac:dyDescent="0.3">
      <c r="A2" t="s">
        <v>2665</v>
      </c>
      <c r="B2">
        <v>400</v>
      </c>
      <c r="C2">
        <v>400</v>
      </c>
    </row>
    <row r="3" spans="1:3" x14ac:dyDescent="0.3">
      <c r="A3" t="s">
        <v>2666</v>
      </c>
      <c r="B3">
        <v>40</v>
      </c>
      <c r="C3">
        <v>40</v>
      </c>
    </row>
    <row r="4" spans="1:3" x14ac:dyDescent="0.3">
      <c r="A4" t="s">
        <v>2667</v>
      </c>
      <c r="B4">
        <v>750</v>
      </c>
      <c r="C4">
        <v>750</v>
      </c>
    </row>
    <row r="5" spans="1:3" x14ac:dyDescent="0.3">
      <c r="A5" t="s">
        <v>2668</v>
      </c>
      <c r="B5">
        <v>4</v>
      </c>
      <c r="C5">
        <v>4</v>
      </c>
    </row>
    <row r="6" spans="1:3" x14ac:dyDescent="0.3">
      <c r="A6" t="s">
        <v>2669</v>
      </c>
      <c r="B6">
        <v>4</v>
      </c>
      <c r="C6">
        <v>4</v>
      </c>
    </row>
    <row r="7" spans="1:3" x14ac:dyDescent="0.3">
      <c r="A7" t="s">
        <v>2670</v>
      </c>
      <c r="B7">
        <v>1096</v>
      </c>
      <c r="C7">
        <v>1096</v>
      </c>
    </row>
    <row r="8" spans="1:3" x14ac:dyDescent="0.3">
      <c r="A8" t="s">
        <v>2671</v>
      </c>
      <c r="B8">
        <v>400</v>
      </c>
      <c r="C8">
        <v>400</v>
      </c>
    </row>
    <row r="9" spans="1:3" x14ac:dyDescent="0.3">
      <c r="A9" t="s">
        <v>2672</v>
      </c>
      <c r="B9">
        <v>40</v>
      </c>
      <c r="C9">
        <v>40</v>
      </c>
    </row>
    <row r="10" spans="1:3" x14ac:dyDescent="0.3">
      <c r="A10" t="s">
        <v>2673</v>
      </c>
      <c r="B10">
        <v>750</v>
      </c>
      <c r="C10">
        <v>750</v>
      </c>
    </row>
    <row r="11" spans="1:3" x14ac:dyDescent="0.3">
      <c r="A11" t="s">
        <v>2674</v>
      </c>
      <c r="B11">
        <v>0</v>
      </c>
      <c r="C11">
        <v>0</v>
      </c>
    </row>
    <row r="12" spans="1:3" x14ac:dyDescent="0.3">
      <c r="A12" t="s">
        <v>2675</v>
      </c>
      <c r="B12">
        <v>0</v>
      </c>
      <c r="C12">
        <v>0</v>
      </c>
    </row>
    <row r="13" spans="1:3" x14ac:dyDescent="0.3">
      <c r="A13" t="s">
        <v>2676</v>
      </c>
      <c r="B13">
        <v>0</v>
      </c>
      <c r="C13">
        <v>0</v>
      </c>
    </row>
  </sheetData>
  <autoFilter ref="A1:C13" xr:uid="{00000000-0009-0000-0000-00000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README</vt:lpstr>
      <vt:lpstr>DimDate</vt:lpstr>
      <vt:lpstr>DimMonth</vt:lpstr>
      <vt:lpstr>DimWarehouse</vt:lpstr>
      <vt:lpstr>DimChannel</vt:lpstr>
      <vt:lpstr>DimSupplier</vt:lpstr>
      <vt:lpstr>DimCustomer</vt:lpstr>
      <vt:lpstr>DimProduct</vt:lpstr>
      <vt:lpstr>Parameters</vt:lpstr>
      <vt:lpstr>Validation</vt:lpstr>
      <vt:lpstr>DimMonth!_FilterDatabase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Arman Khattak</cp:lastModifiedBy>
  <dcterms:created xsi:type="dcterms:W3CDTF">2026-09-05T12:42:44Z</dcterms:created>
  <dcterms:modified xsi:type="dcterms:W3CDTF">2026-09-07T05:18:21Z</dcterms:modified>
</cp:coreProperties>
</file>